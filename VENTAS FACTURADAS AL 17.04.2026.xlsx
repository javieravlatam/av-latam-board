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RUPO AGROVECA\AGROVECA PERU\REPORTE DE VENTAS\2026\"/>
    </mc:Choice>
  </mc:AlternateContent>
  <xr:revisionPtr revIDLastSave="0" documentId="13_ncr:1_{F5F9C3E9-470D-4903-8C17-DECFEEB2A1ED}" xr6:coauthVersionLast="47" xr6:coauthVersionMax="47" xr10:uidLastSave="{00000000-0000-0000-0000-000000000000}"/>
  <bookViews>
    <workbookView xWindow="-108" yWindow="-108" windowWidth="23256" windowHeight="12456" xr2:uid="{727290CF-8874-4586-B821-D92532E90A15}"/>
  </bookViews>
  <sheets>
    <sheet name="RESUMEN" sheetId="9" r:id="rId1"/>
    <sheet name="Hoja1" sheetId="10" state="hidden" r:id="rId2"/>
    <sheet name="VENTAS ABRIL" sheetId="5" r:id="rId3"/>
    <sheet name="VENTAS ACUMULADAS 2026" sheetId="7" r:id="rId4"/>
  </sheets>
  <definedNames>
    <definedName name="_xlnm._FilterDatabase" localSheetId="1" hidden="1">Hoja1!$C$4:$C$35</definedName>
    <definedName name="_xlnm._FilterDatabase" localSheetId="2" hidden="1">'VENTAS ABRIL'!$A$6:$K$6</definedName>
    <definedName name="_xlnm._FilterDatabase" localSheetId="3" hidden="1">'VENTAS ACUMULADAS 2026'!$A$6:$K$81</definedName>
    <definedName name="_xlnm.Print_Titles" localSheetId="2">'VENTAS ABRIL'!$2:$6</definedName>
  </definedNames>
  <calcPr calcId="191029"/>
  <pivotCaches>
    <pivotCache cacheId="18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5" l="1"/>
  <c r="I81" i="7"/>
</calcChain>
</file>

<file path=xl/sharedStrings.xml><?xml version="1.0" encoding="utf-8"?>
<sst xmlns="http://schemas.openxmlformats.org/spreadsheetml/2006/main" count="699" uniqueCount="223">
  <si>
    <t>AGROVECA PERU S.A.C. - RUC: 20609014963</t>
  </si>
  <si>
    <t>NUMERO</t>
  </si>
  <si>
    <t>DENOMINACION O RAZON SOCIAL</t>
  </si>
  <si>
    <t>TOTAL</t>
  </si>
  <si>
    <t>DOLARES</t>
  </si>
  <si>
    <t>CONCEPTO</t>
  </si>
  <si>
    <t>E001</t>
  </si>
  <si>
    <t>FAMILY FARMS PERÚ S.R.L</t>
  </si>
  <si>
    <t>PERIODO</t>
  </si>
  <si>
    <t>FECHA EMISION</t>
  </si>
  <si>
    <t>FECHA VENCIMIENTO</t>
  </si>
  <si>
    <t>SERIE</t>
  </si>
  <si>
    <t>FACTURA</t>
  </si>
  <si>
    <t>FORMATO 14.1: REGISTRO DE VENTAS (Expresado en Dolares)</t>
  </si>
  <si>
    <t>Total general</t>
  </si>
  <si>
    <t>Suma de DOLARES</t>
  </si>
  <si>
    <t>VENDEDOR</t>
  </si>
  <si>
    <t>OSCAR INFANTE</t>
  </si>
  <si>
    <t>VENTAS ACUMULADAS POR CLIENTES</t>
  </si>
  <si>
    <t>VENTAS ACUMULADAS POR VENDEDOR</t>
  </si>
  <si>
    <t>(Todas)</t>
  </si>
  <si>
    <t>.</t>
  </si>
  <si>
    <t>NICOLL NAVARRO</t>
  </si>
  <si>
    <t>PERIODO : ENERO A DICIEMBRE 2026</t>
  </si>
  <si>
    <t>01 ENERO 2026</t>
  </si>
  <si>
    <t>05/01/2026</t>
  </si>
  <si>
    <t>05/04/2026</t>
  </si>
  <si>
    <t>06/01/2026</t>
  </si>
  <si>
    <t>06/04/2026</t>
  </si>
  <si>
    <t>300 LTS VECASIL FORTE</t>
  </si>
  <si>
    <t>180 LTS VECASIL FORTE</t>
  </si>
  <si>
    <t>160 LTS VECASIL FORTE</t>
  </si>
  <si>
    <t>320 LTS VECASIL FORTE</t>
  </si>
  <si>
    <t>AGRICOLA GUILI S.A.C</t>
  </si>
  <si>
    <t>20 LTS ALGAP</t>
  </si>
  <si>
    <t>AGRICOLA SERENGUETI SAC</t>
  </si>
  <si>
    <t>21/02/2026</t>
  </si>
  <si>
    <t>07/01/2026</t>
  </si>
  <si>
    <t>13/01/2026</t>
  </si>
  <si>
    <t>14/03/2026</t>
  </si>
  <si>
    <t>PROCESOS AGROINDUSTRIALES SOCIEDAD ANONIMA</t>
  </si>
  <si>
    <t>470 LTS AV PLUS MICRO MIX</t>
  </si>
  <si>
    <t>OMAR ATALAYA</t>
  </si>
  <si>
    <t>360 LTS VECASIL FORTE</t>
  </si>
  <si>
    <t>13/04/2026</t>
  </si>
  <si>
    <t>20 LTS REGALIA MAX</t>
  </si>
  <si>
    <t>SOCIEDAD AGRICOLA 3P S.A.C.</t>
  </si>
  <si>
    <t>27/02/2026</t>
  </si>
  <si>
    <t>15/01/2026</t>
  </si>
  <si>
    <t xml:space="preserve">ALLPA FARMS PERU S.A.C. </t>
  </si>
  <si>
    <t>500 LTS VECA MAX FULVIC</t>
  </si>
  <si>
    <t>19/01/2026</t>
  </si>
  <si>
    <t>18/02/2026</t>
  </si>
  <si>
    <t>16/03/2026</t>
  </si>
  <si>
    <t xml:space="preserve">SUN FRUITS EXPORTS S.A. </t>
  </si>
  <si>
    <t>31 TLS VECA MANGANESO</t>
  </si>
  <si>
    <t>9 TLS VECA MANGANESO</t>
  </si>
  <si>
    <t>20/01/2026</t>
  </si>
  <si>
    <t>20/04/2026</t>
  </si>
  <si>
    <t>BOMAREA S.R.L.</t>
  </si>
  <si>
    <t>2450 LTS VECASIL FORTE</t>
  </si>
  <si>
    <t>22/01/2026</t>
  </si>
  <si>
    <t>22/04/2026</t>
  </si>
  <si>
    <t>CORPORACION AGROLATINA S.A.C</t>
  </si>
  <si>
    <t>40 LTS ALGAP</t>
  </si>
  <si>
    <t xml:space="preserve">EPIC FARMS S.A.C. </t>
  </si>
  <si>
    <t>75 LTS VECA AMIN</t>
  </si>
  <si>
    <t xml:space="preserve">AMFRESH PERU AGRISIL S.R.L. </t>
  </si>
  <si>
    <t>142 LTS ALGAP, 53 LTS VECA ROOT MAX</t>
  </si>
  <si>
    <t>ANTONIO GONZALES</t>
  </si>
  <si>
    <t>AGRICOLA COPACABANA DE CHINCHA S.A</t>
  </si>
  <si>
    <t>30/01/2026</t>
  </si>
  <si>
    <t>2 LTS REGALIA MAX</t>
  </si>
  <si>
    <t xml:space="preserve">AGROPECUARIA A.D.H. S.A.C. </t>
  </si>
  <si>
    <t>25/02/2026</t>
  </si>
  <si>
    <t>32 LTS REGALIA MAX</t>
  </si>
  <si>
    <t>32 LTS SILFORTE, 45 AV PLUS POTASIO</t>
  </si>
  <si>
    <t>78 LTS VECASIL, 78 LTS VECA HUMIC ROOT</t>
  </si>
  <si>
    <t>23/01/2026</t>
  </si>
  <si>
    <t>23/04/2026</t>
  </si>
  <si>
    <t>26/01/2026</t>
  </si>
  <si>
    <t>31/03/2026</t>
  </si>
  <si>
    <t>AGRICOLA CARMEN LUISA S.A.C.</t>
  </si>
  <si>
    <t>AGRO TIERRA VID S.A.C.</t>
  </si>
  <si>
    <t>480 LTS REGALIA MAX</t>
  </si>
  <si>
    <t>02. FEBRERO 2026</t>
  </si>
  <si>
    <t>02/02/2026</t>
  </si>
  <si>
    <t>SUREXPORT PERU BERRIES S.A.C</t>
  </si>
  <si>
    <t>03/04/2026</t>
  </si>
  <si>
    <t>296 VECA ROOT MAX</t>
  </si>
  <si>
    <t xml:space="preserve">POB S.A.C. </t>
  </si>
  <si>
    <t>254 VECA ROOT MAX</t>
  </si>
  <si>
    <t>03/02/2026</t>
  </si>
  <si>
    <t>300 LTS VECA PLUS MAGNESIO</t>
  </si>
  <si>
    <t>03/06/2026</t>
  </si>
  <si>
    <t>AGRICOLA HUARMEY S.A.C.</t>
  </si>
  <si>
    <t>05/02/2026</t>
  </si>
  <si>
    <t>06/05/2026</t>
  </si>
  <si>
    <t>LISBETH AGUIRRE</t>
  </si>
  <si>
    <t>11/02/2026</t>
  </si>
  <si>
    <t>12/02/2026</t>
  </si>
  <si>
    <t>12/05/2026</t>
  </si>
  <si>
    <t>UVICA S.A.C.</t>
  </si>
  <si>
    <t>48 LTS REGALIA</t>
  </si>
  <si>
    <t>13/05/2026</t>
  </si>
  <si>
    <t>12/06/2026</t>
  </si>
  <si>
    <t>SOCIEDAD AGRICOLA DON LUIS S.A</t>
  </si>
  <si>
    <t>247 LTS CYTO PRIME</t>
  </si>
  <si>
    <t>260 LTS VECA ROOT MAX</t>
  </si>
  <si>
    <t>AGROINDUSTRIA CAMPO VERDE S.A.C</t>
  </si>
  <si>
    <t>23 LTS CYTO PRIME</t>
  </si>
  <si>
    <t>16 LTS CYTO PRIME</t>
  </si>
  <si>
    <t>INVERSIONES AJS S.A.C.</t>
  </si>
  <si>
    <t>13/02/2026</t>
  </si>
  <si>
    <t>2 LTS AV PLUS NUTRIMIX</t>
  </si>
  <si>
    <t>LIFONCIO MEZA ANTONIO</t>
  </si>
  <si>
    <t>AGRICOLA PAMPA VERDE S.A.C</t>
  </si>
  <si>
    <t>23/02/2026</t>
  </si>
  <si>
    <t>24/02/2026</t>
  </si>
  <si>
    <t>23/06/2026</t>
  </si>
  <si>
    <t>24/06/2026</t>
  </si>
  <si>
    <t>30 LTS VECA PLUS MANGNESIO</t>
  </si>
  <si>
    <t>58 LTS VECA PLUS MANGNESIO</t>
  </si>
  <si>
    <t>751 LTS VECA PLUS MANGNESIO</t>
  </si>
  <si>
    <t>256 LTS VECA PLUS CALCIO</t>
  </si>
  <si>
    <t>26/02/2026</t>
  </si>
  <si>
    <t>28/03/2026</t>
  </si>
  <si>
    <t>27/05/2025</t>
  </si>
  <si>
    <t>CORPORACION AGRICOLA OLMOS S.A</t>
  </si>
  <si>
    <t>134 LTS REGALIA MAX</t>
  </si>
  <si>
    <t>95 LTS VECA AMIN</t>
  </si>
  <si>
    <t>40 LTS VECA PLUS MANGANESO</t>
  </si>
  <si>
    <t>03. MARZO 2026</t>
  </si>
  <si>
    <t>02/03/2026</t>
  </si>
  <si>
    <t>03/03/2026</t>
  </si>
  <si>
    <t>CORPORACION ESAN E &amp; F SOCIEDAD ANONIMA CERRADA</t>
  </si>
  <si>
    <t>140 LTS RELAIA MAX</t>
  </si>
  <si>
    <t>31/05/2026</t>
  </si>
  <si>
    <t>1000 LTS VECASIL FORTE</t>
  </si>
  <si>
    <t>30/06/2026</t>
  </si>
  <si>
    <t>200 LTS MAGNESIO</t>
  </si>
  <si>
    <t>04/03/2026</t>
  </si>
  <si>
    <t>02/06/2026</t>
  </si>
  <si>
    <t>60 TLS REGALIA MAXX</t>
  </si>
  <si>
    <t>241 TLS REGALIA MAXX</t>
  </si>
  <si>
    <t>GIDDINGS BERRIES PERU S.A.C.</t>
  </si>
  <si>
    <t>02/04/2026</t>
  </si>
  <si>
    <t>88 lts ALGAP 30</t>
  </si>
  <si>
    <t>MALLQUI ROMERO VICTOR RAUL</t>
  </si>
  <si>
    <t>07/03/2026</t>
  </si>
  <si>
    <t>20 TLS ALGAP 30, 20 LTS AMIN SUGAR</t>
  </si>
  <si>
    <t>05/03/2026</t>
  </si>
  <si>
    <t xml:space="preserve">	SOCIEDAD EXPORTADORA VERFRUT SOCIEDAD ANONIMA CERRADA</t>
  </si>
  <si>
    <t>20 lts VECASIL FORTE</t>
  </si>
  <si>
    <t>PATRICIA VALLADARES</t>
  </si>
  <si>
    <t>09/03/2026</t>
  </si>
  <si>
    <t>10/03/2026</t>
  </si>
  <si>
    <t>6 LTS AV SILFORTE</t>
  </si>
  <si>
    <t>VALLE AZUL FARMS S.A.C.</t>
  </si>
  <si>
    <t>08/06/2023</t>
  </si>
  <si>
    <t>12/03/2026</t>
  </si>
  <si>
    <t>13/03/2026</t>
  </si>
  <si>
    <t>11/05/2026</t>
  </si>
  <si>
    <t>156 LTS VECA HUMIC ROOT, 150 LTS VECASIL FORTE</t>
  </si>
  <si>
    <t>96 LTS REGALIA</t>
  </si>
  <si>
    <t xml:space="preserve">GRANDBERRY PERU S.A.C. </t>
  </si>
  <si>
    <t>12/04/2026</t>
  </si>
  <si>
    <t>A</t>
  </si>
  <si>
    <t>04/04/2026</t>
  </si>
  <si>
    <t>18/03/2026</t>
  </si>
  <si>
    <t>16/06/2026</t>
  </si>
  <si>
    <t>LUNA QUINTANILLA BRYAN ALEXANDER</t>
  </si>
  <si>
    <t>36 LTS HUMIC ROOT, 24 LTS VECA POTASIO, 36 LTS VECA FULVIC, 24 LTS CALCIO BORO</t>
  </si>
  <si>
    <t>19/03/2026</t>
  </si>
  <si>
    <t>18/05/2026</t>
  </si>
  <si>
    <t>80 LTS VECA HUMIC ROOT</t>
  </si>
  <si>
    <t xml:space="preserve">MANUELITA FYH S.A.C. </t>
  </si>
  <si>
    <t>20/03/2026</t>
  </si>
  <si>
    <t>19/04/2026</t>
  </si>
  <si>
    <t>420 VECA ZINC</t>
  </si>
  <si>
    <t>19/05/2026</t>
  </si>
  <si>
    <t>40 LTS VECASIL FORTE</t>
  </si>
  <si>
    <t>438 LTS AV SILIFORTE</t>
  </si>
  <si>
    <t>23/03/2026</t>
  </si>
  <si>
    <t>27/07/2026</t>
  </si>
  <si>
    <t>626 LTS VECA MOVE</t>
  </si>
  <si>
    <t>32 ÑTS VECA MOVE</t>
  </si>
  <si>
    <t>50 LTS VECA PLUS BORO</t>
  </si>
  <si>
    <t>25/05/2026</t>
  </si>
  <si>
    <t>I Q F DEL PERU SA</t>
  </si>
  <si>
    <t>27/03/2026</t>
  </si>
  <si>
    <t>25/06/2026</t>
  </si>
  <si>
    <t>300 LTS VECA ROOT MAX</t>
  </si>
  <si>
    <t>600 LTS VECASIL FORTE</t>
  </si>
  <si>
    <t>CORPORACION AGROLATINA S.A.C.</t>
  </si>
  <si>
    <t>28/06/2026</t>
  </si>
  <si>
    <t>200 LTS ALGAP</t>
  </si>
  <si>
    <t>29/06/2026</t>
  </si>
  <si>
    <t>200 LTS ALGAP, 144 LTS VECA AMIN,  620 VECA ROOT MAX</t>
  </si>
  <si>
    <t>30/05/2026</t>
  </si>
  <si>
    <t>SOCIEDAD EXPORTADORA VERFRUT SOCIEDAD ANONIMA CERRADA</t>
  </si>
  <si>
    <t>PERIODO :  ABRIL 2026</t>
  </si>
  <si>
    <t>04. ABRIL 2026</t>
  </si>
  <si>
    <t>600 LTS VECA ROOT MAX</t>
  </si>
  <si>
    <t>05/07/2026</t>
  </si>
  <si>
    <t>07/04/2026</t>
  </si>
  <si>
    <t>06/07/2026</t>
  </si>
  <si>
    <t>05/08/2026</t>
  </si>
  <si>
    <t>425 LTS VECA ROOT MAX</t>
  </si>
  <si>
    <t>200 LTS VECA MAGNESIO</t>
  </si>
  <si>
    <t>08/04/2026</t>
  </si>
  <si>
    <t>07/06/2026</t>
  </si>
  <si>
    <t>60 lts AV PLUS BORO</t>
  </si>
  <si>
    <t>09/04/2026</t>
  </si>
  <si>
    <t>08/07/2026</t>
  </si>
  <si>
    <t>660 LTS VECASIL FORTE</t>
  </si>
  <si>
    <t>15/04/2026</t>
  </si>
  <si>
    <t>13/08/2026</t>
  </si>
  <si>
    <t>200 LTS AV ROOT MAX</t>
  </si>
  <si>
    <t>16/04/2026</t>
  </si>
  <si>
    <t>15/06/2026</t>
  </si>
  <si>
    <t>60 LTS AV PLUS BORO</t>
  </si>
  <si>
    <t>PERIODO :  01.01.2026 AL 17.04.2026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</si>
</sst>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##,##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D0D0D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0" fontId="3" fillId="2" borderId="0" xfId="0" applyFont="1" applyFill="1"/>
    <xf numFmtId="164" fontId="2" fillId="2" borderId="0" xfId="0" applyNumberFormat="1" applyFont="1" applyFill="1"/>
    <xf numFmtId="0" fontId="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quotePrefix="1" applyFont="1" applyFill="1"/>
    <xf numFmtId="0" fontId="4" fillId="2" borderId="3" xfId="0" applyFont="1" applyFill="1" applyBorder="1"/>
    <xf numFmtId="43" fontId="2" fillId="2" borderId="0" xfId="1" applyFont="1" applyFill="1"/>
    <xf numFmtId="43" fontId="4" fillId="2" borderId="3" xfId="1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pivotButton="1"/>
    <xf numFmtId="43" fontId="0" fillId="0" borderId="0" xfId="0" applyNumberFormat="1"/>
    <xf numFmtId="0" fontId="0" fillId="2" borderId="0" xfId="0" applyFill="1"/>
    <xf numFmtId="0" fontId="2" fillId="2" borderId="0" xfId="0" quotePrefix="1" applyFont="1" applyFill="1" applyAlignment="1">
      <alignment horizontal="center"/>
    </xf>
    <xf numFmtId="164" fontId="4" fillId="3" borderId="1" xfId="0" applyNumberFormat="1" applyFont="1" applyFill="1" applyBorder="1" applyAlignment="1">
      <alignment horizontal="center" vertical="center"/>
    </xf>
    <xf numFmtId="43" fontId="0" fillId="2" borderId="0" xfId="0" applyNumberFormat="1" applyFill="1"/>
    <xf numFmtId="0" fontId="2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7" fillId="4" borderId="0" xfId="0" applyFont="1" applyFill="1"/>
    <xf numFmtId="43" fontId="2" fillId="2" borderId="0" xfId="0" applyNumberFormat="1" applyFont="1" applyFill="1"/>
    <xf numFmtId="43" fontId="2" fillId="2" borderId="0" xfId="1" quotePrefix="1" applyFont="1" applyFill="1"/>
    <xf numFmtId="43" fontId="7" fillId="4" borderId="0" xfId="1" applyFont="1" applyFill="1"/>
    <xf numFmtId="14" fontId="2" fillId="2" borderId="0" xfId="0" quotePrefix="1" applyNumberFormat="1" applyFont="1" applyFill="1" applyAlignment="1">
      <alignment horizontal="left"/>
    </xf>
    <xf numFmtId="0" fontId="4" fillId="2" borderId="0" xfId="0" quotePrefix="1" applyFont="1" applyFill="1" applyAlignment="1">
      <alignment horizontal="center"/>
    </xf>
    <xf numFmtId="0" fontId="2" fillId="2" borderId="0" xfId="0" quotePrefix="1" applyFont="1" applyFill="1" applyAlignment="1">
      <alignment horizontal="left"/>
    </xf>
  </cellXfs>
  <cellStyles count="4">
    <cellStyle name="Millares" xfId="1" builtinId="3"/>
    <cellStyle name="Millares 2" xfId="2" xr:uid="{6163C014-F0B6-4388-8194-4665C0FB09BE}"/>
    <cellStyle name="Millares 3" xfId="3" xr:uid="{66854CFF-6A82-48C5-ACC8-D3C3A1A2CBEA}"/>
    <cellStyle name="Normal" xfId="0" builtinId="0"/>
  </cellStyles>
  <dxfs count="4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9.387799189812" createdVersion="8" refreshedVersion="8" minRefreshableVersion="3" recordCount="73" xr:uid="{10EE4504-22A3-4B10-9996-EC28CD38E6FB}">
  <cacheSource type="worksheet">
    <worksheetSource ref="B6:K79" sheet="VENTAS ACUMULADAS 2026"/>
  </cacheSource>
  <cacheFields count="10">
    <cacheField name="PERIODO" numFmtId="43">
      <sharedItems count="4">
        <s v="01 ENERO 2026"/>
        <s v="02. FEBRERO 2026"/>
        <s v="03. MARZO 2026"/>
        <s v="04. ABRIL 2026"/>
      </sharedItems>
    </cacheField>
    <cacheField name="FECHA EMISION" numFmtId="0">
      <sharedItems containsDate="1" containsMixedTypes="1" minDate="2026-03-26T00:00:00" maxDate="2026-04-01T00:00:00"/>
    </cacheField>
    <cacheField name="FECHA VENCIMIENTO" numFmtId="0">
      <sharedItems containsDate="1" containsMixedTypes="1" minDate="2026-04-19T00:00:00" maxDate="2026-04-20T00:00:00"/>
    </cacheField>
    <cacheField name="SERIE" numFmtId="0">
      <sharedItems/>
    </cacheField>
    <cacheField name="FACTURA" numFmtId="0">
      <sharedItems containsSemiMixedTypes="0" containsString="0" containsNumber="1" containsInteger="1" minValue="897" maxValue="1011"/>
    </cacheField>
    <cacheField name="NUMERO" numFmtId="0">
      <sharedItems containsSemiMixedTypes="0" containsString="0" containsNumber="1" containsInteger="1" minValue="10237050008" maxValue="20614560011"/>
    </cacheField>
    <cacheField name="DENOMINACION O RAZON SOCIAL" numFmtId="0">
      <sharedItems count="36">
        <s v="FAMILY FARMS PERÚ S.R.L"/>
        <s v="AGRICOLA GUILI S.A.C"/>
        <s v="AGRICOLA SERENGUETI SAC"/>
        <s v="PROCESOS AGROINDUSTRIALES SOCIEDAD ANONIMA"/>
        <s v="SOCIEDAD AGRICOLA 3P S.A.C."/>
        <s v="AGRICOLA HUARMEY S.A.C."/>
        <s v="ALLPA FARMS PERU S.A.C. "/>
        <s v="SUN FRUITS EXPORTS S.A. "/>
        <s v="BOMAREA S.R.L."/>
        <s v="CORPORACION AGROLATINA S.A.C"/>
        <s v="EPIC FARMS S.A.C. "/>
        <s v="AMFRESH PERU AGRISIL S.R.L. "/>
        <s v="AGRICOLA COPACABANA DE CHINCHA S.A"/>
        <s v="AGROPECUARIA A.D.H. S.A.C. "/>
        <s v="AGRICOLA CARMEN LUISA S.A.C."/>
        <s v="AGRO TIERRA VID S.A.C."/>
        <s v="SUREXPORT PERU BERRIES S.A.C"/>
        <s v="POB S.A.C. "/>
        <s v="UVICA S.A.C."/>
        <s v="SOCIEDAD AGRICOLA DON LUIS S.A"/>
        <s v="AGROINDUSTRIA CAMPO VERDE S.A.C"/>
        <s v="INVERSIONES AJS S.A.C."/>
        <s v="LIFONCIO MEZA ANTONIO"/>
        <s v="AGRICOLA PAMPA VERDE S.A.C"/>
        <s v="CORPORACION AGRICOLA OLMOS S.A"/>
        <s v="CORPORACION ESAN E &amp; F SOCIEDAD ANONIMA CERRADA"/>
        <s v="GIDDINGS BERRIES PERU S.A.C."/>
        <s v="MALLQUI ROMERO VICTOR RAUL"/>
        <s v="_x0009_SOCIEDAD EXPORTADORA VERFRUT SOCIEDAD ANONIMA CERRADA"/>
        <s v="VALLE AZUL FARMS S.A.C."/>
        <s v="GRANDBERRY PERU S.A.C. "/>
        <s v="LUNA QUINTANILLA BRYAN ALEXANDER"/>
        <s v="MANUELITA FYH S.A.C. "/>
        <s v="I Q F DEL PERU SA"/>
        <s v="CORPORACION AGROLATINA S.A.C."/>
        <s v="SOCIEDAD EXPORTADORA VERFRUT SOCIEDAD ANONIMA CERRADA"/>
      </sharedItems>
    </cacheField>
    <cacheField name="DOLARES" numFmtId="43">
      <sharedItems containsSemiMixedTypes="0" containsString="0" containsNumber="1" minValue="17" maxValue="24500"/>
    </cacheField>
    <cacheField name="CONCEPTO" numFmtId="0">
      <sharedItems/>
    </cacheField>
    <cacheField name="VENDEDOR" numFmtId="0">
      <sharedItems count="6">
        <s v="NICOLL NAVARRO"/>
        <s v="OSCAR INFANTE"/>
        <s v="OMAR ATALAYA"/>
        <s v="ANTONIO GONZALES"/>
        <s v="LISBETH AGUIRRE"/>
        <s v="PATRICIA VALLADAR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s v="05/01/2026"/>
    <s v="05/04/2026"/>
    <s v="E001"/>
    <n v="897"/>
    <n v="20606133139"/>
    <x v="0"/>
    <n v="4200"/>
    <s v="300 LTS VECASIL FORTE"/>
    <x v="0"/>
  </r>
  <r>
    <x v="0"/>
    <s v="06/01/2026"/>
    <s v="06/04/2026"/>
    <s v="E001"/>
    <n v="901"/>
    <n v="20546512364"/>
    <x v="1"/>
    <n v="2484"/>
    <s v="180 LTS VECASIL FORTE"/>
    <x v="1"/>
  </r>
  <r>
    <x v="0"/>
    <s v="06/01/2026"/>
    <s v="06/04/2026"/>
    <s v="E001"/>
    <n v="902"/>
    <n v="20546512364"/>
    <x v="1"/>
    <n v="2208"/>
    <s v="160 LTS VECASIL FORTE"/>
    <x v="1"/>
  </r>
  <r>
    <x v="0"/>
    <s v="06/01/2026"/>
    <s v="06/04/2026"/>
    <s v="E001"/>
    <n v="903"/>
    <n v="20546512364"/>
    <x v="1"/>
    <n v="4416"/>
    <s v="320 LTS VECASIL FORTE"/>
    <x v="1"/>
  </r>
  <r>
    <x v="0"/>
    <s v="07/01/2026"/>
    <s v="21/02/2026"/>
    <s v="E001"/>
    <n v="904"/>
    <n v="20494738423"/>
    <x v="2"/>
    <n v="160"/>
    <s v="20 LTS ALGAP"/>
    <x v="0"/>
  </r>
  <r>
    <x v="0"/>
    <s v="13/01/2026"/>
    <s v="14/03/2026"/>
    <s v="E001"/>
    <n v="907"/>
    <n v="20100227542"/>
    <x v="3"/>
    <n v="3149"/>
    <s v="470 LTS AV PLUS MICRO MIX"/>
    <x v="1"/>
  </r>
  <r>
    <x v="0"/>
    <s v="13/01/2026"/>
    <s v="27/02/2026"/>
    <s v="E001"/>
    <n v="908"/>
    <n v="20566144434"/>
    <x v="4"/>
    <n v="896.8"/>
    <s v="20 LTS REGALIA MAX"/>
    <x v="0"/>
  </r>
  <r>
    <x v="0"/>
    <s v="13/01/2026"/>
    <s v="13/04/2026"/>
    <s v="E001"/>
    <n v="910"/>
    <n v="20109930751"/>
    <x v="5"/>
    <n v="3780"/>
    <s v="360 LTS VECASIL FORTE"/>
    <x v="2"/>
  </r>
  <r>
    <x v="0"/>
    <s v="15/01/2026"/>
    <s v="16/03/2026"/>
    <s v="E001"/>
    <n v="911"/>
    <n v="20612693804"/>
    <x v="6"/>
    <n v="1400"/>
    <s v="500 LTS VECA MAX FULVIC"/>
    <x v="0"/>
  </r>
  <r>
    <x v="0"/>
    <s v="19/01/2026"/>
    <s v="18/02/2026"/>
    <s v="E001"/>
    <n v="912"/>
    <n v="20494586810"/>
    <x v="7"/>
    <n v="186"/>
    <s v="31 TLS VECA MANGANESO"/>
    <x v="1"/>
  </r>
  <r>
    <x v="0"/>
    <s v="19/01/2026"/>
    <s v="18/02/2026"/>
    <s v="E001"/>
    <n v="913"/>
    <n v="20494586810"/>
    <x v="7"/>
    <n v="54"/>
    <s v="9 TLS VECA MANGANESO"/>
    <x v="1"/>
  </r>
  <r>
    <x v="0"/>
    <s v="20/01/2026"/>
    <s v="20/04/2026"/>
    <s v="E001"/>
    <n v="914"/>
    <n v="20606009284"/>
    <x v="8"/>
    <n v="24500"/>
    <s v="2450 LTS VECASIL FORTE"/>
    <x v="2"/>
  </r>
  <r>
    <x v="0"/>
    <s v="22/01/2026"/>
    <s v="22/04/2026"/>
    <s v="E001"/>
    <n v="916"/>
    <n v="20176770474"/>
    <x v="9"/>
    <n v="400"/>
    <s v="40 LTS ALGAP"/>
    <x v="0"/>
  </r>
  <r>
    <x v="0"/>
    <s v="23/01/2026"/>
    <s v="23/01/2026"/>
    <s v="E001"/>
    <n v="917"/>
    <n v="20607158763"/>
    <x v="10"/>
    <n v="600"/>
    <s v="75 LTS VECA AMIN"/>
    <x v="3"/>
  </r>
  <r>
    <x v="0"/>
    <s v="23/01/2026"/>
    <s v="23/04/2026"/>
    <s v="E001"/>
    <n v="918"/>
    <n v="20614560011"/>
    <x v="11"/>
    <n v="2624"/>
    <s v="142 LTS ALGAP, 53 LTS VECA ROOT MAX"/>
    <x v="1"/>
  </r>
  <r>
    <x v="0"/>
    <s v="26/01/2026"/>
    <s v="30/01/2026"/>
    <s v="E001"/>
    <n v="920"/>
    <n v="20367336081"/>
    <x v="12"/>
    <n v="94.4"/>
    <s v="2 LTS REGALIA MAX"/>
    <x v="1"/>
  </r>
  <r>
    <x v="0"/>
    <s v="26/01/2026"/>
    <s v="25/02/2026"/>
    <s v="E001"/>
    <n v="921"/>
    <n v="20480514212"/>
    <x v="13"/>
    <n v="1246.08"/>
    <s v="32 LTS REGALIA MAX"/>
    <x v="2"/>
  </r>
  <r>
    <x v="0"/>
    <s v="26/01/2026"/>
    <s v="25/02/2026"/>
    <s v="E001"/>
    <n v="922"/>
    <n v="20480514212"/>
    <x v="13"/>
    <n v="545"/>
    <s v="32 LTS SILFORTE, 45 AV PLUS POTASIO"/>
    <x v="2"/>
  </r>
  <r>
    <x v="0"/>
    <s v="30/01/2026"/>
    <s v="31/03/2026"/>
    <s v="E001"/>
    <n v="925"/>
    <n v="20452634873"/>
    <x v="14"/>
    <n v="1310.4000000000001"/>
    <s v="78 LTS VECASIL, 78 LTS VECA HUMIC ROOT"/>
    <x v="1"/>
  </r>
  <r>
    <x v="0"/>
    <s v="30/01/2026"/>
    <s v="30/01/2026"/>
    <s v="E001"/>
    <n v="926"/>
    <n v="20611762543"/>
    <x v="15"/>
    <n v="19257.599999999999"/>
    <s v="480 LTS REGALIA MAX"/>
    <x v="0"/>
  </r>
  <r>
    <x v="1"/>
    <s v="02/02/2026"/>
    <s v="03/04/2026"/>
    <s v="E001"/>
    <n v="928"/>
    <n v="20612887234"/>
    <x v="16"/>
    <n v="4144"/>
    <s v="296 VECA ROOT MAX"/>
    <x v="0"/>
  </r>
  <r>
    <x v="1"/>
    <s v="02/02/2026"/>
    <s v="03/04/2026"/>
    <s v="E001"/>
    <n v="929"/>
    <n v="20612065668"/>
    <x v="17"/>
    <n v="3556"/>
    <s v="254 VECA ROOT MAX"/>
    <x v="0"/>
  </r>
  <r>
    <x v="1"/>
    <s v="03/02/2026"/>
    <s v="03/06/2026"/>
    <s v="E001"/>
    <n v="930"/>
    <n v="20600697511"/>
    <x v="18"/>
    <n v="1404"/>
    <s v="300 LTS VECA PLUS MAGNESIO"/>
    <x v="4"/>
  </r>
  <r>
    <x v="1"/>
    <s v="05/02/2026"/>
    <s v="06/05/2026"/>
    <s v="E001"/>
    <n v="934"/>
    <n v="20109930751"/>
    <x v="5"/>
    <n v="3150"/>
    <s v="300 LTS VECASIL FORTE"/>
    <x v="2"/>
  </r>
  <r>
    <x v="1"/>
    <s v="11/02/2026"/>
    <s v="12/05/2026"/>
    <s v="E001"/>
    <n v="936"/>
    <n v="20176770474"/>
    <x v="9"/>
    <n v="400"/>
    <s v="40 LTS ALGAP"/>
    <x v="4"/>
  </r>
  <r>
    <x v="1"/>
    <s v="12/02/2026"/>
    <s v="13/05/2026"/>
    <s v="E001"/>
    <n v="937"/>
    <n v="20600697511"/>
    <x v="18"/>
    <n v="2208.96"/>
    <s v="48 LTS REGALIA"/>
    <x v="4"/>
  </r>
  <r>
    <x v="1"/>
    <s v="12/02/2026"/>
    <s v="12/06/2026"/>
    <s v="E001"/>
    <n v="938"/>
    <n v="20325346435"/>
    <x v="19"/>
    <n v="4693"/>
    <s v="247 LTS CYTO PRIME"/>
    <x v="1"/>
  </r>
  <r>
    <x v="1"/>
    <s v="12/02/2026"/>
    <s v="13/04/2026"/>
    <s v="E001"/>
    <n v="939"/>
    <n v="20612065668"/>
    <x v="17"/>
    <n v="3640"/>
    <s v="260 LTS VECA ROOT MAX"/>
    <x v="1"/>
  </r>
  <r>
    <x v="1"/>
    <s v="12/02/2026"/>
    <s v="12/06/2026"/>
    <s v="E001"/>
    <n v="940"/>
    <n v="20502072006"/>
    <x v="20"/>
    <n v="437"/>
    <s v="23 LTS CYTO PRIME"/>
    <x v="1"/>
  </r>
  <r>
    <x v="1"/>
    <s v="12/02/2026"/>
    <s v="12/06/2026"/>
    <s v="E001"/>
    <n v="941"/>
    <n v="20608162926"/>
    <x v="21"/>
    <n v="304"/>
    <s v="16 LTS CYTO PRIME"/>
    <x v="1"/>
  </r>
  <r>
    <x v="1"/>
    <s v="13/02/2026"/>
    <s v="12/02/2026"/>
    <s v="E001"/>
    <n v="945"/>
    <n v="10707557686"/>
    <x v="22"/>
    <n v="17"/>
    <s v="2 LTS AV PLUS NUTRIMIX"/>
    <x v="4"/>
  </r>
  <r>
    <x v="1"/>
    <s v="18/02/2026"/>
    <d v="2026-04-19T00:00:00"/>
    <s v="E001"/>
    <n v="948"/>
    <n v="20452634873"/>
    <x v="14"/>
    <n v="1365"/>
    <s v="78 LTS VECASIL, 78 LTS VECA HUMIC ROOT"/>
    <x v="4"/>
  </r>
  <r>
    <x v="1"/>
    <s v="23/02/2026"/>
    <s v="23/06/2026"/>
    <s v="E001"/>
    <n v="952"/>
    <n v="20608162926"/>
    <x v="21"/>
    <n v="222"/>
    <s v="30 LTS VECA PLUS MANGNESIO"/>
    <x v="1"/>
  </r>
  <r>
    <x v="1"/>
    <s v="23/02/2026"/>
    <s v="23/06/2026"/>
    <s v="E001"/>
    <n v="953"/>
    <n v="20502072006"/>
    <x v="20"/>
    <n v="429.2"/>
    <s v="58 LTS VECA PLUS MANGNESIO"/>
    <x v="1"/>
  </r>
  <r>
    <x v="1"/>
    <s v="23/02/2026"/>
    <s v="23/06/2026"/>
    <s v="E001"/>
    <n v="954"/>
    <n v="20325346435"/>
    <x v="19"/>
    <n v="5557.4"/>
    <s v="751 LTS VECA PLUS MANGNESIO"/>
    <x v="1"/>
  </r>
  <r>
    <x v="1"/>
    <s v="24/02/2026"/>
    <s v="24/06/2026"/>
    <s v="E001"/>
    <n v="956"/>
    <n v="20509113573"/>
    <x v="23"/>
    <n v="1126.4000000000001"/>
    <s v="256 LTS VECA PLUS CALCIO"/>
    <x v="4"/>
  </r>
  <r>
    <x v="1"/>
    <s v="26/02/2026"/>
    <s v="28/03/2026"/>
    <s v="E001"/>
    <n v="957"/>
    <n v="20494586810"/>
    <x v="7"/>
    <n v="240"/>
    <s v="40 LTS VECA PLUS MANGANESO"/>
    <x v="1"/>
  </r>
  <r>
    <x v="1"/>
    <s v="26/02/2026"/>
    <s v="27/05/2025"/>
    <s v="E001"/>
    <n v="958"/>
    <n v="20614560011"/>
    <x v="11"/>
    <n v="665"/>
    <s v="95 LTS VECA AMIN"/>
    <x v="1"/>
  </r>
  <r>
    <x v="1"/>
    <s v="26/02/2026"/>
    <s v="27/05/2025"/>
    <s v="E001"/>
    <n v="960"/>
    <n v="20563196387"/>
    <x v="24"/>
    <n v="5850.44"/>
    <s v="134 LTS REGALIA MAX"/>
    <x v="2"/>
  </r>
  <r>
    <x v="2"/>
    <s v="02/03/2026"/>
    <s v="31/05/2026"/>
    <s v="E001"/>
    <n v="965"/>
    <n v="20608328409"/>
    <x v="25"/>
    <n v="6112.4"/>
    <s v="140 LTS RELAIA MAX"/>
    <x v="4"/>
  </r>
  <r>
    <x v="2"/>
    <s v="02/03/2026"/>
    <s v="31/05/2026"/>
    <s v="E001"/>
    <n v="966"/>
    <n v="20606009284"/>
    <x v="8"/>
    <n v="10000"/>
    <s v="1000 LTS VECASIL FORTE"/>
    <x v="2"/>
  </r>
  <r>
    <x v="2"/>
    <s v="03/03/2026"/>
    <s v="30/06/2026"/>
    <s v="E001"/>
    <n v="967"/>
    <n v="20600697511"/>
    <x v="18"/>
    <n v="936"/>
    <s v="200 LTS MAGNESIO"/>
    <x v="4"/>
  </r>
  <r>
    <x v="2"/>
    <s v="04/03/2026"/>
    <s v="02/04/2026"/>
    <s v="E001"/>
    <n v="968"/>
    <n v="20565586247"/>
    <x v="26"/>
    <n v="1232"/>
    <s v="88 lts ALGAP 30"/>
    <x v="1"/>
  </r>
  <r>
    <x v="2"/>
    <s v="04/03/2026"/>
    <s v="02/06/2026"/>
    <s v="E001"/>
    <n v="969"/>
    <n v="20600697511"/>
    <x v="18"/>
    <n v="2761.2"/>
    <s v="60 TLS REGALIA MAXX"/>
    <x v="4"/>
  </r>
  <r>
    <x v="2"/>
    <s v="04/03/2026"/>
    <s v="02/06/2026"/>
    <s v="E001"/>
    <n v="970"/>
    <n v="20608328409"/>
    <x v="25"/>
    <n v="10522.06"/>
    <s v="241 TLS REGALIA MAXX"/>
    <x v="4"/>
  </r>
  <r>
    <x v="2"/>
    <s v="04/03/2026"/>
    <s v="07/03/2026"/>
    <s v="E001"/>
    <n v="971"/>
    <n v="10237050008"/>
    <x v="27"/>
    <n v="320"/>
    <s v="20 TLS ALGAP 30, 20 LTS AMIN SUGAR"/>
    <x v="1"/>
  </r>
  <r>
    <x v="2"/>
    <s v="05/03/2026"/>
    <s v="04/04/2026"/>
    <s v="E001"/>
    <n v="972"/>
    <n v="20601438586"/>
    <x v="28"/>
    <n v="200"/>
    <s v="20 lts VECASIL FORTE"/>
    <x v="5"/>
  </r>
  <r>
    <x v="2"/>
    <s v="09/03/2026"/>
    <s v="09/03/2026"/>
    <s v="E001"/>
    <n v="975"/>
    <n v="20613808893"/>
    <x v="29"/>
    <n v="96"/>
    <s v="6 LTS AV SILFORTE"/>
    <x v="3"/>
  </r>
  <r>
    <x v="2"/>
    <s v="10/03/2026"/>
    <s v="08/06/2023"/>
    <s v="E001"/>
    <n v="976"/>
    <n v="20606009284"/>
    <x v="8"/>
    <n v="10000"/>
    <s v="1000 LTS VECASIL FORTE"/>
    <x v="2"/>
  </r>
  <r>
    <x v="2"/>
    <s v="12/03/2026"/>
    <s v="11/05/2026"/>
    <s v="E001"/>
    <n v="977"/>
    <n v="20452634873"/>
    <x v="14"/>
    <n v="2646"/>
    <s v="156 LTS VECA HUMIC ROOT, 150 LTS VECASIL FORTE"/>
    <x v="4"/>
  </r>
  <r>
    <x v="2"/>
    <s v="13/03/2026"/>
    <s v="12/04/2026"/>
    <s v="E001"/>
    <n v="978"/>
    <n v="20602691439"/>
    <x v="30"/>
    <n v="4531.2"/>
    <s v="96 LTS REGALIA"/>
    <x v="1"/>
  </r>
  <r>
    <x v="2"/>
    <s v="18/03/2026"/>
    <s v="16/06/2026"/>
    <s v="E001"/>
    <n v="979"/>
    <n v="20606133139"/>
    <x v="0"/>
    <n v="6132"/>
    <s v="438 LTS AV SILIFORTE"/>
    <x v="4"/>
  </r>
  <r>
    <x v="2"/>
    <s v="18/03/2026"/>
    <s v="16/06/2026"/>
    <s v="E001"/>
    <n v="981"/>
    <n v="10724616572"/>
    <x v="31"/>
    <n v="522"/>
    <s v="36 LTS HUMIC ROOT, 24 LTS VECA POTASIO, 36 LTS VECA FULVIC, 24 LTS CALCIO BORO"/>
    <x v="1"/>
  </r>
  <r>
    <x v="2"/>
    <s v="19/03/2026"/>
    <s v="18/05/2026"/>
    <s v="E001"/>
    <n v="982"/>
    <n v="20452634873"/>
    <x v="14"/>
    <n v="280"/>
    <s v="80 LTS VECA HUMIC ROOT"/>
    <x v="4"/>
  </r>
  <r>
    <x v="2"/>
    <s v="20/03/2026"/>
    <s v="19/04/2026"/>
    <s v="E001"/>
    <n v="983"/>
    <n v="20411051782"/>
    <x v="32"/>
    <n v="3150"/>
    <s v="420 VECA ZINC"/>
    <x v="1"/>
  </r>
  <r>
    <x v="2"/>
    <s v="20/03/2026"/>
    <s v="19/05/2026"/>
    <s v="E001"/>
    <n v="984"/>
    <n v="20601438586"/>
    <x v="28"/>
    <n v="400"/>
    <s v="40 LTS VECASIL FORTE"/>
    <x v="5"/>
  </r>
  <r>
    <x v="2"/>
    <s v="23/03/2026"/>
    <s v="27/07/2026"/>
    <s v="E001"/>
    <n v="985"/>
    <n v="20325346435"/>
    <x v="19"/>
    <n v="5477.5"/>
    <s v="626 LTS VECA MOVE"/>
    <x v="1"/>
  </r>
  <r>
    <x v="2"/>
    <s v="23/03/2026"/>
    <s v="27/07/2026"/>
    <s v="E001"/>
    <n v="986"/>
    <n v="20608162926"/>
    <x v="21"/>
    <n v="280"/>
    <s v="32 ÑTS VECA MOVE"/>
    <x v="1"/>
  </r>
  <r>
    <x v="2"/>
    <d v="2026-03-26T00:00:00"/>
    <s v="25/05/2026"/>
    <s v="E001"/>
    <n v="989"/>
    <n v="20452634873"/>
    <x v="14"/>
    <n v="250"/>
    <s v="50 LTS VECA PLUS BORO"/>
    <x v="4"/>
  </r>
  <r>
    <x v="2"/>
    <s v="27/03/2026"/>
    <s v="25/06/2026"/>
    <s v="E001"/>
    <n v="990"/>
    <n v="20100032709"/>
    <x v="33"/>
    <n v="4200"/>
    <s v="300 LTS VECA ROOT MAX"/>
    <x v="1"/>
  </r>
  <r>
    <x v="2"/>
    <s v="27/03/2026"/>
    <s v="25/06/2026"/>
    <s v="E001"/>
    <n v="991"/>
    <n v="20100032709"/>
    <x v="33"/>
    <n v="7920"/>
    <s v="600 LTS VECASIL FORTE"/>
    <x v="1"/>
  </r>
  <r>
    <x v="2"/>
    <d v="2026-03-30T00:00:00"/>
    <s v="28/06/2026"/>
    <s v="E001"/>
    <n v="992"/>
    <n v="20176770474"/>
    <x v="34"/>
    <n v="2000"/>
    <s v="200 LTS ALGAP"/>
    <x v="4"/>
  </r>
  <r>
    <x v="2"/>
    <d v="2026-03-31T00:00:00"/>
    <s v="29/06/2026"/>
    <s v="E001"/>
    <n v="993"/>
    <n v="20614560011"/>
    <x v="11"/>
    <n v="11248"/>
    <s v="200 LTS ALGAP, 144 LTS VECA AMIN,  620 VECA ROOT MAX"/>
    <x v="1"/>
  </r>
  <r>
    <x v="2"/>
    <d v="2026-03-31T00:00:00"/>
    <s v="30/05/2026"/>
    <s v="E001"/>
    <n v="998"/>
    <n v="20601438586"/>
    <x v="35"/>
    <n v="400"/>
    <s v="40 LTS VECASIL FORTE"/>
    <x v="5"/>
  </r>
  <r>
    <x v="3"/>
    <s v="06/04/2026"/>
    <s v="05/07/2026"/>
    <s v="E001"/>
    <n v="1001"/>
    <n v="20100032709"/>
    <x v="33"/>
    <n v="8100"/>
    <s v="600 LTS VECA ROOT MAX"/>
    <x v="1"/>
  </r>
  <r>
    <x v="3"/>
    <s v="07/04/2026"/>
    <s v="05/08/2026"/>
    <s v="E001"/>
    <n v="1003"/>
    <n v="20600697511"/>
    <x v="18"/>
    <n v="936"/>
    <s v="200 LTS VECA MAGNESIO"/>
    <x v="4"/>
  </r>
  <r>
    <x v="3"/>
    <s v="07/04/2026"/>
    <s v="05/08/2026"/>
    <s v="E001"/>
    <n v="1004"/>
    <n v="20600697511"/>
    <x v="18"/>
    <n v="936"/>
    <s v="200 LTS VECA MAGNESIO"/>
    <x v="4"/>
  </r>
  <r>
    <x v="3"/>
    <s v="07/04/2026"/>
    <s v="06/07/2026"/>
    <s v="E001"/>
    <n v="1005"/>
    <n v="20100032709"/>
    <x v="33"/>
    <n v="5737.5"/>
    <s v="425 LTS VECA ROOT MAX"/>
    <x v="1"/>
  </r>
  <r>
    <x v="3"/>
    <s v="08/04/2026"/>
    <s v="07/06/2026"/>
    <s v="E001"/>
    <n v="1006"/>
    <n v="20452634873"/>
    <x v="14"/>
    <n v="300"/>
    <s v="60 lts AV PLUS BORO"/>
    <x v="4"/>
  </r>
  <r>
    <x v="3"/>
    <s v="09/04/2026"/>
    <s v="08/07/2026"/>
    <s v="E001"/>
    <n v="1008"/>
    <n v="20100032709"/>
    <x v="33"/>
    <n v="8712"/>
    <s v="660 LTS VECASIL FORTE"/>
    <x v="1"/>
  </r>
  <r>
    <x v="3"/>
    <s v="15/04/2026"/>
    <s v="13/08/2026"/>
    <s v="E001"/>
    <n v="1009"/>
    <n v="20600697511"/>
    <x v="18"/>
    <n v="2800"/>
    <s v="200 LTS AV ROOT MAX"/>
    <x v="4"/>
  </r>
  <r>
    <x v="3"/>
    <s v="16/04/2026"/>
    <s v="15/06/2026"/>
    <s v="E001"/>
    <n v="1010"/>
    <n v="20600697511"/>
    <x v="18"/>
    <n v="300"/>
    <s v="60 LTS AV PLUS BORO"/>
    <x v="4"/>
  </r>
  <r>
    <x v="3"/>
    <s v="16/04/2026"/>
    <s v="15/06/2026"/>
    <s v="E001"/>
    <n v="1011"/>
    <n v="20452634873"/>
    <x v="14"/>
    <n v="300"/>
    <s v="60 LTS AV PLUS BORO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A4332-F129-442F-9D00-583F760CB2EE}" name="TablaDinámica1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11:G19" firstHeaderRow="1" firstDataRow="2" firstDataCol="1" rowPageCount="1" colPageCount="1"/>
  <pivotFields count="10"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7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dataField="1" compact="0" numFmtId="43" outline="0" showAll="0"/>
    <pivotField compact="0" outline="0" showAll="0"/>
    <pivotField axis="axisRow" compact="0" outline="0" showAll="0">
      <items count="7">
        <item x="1"/>
        <item x="0"/>
        <item x="2"/>
        <item x="3"/>
        <item x="4"/>
        <item x="5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Suma de DOLARES" fld="7" baseField="0" baseItem="0" numFmtId="43"/>
  </dataFields>
  <formats count="2">
    <format dxfId="1">
      <pivotArea outline="0" fieldPosition="0">
        <references count="1">
          <reference field="9" count="0" selected="0"/>
        </references>
      </pivotArea>
    </format>
    <format dxfId="0">
      <pivotArea dataOnly="0" labelOnly="1" outline="0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4A6DD-F54C-4FCA-B353-5872E0C3A924}" name="TablaDinámica3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28:G66" firstHeaderRow="1" firstDataRow="2" firstDataCol="1" rowPageCount="1" colPageCount="1"/>
  <pivotFields count="10"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7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dataField="1" compact="0" numFmtId="43" outline="0" showAll="0"/>
    <pivotField compact="0" outline="0" showAll="0"/>
    <pivotField axis="axisPage" compact="0" outline="0" multipleItemSelectionAllowed="1" showAll="0">
      <items count="7">
        <item x="1"/>
        <item x="0"/>
        <item x="2"/>
        <item x="3"/>
        <item x="4"/>
        <item x="5"/>
        <item t="default"/>
      </items>
    </pivotField>
  </pivotFields>
  <rowFields count="1">
    <field x="6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9" hier="-1"/>
  </pageFields>
  <dataFields count="1">
    <dataField name="Suma de DOLARES" fld="7" baseField="0" baseItem="0" numFmtId="43"/>
  </dataFields>
  <formats count="2">
    <format dxfId="3">
      <pivotArea outline="0" fieldPosition="0">
        <references count="1">
          <reference field="6" count="0" selected="0"/>
        </references>
      </pivotArea>
    </format>
    <format dxfId="2">
      <pivotArea dataOnly="0" labelOnly="1" outline="0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A210-D02D-4611-8803-ACB98A77FC14}">
  <dimension ref="A1:L66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8" sqref="B18"/>
    </sheetView>
  </sheetViews>
  <sheetFormatPr baseColWidth="10" defaultRowHeight="14.4" x14ac:dyDescent="0.3"/>
  <cols>
    <col min="1" max="1" width="5.21875" style="15" customWidth="1"/>
    <col min="2" max="2" width="60.44140625" style="15" bestFit="1" customWidth="1"/>
    <col min="3" max="6" width="17.5546875" style="15" bestFit="1" customWidth="1"/>
    <col min="7" max="7" width="12.44140625" style="15" bestFit="1" customWidth="1"/>
    <col min="8" max="13" width="20.44140625" style="15" bestFit="1" customWidth="1"/>
    <col min="14" max="14" width="12.44140625" style="15" bestFit="1" customWidth="1"/>
    <col min="15" max="16384" width="11.5546875" style="15"/>
  </cols>
  <sheetData>
    <row r="1" spans="1:7" ht="4.8" customHeight="1" x14ac:dyDescent="0.3"/>
    <row r="2" spans="1:7" ht="15.6" x14ac:dyDescent="0.3">
      <c r="B2" s="2" t="s">
        <v>0</v>
      </c>
    </row>
    <row r="3" spans="1:7" x14ac:dyDescent="0.3">
      <c r="B3" s="20" t="s">
        <v>13</v>
      </c>
    </row>
    <row r="4" spans="1:7" x14ac:dyDescent="0.3">
      <c r="B4" s="20" t="s">
        <v>23</v>
      </c>
    </row>
    <row r="5" spans="1:7" ht="9" customHeight="1" x14ac:dyDescent="0.3">
      <c r="B5" s="4"/>
    </row>
    <row r="6" spans="1:7" ht="9" customHeight="1" x14ac:dyDescent="0.3">
      <c r="B6" s="4"/>
    </row>
    <row r="7" spans="1:7" x14ac:dyDescent="0.3">
      <c r="A7" s="21">
        <v>2</v>
      </c>
      <c r="B7" s="21" t="s">
        <v>19</v>
      </c>
    </row>
    <row r="8" spans="1:7" ht="4.2" customHeight="1" x14ac:dyDescent="0.3">
      <c r="A8" s="21"/>
      <c r="B8" s="21"/>
    </row>
    <row r="9" spans="1:7" x14ac:dyDescent="0.3">
      <c r="A9" s="21"/>
      <c r="B9" s="13" t="s">
        <v>2</v>
      </c>
      <c r="C9" t="s">
        <v>20</v>
      </c>
    </row>
    <row r="11" spans="1:7" x14ac:dyDescent="0.3">
      <c r="B11" s="13" t="s">
        <v>15</v>
      </c>
      <c r="C11" s="13" t="s">
        <v>8</v>
      </c>
      <c r="D11"/>
      <c r="E11"/>
      <c r="F11"/>
      <c r="G11"/>
    </row>
    <row r="12" spans="1:7" x14ac:dyDescent="0.3">
      <c r="B12" s="13" t="s">
        <v>16</v>
      </c>
      <c r="C12" t="s">
        <v>24</v>
      </c>
      <c r="D12" t="s">
        <v>85</v>
      </c>
      <c r="E12" t="s">
        <v>132</v>
      </c>
      <c r="F12" t="s">
        <v>202</v>
      </c>
      <c r="G12" t="s">
        <v>14</v>
      </c>
    </row>
    <row r="13" spans="1:7" x14ac:dyDescent="0.3">
      <c r="B13" s="15" t="s">
        <v>17</v>
      </c>
      <c r="C13" s="18">
        <v>16525.8</v>
      </c>
      <c r="D13" s="18">
        <v>16187.6</v>
      </c>
      <c r="E13" s="18">
        <v>38880.699999999997</v>
      </c>
      <c r="F13" s="18">
        <v>22549.5</v>
      </c>
      <c r="G13" s="18">
        <v>94143.6</v>
      </c>
    </row>
    <row r="14" spans="1:7" x14ac:dyDescent="0.3">
      <c r="B14" s="15" t="s">
        <v>22</v>
      </c>
      <c r="C14" s="18">
        <v>26314.399999999998</v>
      </c>
      <c r="D14" s="18">
        <v>7700</v>
      </c>
      <c r="E14" s="18"/>
      <c r="F14" s="18"/>
      <c r="G14" s="18">
        <v>34014.399999999994</v>
      </c>
    </row>
    <row r="15" spans="1:7" x14ac:dyDescent="0.3">
      <c r="B15" s="15" t="s">
        <v>42</v>
      </c>
      <c r="C15" s="18">
        <v>30071.08</v>
      </c>
      <c r="D15" s="18">
        <v>9000.4399999999987</v>
      </c>
      <c r="E15" s="18">
        <v>20000</v>
      </c>
      <c r="F15" s="18"/>
      <c r="G15" s="18">
        <v>59071.520000000004</v>
      </c>
    </row>
    <row r="16" spans="1:7" x14ac:dyDescent="0.3">
      <c r="B16" s="15" t="s">
        <v>69</v>
      </c>
      <c r="C16" s="18">
        <v>600</v>
      </c>
      <c r="D16" s="18"/>
      <c r="E16" s="18">
        <v>96</v>
      </c>
      <c r="F16" s="18"/>
      <c r="G16" s="18">
        <v>696</v>
      </c>
    </row>
    <row r="17" spans="1:12" x14ac:dyDescent="0.3">
      <c r="B17" s="15" t="s">
        <v>98</v>
      </c>
      <c r="C17" s="18"/>
      <c r="D17" s="18">
        <v>6521.3600000000006</v>
      </c>
      <c r="E17" s="18">
        <v>31639.659999999996</v>
      </c>
      <c r="F17" s="18">
        <v>5572</v>
      </c>
      <c r="G17" s="18">
        <v>43733.02</v>
      </c>
    </row>
    <row r="18" spans="1:12" x14ac:dyDescent="0.3">
      <c r="B18" s="15" t="s">
        <v>154</v>
      </c>
      <c r="C18" s="18"/>
      <c r="D18" s="18"/>
      <c r="E18" s="18">
        <v>1000</v>
      </c>
      <c r="F18" s="18"/>
      <c r="G18" s="18">
        <v>1000</v>
      </c>
    </row>
    <row r="19" spans="1:12" x14ac:dyDescent="0.3">
      <c r="B19" t="s">
        <v>14</v>
      </c>
      <c r="C19" s="14">
        <v>73511.28</v>
      </c>
      <c r="D19" s="14">
        <v>39409.399999999994</v>
      </c>
      <c r="E19" s="14">
        <v>91616.359999999986</v>
      </c>
      <c r="F19" s="14">
        <v>28121.5</v>
      </c>
      <c r="G19" s="14">
        <v>232658.54</v>
      </c>
    </row>
    <row r="20" spans="1:12" ht="13.2" customHeight="1" x14ac:dyDescent="0.3"/>
    <row r="21" spans="1:12" ht="16.2" customHeight="1" x14ac:dyDescent="0.3"/>
    <row r="22" spans="1:12" ht="9" customHeight="1" x14ac:dyDescent="0.3"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ht="9" customHeight="1" x14ac:dyDescent="0.3">
      <c r="B23"/>
      <c r="C23" s="14"/>
      <c r="D23" s="14"/>
      <c r="E23" s="18"/>
      <c r="F23" s="18"/>
      <c r="G23" s="18"/>
      <c r="H23" s="18"/>
      <c r="I23" s="18"/>
      <c r="J23" s="18"/>
      <c r="K23" s="18"/>
      <c r="L23" s="18"/>
    </row>
    <row r="24" spans="1:12" x14ac:dyDescent="0.3">
      <c r="A24" s="15">
        <v>1</v>
      </c>
      <c r="B24" s="21" t="s">
        <v>18</v>
      </c>
    </row>
    <row r="25" spans="1:12" ht="13.2" customHeight="1" x14ac:dyDescent="0.3"/>
    <row r="26" spans="1:12" ht="13.2" customHeight="1" x14ac:dyDescent="0.3">
      <c r="B26" s="13" t="s">
        <v>16</v>
      </c>
      <c r="C26" t="s">
        <v>20</v>
      </c>
    </row>
    <row r="27" spans="1:12" ht="13.2" customHeight="1" x14ac:dyDescent="0.3"/>
    <row r="28" spans="1:12" x14ac:dyDescent="0.3">
      <c r="B28" s="13" t="s">
        <v>15</v>
      </c>
      <c r="C28" s="13" t="s">
        <v>8</v>
      </c>
      <c r="D28"/>
      <c r="E28"/>
      <c r="F28"/>
      <c r="G28"/>
    </row>
    <row r="29" spans="1:12" x14ac:dyDescent="0.3">
      <c r="B29" s="13" t="s">
        <v>2</v>
      </c>
      <c r="C29" t="s">
        <v>24</v>
      </c>
      <c r="D29" t="s">
        <v>85</v>
      </c>
      <c r="E29" t="s">
        <v>132</v>
      </c>
      <c r="F29" t="s">
        <v>202</v>
      </c>
      <c r="G29" t="s">
        <v>14</v>
      </c>
    </row>
    <row r="30" spans="1:12" x14ac:dyDescent="0.3">
      <c r="B30" s="15" t="s">
        <v>7</v>
      </c>
      <c r="C30" s="18">
        <v>4200</v>
      </c>
      <c r="D30" s="18"/>
      <c r="E30" s="18">
        <v>6132</v>
      </c>
      <c r="F30" s="18"/>
      <c r="G30" s="18">
        <v>10332</v>
      </c>
    </row>
    <row r="31" spans="1:12" x14ac:dyDescent="0.3">
      <c r="B31" s="15" t="s">
        <v>33</v>
      </c>
      <c r="C31" s="18">
        <v>9108</v>
      </c>
      <c r="D31" s="18"/>
      <c r="E31" s="18"/>
      <c r="F31" s="18"/>
      <c r="G31" s="18">
        <v>9108</v>
      </c>
    </row>
    <row r="32" spans="1:12" x14ac:dyDescent="0.3">
      <c r="B32" s="15" t="s">
        <v>35</v>
      </c>
      <c r="C32" s="18">
        <v>160</v>
      </c>
      <c r="D32" s="18"/>
      <c r="E32" s="18"/>
      <c r="F32" s="18"/>
      <c r="G32" s="18">
        <v>160</v>
      </c>
    </row>
    <row r="33" spans="2:7" x14ac:dyDescent="0.3">
      <c r="B33" s="15" t="s">
        <v>40</v>
      </c>
      <c r="C33" s="18">
        <v>3149</v>
      </c>
      <c r="D33" s="18"/>
      <c r="E33" s="18"/>
      <c r="F33" s="18"/>
      <c r="G33" s="18">
        <v>3149</v>
      </c>
    </row>
    <row r="34" spans="2:7" x14ac:dyDescent="0.3">
      <c r="B34" s="15" t="s">
        <v>46</v>
      </c>
      <c r="C34" s="18">
        <v>896.8</v>
      </c>
      <c r="D34" s="18"/>
      <c r="E34" s="18"/>
      <c r="F34" s="18"/>
      <c r="G34" s="18">
        <v>896.8</v>
      </c>
    </row>
    <row r="35" spans="2:7" x14ac:dyDescent="0.3">
      <c r="B35" s="15" t="s">
        <v>49</v>
      </c>
      <c r="C35" s="18">
        <v>1400</v>
      </c>
      <c r="D35" s="18"/>
      <c r="E35" s="18"/>
      <c r="F35" s="18"/>
      <c r="G35" s="18">
        <v>1400</v>
      </c>
    </row>
    <row r="36" spans="2:7" x14ac:dyDescent="0.3">
      <c r="B36" s="15" t="s">
        <v>54</v>
      </c>
      <c r="C36" s="18">
        <v>240</v>
      </c>
      <c r="D36" s="18">
        <v>240</v>
      </c>
      <c r="E36" s="18"/>
      <c r="F36" s="18"/>
      <c r="G36" s="18">
        <v>480</v>
      </c>
    </row>
    <row r="37" spans="2:7" x14ac:dyDescent="0.3">
      <c r="B37" s="15" t="s">
        <v>59</v>
      </c>
      <c r="C37" s="18">
        <v>24500</v>
      </c>
      <c r="D37" s="18"/>
      <c r="E37" s="18">
        <v>20000</v>
      </c>
      <c r="F37" s="18"/>
      <c r="G37" s="18">
        <v>44500</v>
      </c>
    </row>
    <row r="38" spans="2:7" x14ac:dyDescent="0.3">
      <c r="B38" s="15" t="s">
        <v>63</v>
      </c>
      <c r="C38" s="18">
        <v>400</v>
      </c>
      <c r="D38" s="18">
        <v>400</v>
      </c>
      <c r="E38" s="18"/>
      <c r="F38" s="18"/>
      <c r="G38" s="18">
        <v>800</v>
      </c>
    </row>
    <row r="39" spans="2:7" x14ac:dyDescent="0.3">
      <c r="B39" s="15" t="s">
        <v>65</v>
      </c>
      <c r="C39" s="18">
        <v>600</v>
      </c>
      <c r="D39" s="18"/>
      <c r="E39" s="18"/>
      <c r="F39" s="18"/>
      <c r="G39" s="18">
        <v>600</v>
      </c>
    </row>
    <row r="40" spans="2:7" x14ac:dyDescent="0.3">
      <c r="B40" s="15" t="s">
        <v>67</v>
      </c>
      <c r="C40" s="18">
        <v>2624</v>
      </c>
      <c r="D40" s="18">
        <v>665</v>
      </c>
      <c r="E40" s="18">
        <v>11248</v>
      </c>
      <c r="F40" s="18"/>
      <c r="G40" s="18">
        <v>14537</v>
      </c>
    </row>
    <row r="41" spans="2:7" x14ac:dyDescent="0.3">
      <c r="B41" s="15" t="s">
        <v>70</v>
      </c>
      <c r="C41" s="18">
        <v>94.4</v>
      </c>
      <c r="D41" s="18"/>
      <c r="E41" s="18"/>
      <c r="F41" s="18"/>
      <c r="G41" s="18">
        <v>94.4</v>
      </c>
    </row>
    <row r="42" spans="2:7" x14ac:dyDescent="0.3">
      <c r="B42" s="15" t="s">
        <v>73</v>
      </c>
      <c r="C42" s="18">
        <v>1791.08</v>
      </c>
      <c r="D42" s="18"/>
      <c r="E42" s="18"/>
      <c r="F42" s="18"/>
      <c r="G42" s="18">
        <v>1791.08</v>
      </c>
    </row>
    <row r="43" spans="2:7" x14ac:dyDescent="0.3">
      <c r="B43" s="15" t="s">
        <v>82</v>
      </c>
      <c r="C43" s="18">
        <v>1310.4000000000001</v>
      </c>
      <c r="D43" s="18">
        <v>1365</v>
      </c>
      <c r="E43" s="18">
        <v>3176</v>
      </c>
      <c r="F43" s="18">
        <v>600</v>
      </c>
      <c r="G43" s="18">
        <v>6451.4</v>
      </c>
    </row>
    <row r="44" spans="2:7" x14ac:dyDescent="0.3">
      <c r="B44" s="15" t="s">
        <v>83</v>
      </c>
      <c r="C44" s="18">
        <v>19257.599999999999</v>
      </c>
      <c r="D44" s="18"/>
      <c r="E44" s="18"/>
      <c r="F44" s="18"/>
      <c r="G44" s="18">
        <v>19257.599999999999</v>
      </c>
    </row>
    <row r="45" spans="2:7" x14ac:dyDescent="0.3">
      <c r="B45" s="15" t="s">
        <v>87</v>
      </c>
      <c r="C45" s="18"/>
      <c r="D45" s="18">
        <v>4144</v>
      </c>
      <c r="E45" s="18"/>
      <c r="F45" s="18"/>
      <c r="G45" s="18">
        <v>4144</v>
      </c>
    </row>
    <row r="46" spans="2:7" x14ac:dyDescent="0.3">
      <c r="B46" s="15" t="s">
        <v>90</v>
      </c>
      <c r="C46" s="18"/>
      <c r="D46" s="18">
        <v>7196</v>
      </c>
      <c r="E46" s="18"/>
      <c r="F46" s="18"/>
      <c r="G46" s="18">
        <v>7196</v>
      </c>
    </row>
    <row r="47" spans="2:7" x14ac:dyDescent="0.3">
      <c r="B47" s="15" t="s">
        <v>95</v>
      </c>
      <c r="C47" s="18">
        <v>3780</v>
      </c>
      <c r="D47" s="18">
        <v>3150</v>
      </c>
      <c r="E47" s="18"/>
      <c r="F47" s="18"/>
      <c r="G47" s="18">
        <v>6930</v>
      </c>
    </row>
    <row r="48" spans="2:7" x14ac:dyDescent="0.3">
      <c r="B48" s="15" t="s">
        <v>102</v>
      </c>
      <c r="C48" s="18"/>
      <c r="D48" s="18">
        <v>3612.96</v>
      </c>
      <c r="E48" s="18">
        <v>3697.2</v>
      </c>
      <c r="F48" s="18">
        <v>4972</v>
      </c>
      <c r="G48" s="18">
        <v>12282.16</v>
      </c>
    </row>
    <row r="49" spans="2:7" x14ac:dyDescent="0.3">
      <c r="B49" s="15" t="s">
        <v>106</v>
      </c>
      <c r="C49" s="18"/>
      <c r="D49" s="18">
        <v>10250.4</v>
      </c>
      <c r="E49" s="18">
        <v>5477.5</v>
      </c>
      <c r="F49" s="18"/>
      <c r="G49" s="18">
        <v>15727.9</v>
      </c>
    </row>
    <row r="50" spans="2:7" x14ac:dyDescent="0.3">
      <c r="B50" s="15" t="s">
        <v>109</v>
      </c>
      <c r="C50" s="18"/>
      <c r="D50" s="18">
        <v>866.2</v>
      </c>
      <c r="E50" s="18"/>
      <c r="F50" s="18"/>
      <c r="G50" s="18">
        <v>866.2</v>
      </c>
    </row>
    <row r="51" spans="2:7" x14ac:dyDescent="0.3">
      <c r="B51" s="15" t="s">
        <v>112</v>
      </c>
      <c r="C51" s="18"/>
      <c r="D51" s="18">
        <v>526</v>
      </c>
      <c r="E51" s="18">
        <v>280</v>
      </c>
      <c r="F51" s="18"/>
      <c r="G51" s="18">
        <v>806</v>
      </c>
    </row>
    <row r="52" spans="2:7" x14ac:dyDescent="0.3">
      <c r="B52" s="15" t="s">
        <v>115</v>
      </c>
      <c r="C52" s="18"/>
      <c r="D52" s="18">
        <v>17</v>
      </c>
      <c r="E52" s="18"/>
      <c r="F52" s="18"/>
      <c r="G52" s="18">
        <v>17</v>
      </c>
    </row>
    <row r="53" spans="2:7" x14ac:dyDescent="0.3">
      <c r="B53" s="15" t="s">
        <v>116</v>
      </c>
      <c r="C53" s="18"/>
      <c r="D53" s="18">
        <v>1126.4000000000001</v>
      </c>
      <c r="E53" s="18"/>
      <c r="F53" s="18"/>
      <c r="G53" s="18">
        <v>1126.4000000000001</v>
      </c>
    </row>
    <row r="54" spans="2:7" x14ac:dyDescent="0.3">
      <c r="B54" s="15" t="s">
        <v>128</v>
      </c>
      <c r="C54" s="18"/>
      <c r="D54" s="18">
        <v>5850.44</v>
      </c>
      <c r="E54" s="18"/>
      <c r="F54" s="18"/>
      <c r="G54" s="18">
        <v>5850.44</v>
      </c>
    </row>
    <row r="55" spans="2:7" x14ac:dyDescent="0.3">
      <c r="B55" s="15" t="s">
        <v>135</v>
      </c>
      <c r="C55" s="18"/>
      <c r="D55" s="18"/>
      <c r="E55" s="18">
        <v>16634.46</v>
      </c>
      <c r="F55" s="18"/>
      <c r="G55" s="18">
        <v>16634.46</v>
      </c>
    </row>
    <row r="56" spans="2:7" x14ac:dyDescent="0.3">
      <c r="B56" s="15" t="s">
        <v>145</v>
      </c>
      <c r="C56" s="18"/>
      <c r="D56" s="18"/>
      <c r="E56" s="18">
        <v>1232</v>
      </c>
      <c r="F56" s="18"/>
      <c r="G56" s="18">
        <v>1232</v>
      </c>
    </row>
    <row r="57" spans="2:7" x14ac:dyDescent="0.3">
      <c r="B57" s="15" t="s">
        <v>148</v>
      </c>
      <c r="C57" s="18"/>
      <c r="D57" s="18"/>
      <c r="E57" s="18">
        <v>320</v>
      </c>
      <c r="F57" s="18"/>
      <c r="G57" s="18">
        <v>320</v>
      </c>
    </row>
    <row r="58" spans="2:7" x14ac:dyDescent="0.3">
      <c r="B58" s="15" t="s">
        <v>152</v>
      </c>
      <c r="C58" s="18"/>
      <c r="D58" s="18"/>
      <c r="E58" s="18">
        <v>600</v>
      </c>
      <c r="F58" s="18"/>
      <c r="G58" s="18">
        <v>600</v>
      </c>
    </row>
    <row r="59" spans="2:7" x14ac:dyDescent="0.3">
      <c r="B59" s="15" t="s">
        <v>158</v>
      </c>
      <c r="C59" s="18"/>
      <c r="D59" s="18"/>
      <c r="E59" s="18">
        <v>96</v>
      </c>
      <c r="F59" s="18"/>
      <c r="G59" s="18">
        <v>96</v>
      </c>
    </row>
    <row r="60" spans="2:7" x14ac:dyDescent="0.3">
      <c r="B60" s="15" t="s">
        <v>165</v>
      </c>
      <c r="C60" s="18"/>
      <c r="D60" s="18"/>
      <c r="E60" s="18">
        <v>4531.2</v>
      </c>
      <c r="F60" s="18"/>
      <c r="G60" s="18">
        <v>4531.2</v>
      </c>
    </row>
    <row r="61" spans="2:7" x14ac:dyDescent="0.3">
      <c r="B61" s="15" t="s">
        <v>171</v>
      </c>
      <c r="C61" s="18"/>
      <c r="D61" s="18"/>
      <c r="E61" s="18">
        <v>522</v>
      </c>
      <c r="F61" s="18"/>
      <c r="G61" s="18">
        <v>522</v>
      </c>
    </row>
    <row r="62" spans="2:7" x14ac:dyDescent="0.3">
      <c r="B62" s="15" t="s">
        <v>176</v>
      </c>
      <c r="C62" s="18"/>
      <c r="D62" s="18"/>
      <c r="E62" s="18">
        <v>3150</v>
      </c>
      <c r="F62" s="18"/>
      <c r="G62" s="18">
        <v>3150</v>
      </c>
    </row>
    <row r="63" spans="2:7" x14ac:dyDescent="0.3">
      <c r="B63" s="15" t="s">
        <v>189</v>
      </c>
      <c r="C63" s="18"/>
      <c r="D63" s="18"/>
      <c r="E63" s="18">
        <v>12120</v>
      </c>
      <c r="F63" s="18">
        <v>22549.5</v>
      </c>
      <c r="G63" s="18">
        <v>34669.5</v>
      </c>
    </row>
    <row r="64" spans="2:7" x14ac:dyDescent="0.3">
      <c r="B64" s="15" t="s">
        <v>194</v>
      </c>
      <c r="C64" s="18"/>
      <c r="D64" s="18"/>
      <c r="E64" s="18">
        <v>2000</v>
      </c>
      <c r="F64" s="18"/>
      <c r="G64" s="18">
        <v>2000</v>
      </c>
    </row>
    <row r="65" spans="2:7" x14ac:dyDescent="0.3">
      <c r="B65" s="15" t="s">
        <v>200</v>
      </c>
      <c r="C65" s="18"/>
      <c r="D65" s="18"/>
      <c r="E65" s="18">
        <v>400</v>
      </c>
      <c r="F65" s="18"/>
      <c r="G65" s="18">
        <v>400</v>
      </c>
    </row>
    <row r="66" spans="2:7" x14ac:dyDescent="0.3">
      <c r="B66" t="s">
        <v>14</v>
      </c>
      <c r="C66" s="14">
        <v>73511.28</v>
      </c>
      <c r="D66" s="14">
        <v>39409.4</v>
      </c>
      <c r="E66" s="14">
        <v>91616.36</v>
      </c>
      <c r="F66" s="14">
        <v>28121.5</v>
      </c>
      <c r="G66" s="14">
        <v>232658.54</v>
      </c>
    </row>
  </sheetData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813B-5421-4C78-B6DA-8773831DAAE3}">
  <dimension ref="C4:C35"/>
  <sheetViews>
    <sheetView workbookViewId="0">
      <selection activeCell="C5" sqref="C5:C35"/>
    </sheetView>
  </sheetViews>
  <sheetFormatPr baseColWidth="10" defaultRowHeight="14.4" x14ac:dyDescent="0.3"/>
  <sheetData>
    <row r="4" spans="3:3" x14ac:dyDescent="0.3">
      <c r="C4" t="s">
        <v>167</v>
      </c>
    </row>
    <row r="5" spans="3:3" x14ac:dyDescent="0.3">
      <c r="C5" s="15" t="s">
        <v>152</v>
      </c>
    </row>
    <row r="6" spans="3:3" x14ac:dyDescent="0.3">
      <c r="C6" s="15" t="s">
        <v>82</v>
      </c>
    </row>
    <row r="7" spans="3:3" x14ac:dyDescent="0.3">
      <c r="C7" s="15" t="s">
        <v>70</v>
      </c>
    </row>
    <row r="8" spans="3:3" x14ac:dyDescent="0.3">
      <c r="C8" s="15" t="s">
        <v>33</v>
      </c>
    </row>
    <row r="9" spans="3:3" x14ac:dyDescent="0.3">
      <c r="C9" s="15" t="s">
        <v>95</v>
      </c>
    </row>
    <row r="10" spans="3:3" x14ac:dyDescent="0.3">
      <c r="C10" s="15" t="s">
        <v>116</v>
      </c>
    </row>
    <row r="11" spans="3:3" x14ac:dyDescent="0.3">
      <c r="C11" s="15" t="s">
        <v>35</v>
      </c>
    </row>
    <row r="12" spans="3:3" x14ac:dyDescent="0.3">
      <c r="C12" s="15" t="s">
        <v>83</v>
      </c>
    </row>
    <row r="13" spans="3:3" x14ac:dyDescent="0.3">
      <c r="C13" s="15" t="s">
        <v>109</v>
      </c>
    </row>
    <row r="14" spans="3:3" x14ac:dyDescent="0.3">
      <c r="C14" s="15" t="s">
        <v>73</v>
      </c>
    </row>
    <row r="15" spans="3:3" x14ac:dyDescent="0.3">
      <c r="C15" s="15" t="s">
        <v>49</v>
      </c>
    </row>
    <row r="16" spans="3:3" x14ac:dyDescent="0.3">
      <c r="C16" s="15" t="s">
        <v>67</v>
      </c>
    </row>
    <row r="17" spans="3:3" x14ac:dyDescent="0.3">
      <c r="C17" s="15" t="s">
        <v>59</v>
      </c>
    </row>
    <row r="18" spans="3:3" x14ac:dyDescent="0.3">
      <c r="C18" s="15" t="s">
        <v>128</v>
      </c>
    </row>
    <row r="19" spans="3:3" x14ac:dyDescent="0.3">
      <c r="C19" s="15" t="s">
        <v>63</v>
      </c>
    </row>
    <row r="20" spans="3:3" x14ac:dyDescent="0.3">
      <c r="C20" s="15" t="s">
        <v>135</v>
      </c>
    </row>
    <row r="21" spans="3:3" x14ac:dyDescent="0.3">
      <c r="C21" s="15" t="s">
        <v>65</v>
      </c>
    </row>
    <row r="22" spans="3:3" x14ac:dyDescent="0.3">
      <c r="C22" s="15" t="s">
        <v>7</v>
      </c>
    </row>
    <row r="23" spans="3:3" x14ac:dyDescent="0.3">
      <c r="C23" s="15" t="s">
        <v>145</v>
      </c>
    </row>
    <row r="24" spans="3:3" x14ac:dyDescent="0.3">
      <c r="C24" s="15" t="s">
        <v>165</v>
      </c>
    </row>
    <row r="25" spans="3:3" x14ac:dyDescent="0.3">
      <c r="C25" s="15" t="s">
        <v>112</v>
      </c>
    </row>
    <row r="26" spans="3:3" x14ac:dyDescent="0.3">
      <c r="C26" s="15" t="s">
        <v>115</v>
      </c>
    </row>
    <row r="27" spans="3:3" x14ac:dyDescent="0.3">
      <c r="C27" s="15" t="s">
        <v>148</v>
      </c>
    </row>
    <row r="28" spans="3:3" x14ac:dyDescent="0.3">
      <c r="C28" s="15" t="s">
        <v>90</v>
      </c>
    </row>
    <row r="29" spans="3:3" x14ac:dyDescent="0.3">
      <c r="C29" s="15" t="s">
        <v>40</v>
      </c>
    </row>
    <row r="30" spans="3:3" x14ac:dyDescent="0.3">
      <c r="C30" s="15" t="s">
        <v>46</v>
      </c>
    </row>
    <row r="31" spans="3:3" x14ac:dyDescent="0.3">
      <c r="C31" s="15" t="s">
        <v>106</v>
      </c>
    </row>
    <row r="32" spans="3:3" x14ac:dyDescent="0.3">
      <c r="C32" s="15" t="s">
        <v>54</v>
      </c>
    </row>
    <row r="33" spans="3:3" x14ac:dyDescent="0.3">
      <c r="C33" s="15" t="s">
        <v>87</v>
      </c>
    </row>
    <row r="34" spans="3:3" x14ac:dyDescent="0.3">
      <c r="C34" s="15" t="s">
        <v>102</v>
      </c>
    </row>
    <row r="35" spans="3:3" x14ac:dyDescent="0.3">
      <c r="C35" s="15" t="s">
        <v>158</v>
      </c>
    </row>
  </sheetData>
  <autoFilter ref="C4:C35" xr:uid="{B7E8813B-5421-4C78-B6DA-8773831DAAE3}">
    <sortState xmlns:xlrd2="http://schemas.microsoft.com/office/spreadsheetml/2017/richdata2" ref="C5:C35">
      <sortCondition ref="C4:C3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2CE2-3029-418D-BDBD-3B6BBAB31D1F}">
  <dimension ref="B2:K20"/>
  <sheetViews>
    <sheetView zoomScaleNormal="100" workbookViewId="0">
      <selection activeCell="I16" sqref="I16"/>
    </sheetView>
  </sheetViews>
  <sheetFormatPr baseColWidth="10" defaultRowHeight="10.199999999999999" x14ac:dyDescent="0.2"/>
  <cols>
    <col min="1" max="1" width="3.21875" style="1" customWidth="1"/>
    <col min="2" max="3" width="13.6640625" style="1" customWidth="1"/>
    <col min="4" max="4" width="15.44140625" style="1" customWidth="1"/>
    <col min="5" max="5" width="10.109375" style="1" customWidth="1"/>
    <col min="6" max="6" width="7.44140625" style="1" customWidth="1"/>
    <col min="7" max="7" width="11.88671875" style="1" customWidth="1"/>
    <col min="8" max="8" width="35.77734375" style="1" customWidth="1"/>
    <col min="9" max="9" width="11.6640625" style="3" customWidth="1"/>
    <col min="10" max="10" width="23" style="1" customWidth="1"/>
    <col min="11" max="11" width="13.5546875" style="1" customWidth="1"/>
    <col min="12" max="16384" width="11.5546875" style="1"/>
  </cols>
  <sheetData>
    <row r="2" spans="2:11" ht="13.2" customHeight="1" x14ac:dyDescent="0.3">
      <c r="B2" s="2" t="s">
        <v>0</v>
      </c>
      <c r="C2" s="2"/>
    </row>
    <row r="3" spans="2:11" ht="13.2" customHeight="1" x14ac:dyDescent="0.2">
      <c r="B3" s="4" t="s">
        <v>13</v>
      </c>
      <c r="C3" s="4"/>
    </row>
    <row r="4" spans="2:11" ht="13.2" customHeight="1" x14ac:dyDescent="0.2">
      <c r="B4" s="4" t="s">
        <v>201</v>
      </c>
      <c r="C4" s="4"/>
    </row>
    <row r="5" spans="2:11" ht="7.2" customHeight="1" x14ac:dyDescent="0.2">
      <c r="B5" s="4"/>
      <c r="C5" s="4"/>
    </row>
    <row r="6" spans="2:11" s="5" customFormat="1" ht="21.6" customHeight="1" x14ac:dyDescent="0.3">
      <c r="B6" s="10" t="s">
        <v>8</v>
      </c>
      <c r="C6" s="11" t="s">
        <v>9</v>
      </c>
      <c r="D6" s="12" t="s">
        <v>10</v>
      </c>
      <c r="E6" s="12" t="s">
        <v>11</v>
      </c>
      <c r="F6" s="12" t="s">
        <v>12</v>
      </c>
      <c r="G6" s="12" t="s">
        <v>1</v>
      </c>
      <c r="H6" s="12" t="s">
        <v>2</v>
      </c>
      <c r="I6" s="17" t="s">
        <v>4</v>
      </c>
      <c r="J6" s="11" t="s">
        <v>5</v>
      </c>
      <c r="K6" s="11" t="s">
        <v>16</v>
      </c>
    </row>
    <row r="7" spans="2:11" x14ac:dyDescent="0.2">
      <c r="B7" s="24" t="s">
        <v>202</v>
      </c>
      <c r="C7" s="26" t="s">
        <v>28</v>
      </c>
      <c r="D7" s="28" t="s">
        <v>204</v>
      </c>
      <c r="E7" s="6" t="s">
        <v>6</v>
      </c>
      <c r="F7" s="16">
        <v>1001</v>
      </c>
      <c r="G7" s="16">
        <v>20100032709</v>
      </c>
      <c r="H7" s="1" t="s">
        <v>189</v>
      </c>
      <c r="I7" s="8">
        <v>8100</v>
      </c>
      <c r="J7" s="22" t="s">
        <v>203</v>
      </c>
      <c r="K7" s="19" t="s">
        <v>17</v>
      </c>
    </row>
    <row r="8" spans="2:11" x14ac:dyDescent="0.2">
      <c r="B8" s="24" t="s">
        <v>202</v>
      </c>
      <c r="C8" s="26" t="s">
        <v>205</v>
      </c>
      <c r="D8" s="28" t="s">
        <v>207</v>
      </c>
      <c r="E8" s="6" t="s">
        <v>6</v>
      </c>
      <c r="F8" s="16">
        <v>1003</v>
      </c>
      <c r="G8" s="16">
        <v>20600697511</v>
      </c>
      <c r="H8" s="1" t="s">
        <v>102</v>
      </c>
      <c r="I8" s="8">
        <v>936</v>
      </c>
      <c r="J8" s="22" t="s">
        <v>209</v>
      </c>
      <c r="K8" s="19" t="s">
        <v>98</v>
      </c>
    </row>
    <row r="9" spans="2:11" x14ac:dyDescent="0.2">
      <c r="B9" s="24" t="s">
        <v>202</v>
      </c>
      <c r="C9" s="26" t="s">
        <v>205</v>
      </c>
      <c r="D9" s="28" t="s">
        <v>207</v>
      </c>
      <c r="E9" s="6" t="s">
        <v>6</v>
      </c>
      <c r="F9" s="16">
        <v>1004</v>
      </c>
      <c r="G9" s="16">
        <v>20600697511</v>
      </c>
      <c r="H9" s="1" t="s">
        <v>102</v>
      </c>
      <c r="I9" s="8">
        <v>936</v>
      </c>
      <c r="J9" s="22" t="s">
        <v>209</v>
      </c>
      <c r="K9" s="19" t="s">
        <v>98</v>
      </c>
    </row>
    <row r="10" spans="2:11" x14ac:dyDescent="0.2">
      <c r="B10" s="24" t="s">
        <v>202</v>
      </c>
      <c r="C10" s="26" t="s">
        <v>205</v>
      </c>
      <c r="D10" s="28" t="s">
        <v>206</v>
      </c>
      <c r="E10" s="6" t="s">
        <v>6</v>
      </c>
      <c r="F10" s="16">
        <v>1005</v>
      </c>
      <c r="G10" s="16">
        <v>20100032709</v>
      </c>
      <c r="H10" s="1" t="s">
        <v>189</v>
      </c>
      <c r="I10" s="8">
        <v>5737.5</v>
      </c>
      <c r="J10" s="22" t="s">
        <v>208</v>
      </c>
      <c r="K10" s="19" t="s">
        <v>17</v>
      </c>
    </row>
    <row r="11" spans="2:11" x14ac:dyDescent="0.2">
      <c r="B11" s="24" t="s">
        <v>202</v>
      </c>
      <c r="C11" s="26" t="s">
        <v>210</v>
      </c>
      <c r="D11" s="28" t="s">
        <v>211</v>
      </c>
      <c r="E11" s="6" t="s">
        <v>6</v>
      </c>
      <c r="F11" s="16">
        <v>1006</v>
      </c>
      <c r="G11" s="16">
        <v>20452634873</v>
      </c>
      <c r="H11" s="1" t="s">
        <v>82</v>
      </c>
      <c r="I11" s="8">
        <v>300</v>
      </c>
      <c r="J11" s="22" t="s">
        <v>212</v>
      </c>
      <c r="K11" s="19" t="s">
        <v>98</v>
      </c>
    </row>
    <row r="12" spans="2:11" x14ac:dyDescent="0.2">
      <c r="B12" s="24" t="s">
        <v>202</v>
      </c>
      <c r="C12" s="6" t="s">
        <v>213</v>
      </c>
      <c r="D12" s="6" t="s">
        <v>214</v>
      </c>
      <c r="E12" s="6" t="s">
        <v>6</v>
      </c>
      <c r="F12" s="16">
        <v>1008</v>
      </c>
      <c r="G12" s="16">
        <v>20100032709</v>
      </c>
      <c r="H12" s="1" t="s">
        <v>189</v>
      </c>
      <c r="I12" s="8">
        <v>8712</v>
      </c>
      <c r="J12" s="22" t="s">
        <v>215</v>
      </c>
      <c r="K12" s="19" t="s">
        <v>17</v>
      </c>
    </row>
    <row r="13" spans="2:11" x14ac:dyDescent="0.2">
      <c r="B13" s="24" t="s">
        <v>202</v>
      </c>
      <c r="C13" s="6" t="s">
        <v>216</v>
      </c>
      <c r="D13" s="6" t="s">
        <v>217</v>
      </c>
      <c r="E13" s="6" t="s">
        <v>6</v>
      </c>
      <c r="F13" s="16">
        <v>1009</v>
      </c>
      <c r="G13" s="16">
        <v>20600697511</v>
      </c>
      <c r="H13" s="1" t="s">
        <v>102</v>
      </c>
      <c r="I13" s="8">
        <v>2800</v>
      </c>
      <c r="J13" s="22" t="s">
        <v>218</v>
      </c>
      <c r="K13" s="19" t="s">
        <v>98</v>
      </c>
    </row>
    <row r="14" spans="2:11" x14ac:dyDescent="0.2">
      <c r="B14" s="24" t="s">
        <v>202</v>
      </c>
      <c r="C14" s="6" t="s">
        <v>219</v>
      </c>
      <c r="D14" s="6" t="s">
        <v>220</v>
      </c>
      <c r="E14" s="6" t="s">
        <v>6</v>
      </c>
      <c r="F14" s="16">
        <v>1010</v>
      </c>
      <c r="G14" s="16">
        <v>20600697511</v>
      </c>
      <c r="H14" s="1" t="s">
        <v>102</v>
      </c>
      <c r="I14" s="8">
        <v>300</v>
      </c>
      <c r="J14" s="22" t="s">
        <v>221</v>
      </c>
      <c r="K14" s="19" t="s">
        <v>98</v>
      </c>
    </row>
    <row r="15" spans="2:11" x14ac:dyDescent="0.2">
      <c r="B15" s="24" t="s">
        <v>202</v>
      </c>
      <c r="C15" s="6" t="s">
        <v>219</v>
      </c>
      <c r="D15" s="6" t="s">
        <v>220</v>
      </c>
      <c r="E15" s="6" t="s">
        <v>6</v>
      </c>
      <c r="F15" s="16">
        <v>1011</v>
      </c>
      <c r="G15" s="16">
        <v>20452634873</v>
      </c>
      <c r="H15" s="1" t="s">
        <v>82</v>
      </c>
      <c r="I15" s="8">
        <v>300</v>
      </c>
      <c r="J15" s="22" t="s">
        <v>221</v>
      </c>
      <c r="K15" s="19" t="s">
        <v>98</v>
      </c>
    </row>
    <row r="16" spans="2:11" x14ac:dyDescent="0.2">
      <c r="B16" s="24"/>
      <c r="C16" s="6"/>
      <c r="D16" s="6"/>
      <c r="E16" s="6"/>
      <c r="F16" s="16"/>
      <c r="G16" s="16"/>
      <c r="I16" s="8"/>
      <c r="J16" s="22"/>
      <c r="K16" s="19"/>
    </row>
    <row r="17" spans="8:11" ht="12" customHeight="1" thickBot="1" x14ac:dyDescent="0.25">
      <c r="H17" s="7" t="s">
        <v>3</v>
      </c>
      <c r="I17" s="9">
        <f>SUM(I7:I15)</f>
        <v>28121.5</v>
      </c>
    </row>
    <row r="18" spans="8:11" ht="10.8" thickTop="1" x14ac:dyDescent="0.2"/>
    <row r="20" spans="8:11" x14ac:dyDescent="0.2">
      <c r="K20" s="3"/>
    </row>
  </sheetData>
  <autoFilter ref="A6:K6" xr:uid="{BF432CE2-3029-418D-BDBD-3B6BBAB31D1F}"/>
  <pageMargins left="0.7" right="0.7" top="0.75" bottom="0.75" header="0.3" footer="0.3"/>
  <pageSetup paperSize="9" scale="66" orientation="landscape" r:id="rId1"/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60DB-6E7C-4940-87DD-785364B568BD}">
  <dimension ref="B2:K91"/>
  <sheetViews>
    <sheetView workbookViewId="0">
      <selection activeCell="B2" sqref="B2"/>
    </sheetView>
  </sheetViews>
  <sheetFormatPr baseColWidth="10" defaultRowHeight="10.199999999999999" x14ac:dyDescent="0.2"/>
  <cols>
    <col min="1" max="1" width="3.21875" style="1" customWidth="1"/>
    <col min="2" max="2" width="14" style="1" customWidth="1"/>
    <col min="3" max="3" width="10.77734375" style="1" customWidth="1"/>
    <col min="4" max="4" width="13.44140625" style="1" customWidth="1"/>
    <col min="5" max="5" width="6.21875" style="1" customWidth="1"/>
    <col min="6" max="6" width="10.77734375" style="1" customWidth="1"/>
    <col min="7" max="7" width="11.77734375" style="1" customWidth="1"/>
    <col min="8" max="8" width="35.77734375" style="1" customWidth="1"/>
    <col min="9" max="9" width="11.6640625" style="3" customWidth="1"/>
    <col min="10" max="10" width="63.5546875" style="1" customWidth="1"/>
    <col min="11" max="11" width="18.109375" style="1" customWidth="1"/>
    <col min="12" max="16384" width="11.5546875" style="1"/>
  </cols>
  <sheetData>
    <row r="2" spans="2:11" ht="13.2" customHeight="1" x14ac:dyDescent="0.3">
      <c r="B2" s="2" t="s">
        <v>0</v>
      </c>
      <c r="C2" s="2"/>
    </row>
    <row r="3" spans="2:11" ht="13.2" customHeight="1" x14ac:dyDescent="0.2">
      <c r="B3" s="4" t="s">
        <v>13</v>
      </c>
      <c r="C3" s="4"/>
    </row>
    <row r="4" spans="2:11" ht="13.2" customHeight="1" x14ac:dyDescent="0.2">
      <c r="B4" s="4" t="s">
        <v>222</v>
      </c>
      <c r="C4" s="4"/>
    </row>
    <row r="5" spans="2:11" ht="7.2" customHeight="1" x14ac:dyDescent="0.2">
      <c r="B5" s="4" t="s">
        <v>21</v>
      </c>
      <c r="C5" s="4"/>
    </row>
    <row r="6" spans="2:11" s="5" customFormat="1" ht="21.6" customHeight="1" x14ac:dyDescent="0.3">
      <c r="B6" s="10" t="s">
        <v>8</v>
      </c>
      <c r="C6" s="11" t="s">
        <v>9</v>
      </c>
      <c r="D6" s="12" t="s">
        <v>10</v>
      </c>
      <c r="E6" s="12" t="s">
        <v>11</v>
      </c>
      <c r="F6" s="12" t="s">
        <v>12</v>
      </c>
      <c r="G6" s="12" t="s">
        <v>1</v>
      </c>
      <c r="H6" s="12" t="s">
        <v>2</v>
      </c>
      <c r="I6" s="17" t="s">
        <v>4</v>
      </c>
      <c r="J6" s="11" t="s">
        <v>5</v>
      </c>
      <c r="K6" s="11" t="s">
        <v>16</v>
      </c>
    </row>
    <row r="7" spans="2:11" x14ac:dyDescent="0.2">
      <c r="B7" s="24" t="s">
        <v>24</v>
      </c>
      <c r="C7" s="6" t="s">
        <v>25</v>
      </c>
      <c r="D7" s="6" t="s">
        <v>26</v>
      </c>
      <c r="E7" s="6" t="s">
        <v>6</v>
      </c>
      <c r="F7" s="16">
        <v>897</v>
      </c>
      <c r="G7" s="16">
        <v>20606133139</v>
      </c>
      <c r="H7" s="1" t="s">
        <v>7</v>
      </c>
      <c r="I7" s="8">
        <v>4200</v>
      </c>
      <c r="J7" s="1" t="s">
        <v>29</v>
      </c>
      <c r="K7" s="19" t="s">
        <v>22</v>
      </c>
    </row>
    <row r="8" spans="2:11" x14ac:dyDescent="0.2">
      <c r="B8" s="24" t="s">
        <v>24</v>
      </c>
      <c r="C8" s="6" t="s">
        <v>27</v>
      </c>
      <c r="D8" s="6" t="s">
        <v>28</v>
      </c>
      <c r="E8" s="6" t="s">
        <v>6</v>
      </c>
      <c r="F8" s="16">
        <v>901</v>
      </c>
      <c r="G8" s="16">
        <v>20546512364</v>
      </c>
      <c r="H8" s="1" t="s">
        <v>33</v>
      </c>
      <c r="I8" s="8">
        <v>2484</v>
      </c>
      <c r="J8" s="1" t="s">
        <v>30</v>
      </c>
      <c r="K8" s="19" t="s">
        <v>17</v>
      </c>
    </row>
    <row r="9" spans="2:11" x14ac:dyDescent="0.2">
      <c r="B9" s="24" t="s">
        <v>24</v>
      </c>
      <c r="C9" s="6" t="s">
        <v>27</v>
      </c>
      <c r="D9" s="6" t="s">
        <v>28</v>
      </c>
      <c r="E9" s="6" t="s">
        <v>6</v>
      </c>
      <c r="F9" s="16">
        <v>902</v>
      </c>
      <c r="G9" s="16">
        <v>20546512364</v>
      </c>
      <c r="H9" s="1" t="s">
        <v>33</v>
      </c>
      <c r="I9" s="8">
        <v>2208</v>
      </c>
      <c r="J9" s="1" t="s">
        <v>31</v>
      </c>
      <c r="K9" s="19" t="s">
        <v>17</v>
      </c>
    </row>
    <row r="10" spans="2:11" x14ac:dyDescent="0.2">
      <c r="B10" s="24" t="s">
        <v>24</v>
      </c>
      <c r="C10" s="6" t="s">
        <v>27</v>
      </c>
      <c r="D10" s="6" t="s">
        <v>28</v>
      </c>
      <c r="E10" s="6" t="s">
        <v>6</v>
      </c>
      <c r="F10" s="16">
        <v>903</v>
      </c>
      <c r="G10" s="16">
        <v>20546512364</v>
      </c>
      <c r="H10" s="1" t="s">
        <v>33</v>
      </c>
      <c r="I10" s="8">
        <v>4416</v>
      </c>
      <c r="J10" s="1" t="s">
        <v>32</v>
      </c>
      <c r="K10" s="19" t="s">
        <v>17</v>
      </c>
    </row>
    <row r="11" spans="2:11" x14ac:dyDescent="0.2">
      <c r="B11" s="24" t="s">
        <v>24</v>
      </c>
      <c r="C11" s="6" t="s">
        <v>37</v>
      </c>
      <c r="D11" s="6" t="s">
        <v>36</v>
      </c>
      <c r="E11" s="6" t="s">
        <v>6</v>
      </c>
      <c r="F11" s="16">
        <v>904</v>
      </c>
      <c r="G11" s="16">
        <v>20494738423</v>
      </c>
      <c r="H11" s="1" t="s">
        <v>35</v>
      </c>
      <c r="I11" s="8">
        <v>160</v>
      </c>
      <c r="J11" s="22" t="s">
        <v>34</v>
      </c>
      <c r="K11" s="19" t="s">
        <v>22</v>
      </c>
    </row>
    <row r="12" spans="2:11" x14ac:dyDescent="0.2">
      <c r="B12" s="24" t="s">
        <v>24</v>
      </c>
      <c r="C12" s="6" t="s">
        <v>38</v>
      </c>
      <c r="D12" s="6" t="s">
        <v>39</v>
      </c>
      <c r="E12" s="6" t="s">
        <v>6</v>
      </c>
      <c r="F12" s="16">
        <v>907</v>
      </c>
      <c r="G12" s="16">
        <v>20100227542</v>
      </c>
      <c r="H12" s="1" t="s">
        <v>40</v>
      </c>
      <c r="I12" s="8">
        <v>3149</v>
      </c>
      <c r="J12" s="22" t="s">
        <v>41</v>
      </c>
      <c r="K12" s="19" t="s">
        <v>17</v>
      </c>
    </row>
    <row r="13" spans="2:11" x14ac:dyDescent="0.2">
      <c r="B13" s="24" t="s">
        <v>24</v>
      </c>
      <c r="C13" s="6" t="s">
        <v>38</v>
      </c>
      <c r="D13" s="6" t="s">
        <v>47</v>
      </c>
      <c r="E13" s="6" t="s">
        <v>6</v>
      </c>
      <c r="F13" s="16">
        <v>908</v>
      </c>
      <c r="G13" s="16">
        <v>20566144434</v>
      </c>
      <c r="H13" s="1" t="s">
        <v>46</v>
      </c>
      <c r="I13" s="8">
        <v>896.8</v>
      </c>
      <c r="J13" s="22" t="s">
        <v>45</v>
      </c>
      <c r="K13" s="19" t="s">
        <v>22</v>
      </c>
    </row>
    <row r="14" spans="2:11" x14ac:dyDescent="0.2">
      <c r="B14" s="24" t="s">
        <v>24</v>
      </c>
      <c r="C14" s="6" t="s">
        <v>38</v>
      </c>
      <c r="D14" s="6" t="s">
        <v>44</v>
      </c>
      <c r="E14" s="6" t="s">
        <v>6</v>
      </c>
      <c r="F14" s="16">
        <v>910</v>
      </c>
      <c r="G14" s="16">
        <v>20109930751</v>
      </c>
      <c r="H14" s="1" t="s">
        <v>95</v>
      </c>
      <c r="I14" s="8">
        <v>3780</v>
      </c>
      <c r="J14" s="22" t="s">
        <v>43</v>
      </c>
      <c r="K14" s="19" t="s">
        <v>42</v>
      </c>
    </row>
    <row r="15" spans="2:11" x14ac:dyDescent="0.2">
      <c r="B15" s="24" t="s">
        <v>24</v>
      </c>
      <c r="C15" s="6" t="s">
        <v>48</v>
      </c>
      <c r="D15" s="6" t="s">
        <v>53</v>
      </c>
      <c r="E15" s="6" t="s">
        <v>6</v>
      </c>
      <c r="F15" s="16">
        <v>911</v>
      </c>
      <c r="G15" s="16">
        <v>20612693804</v>
      </c>
      <c r="H15" s="1" t="s">
        <v>49</v>
      </c>
      <c r="I15" s="8">
        <v>1400</v>
      </c>
      <c r="J15" s="22" t="s">
        <v>50</v>
      </c>
      <c r="K15" s="19" t="s">
        <v>22</v>
      </c>
    </row>
    <row r="16" spans="2:11" x14ac:dyDescent="0.2">
      <c r="B16" s="24" t="s">
        <v>24</v>
      </c>
      <c r="C16" s="6" t="s">
        <v>51</v>
      </c>
      <c r="D16" s="6" t="s">
        <v>52</v>
      </c>
      <c r="E16" s="6" t="s">
        <v>6</v>
      </c>
      <c r="F16" s="16">
        <v>912</v>
      </c>
      <c r="G16" s="16">
        <v>20494586810</v>
      </c>
      <c r="H16" s="1" t="s">
        <v>54</v>
      </c>
      <c r="I16" s="8">
        <v>186</v>
      </c>
      <c r="J16" s="22" t="s">
        <v>55</v>
      </c>
      <c r="K16" s="19" t="s">
        <v>17</v>
      </c>
    </row>
    <row r="17" spans="2:11" x14ac:dyDescent="0.2">
      <c r="B17" s="24" t="s">
        <v>24</v>
      </c>
      <c r="C17" s="6" t="s">
        <v>51</v>
      </c>
      <c r="D17" s="6" t="s">
        <v>52</v>
      </c>
      <c r="E17" s="6" t="s">
        <v>6</v>
      </c>
      <c r="F17" s="16">
        <v>913</v>
      </c>
      <c r="G17" s="16">
        <v>20494586810</v>
      </c>
      <c r="H17" s="1" t="s">
        <v>54</v>
      </c>
      <c r="I17" s="8">
        <v>54</v>
      </c>
      <c r="J17" s="22" t="s">
        <v>56</v>
      </c>
      <c r="K17" s="19" t="s">
        <v>17</v>
      </c>
    </row>
    <row r="18" spans="2:11" x14ac:dyDescent="0.2">
      <c r="B18" s="24" t="s">
        <v>24</v>
      </c>
      <c r="C18" s="6" t="s">
        <v>57</v>
      </c>
      <c r="D18" s="6" t="s">
        <v>58</v>
      </c>
      <c r="E18" s="6" t="s">
        <v>6</v>
      </c>
      <c r="F18" s="16">
        <v>914</v>
      </c>
      <c r="G18" s="16">
        <v>20606009284</v>
      </c>
      <c r="H18" s="1" t="s">
        <v>59</v>
      </c>
      <c r="I18" s="8">
        <v>24500</v>
      </c>
      <c r="J18" s="22" t="s">
        <v>60</v>
      </c>
      <c r="K18" s="19" t="s">
        <v>42</v>
      </c>
    </row>
    <row r="19" spans="2:11" x14ac:dyDescent="0.2">
      <c r="B19" s="24" t="s">
        <v>24</v>
      </c>
      <c r="C19" s="6" t="s">
        <v>61</v>
      </c>
      <c r="D19" s="6" t="s">
        <v>62</v>
      </c>
      <c r="E19" s="6" t="s">
        <v>6</v>
      </c>
      <c r="F19" s="16">
        <v>916</v>
      </c>
      <c r="G19" s="16">
        <v>20176770474</v>
      </c>
      <c r="H19" s="1" t="s">
        <v>63</v>
      </c>
      <c r="I19" s="8">
        <v>400</v>
      </c>
      <c r="J19" s="22" t="s">
        <v>64</v>
      </c>
      <c r="K19" s="19" t="s">
        <v>22</v>
      </c>
    </row>
    <row r="20" spans="2:11" x14ac:dyDescent="0.2">
      <c r="B20" s="24" t="s">
        <v>24</v>
      </c>
      <c r="C20" s="6" t="s">
        <v>78</v>
      </c>
      <c r="D20" s="6" t="s">
        <v>78</v>
      </c>
      <c r="E20" s="6" t="s">
        <v>6</v>
      </c>
      <c r="F20" s="16">
        <v>917</v>
      </c>
      <c r="G20" s="16">
        <v>20607158763</v>
      </c>
      <c r="H20" s="1" t="s">
        <v>65</v>
      </c>
      <c r="I20" s="8">
        <v>600</v>
      </c>
      <c r="J20" s="22" t="s">
        <v>66</v>
      </c>
      <c r="K20" s="19" t="s">
        <v>69</v>
      </c>
    </row>
    <row r="21" spans="2:11" x14ac:dyDescent="0.2">
      <c r="B21" s="24" t="s">
        <v>24</v>
      </c>
      <c r="C21" s="6" t="s">
        <v>78</v>
      </c>
      <c r="D21" s="6" t="s">
        <v>79</v>
      </c>
      <c r="E21" s="6" t="s">
        <v>6</v>
      </c>
      <c r="F21" s="16">
        <v>918</v>
      </c>
      <c r="G21" s="16">
        <v>20614560011</v>
      </c>
      <c r="H21" s="1" t="s">
        <v>67</v>
      </c>
      <c r="I21" s="8">
        <v>2624</v>
      </c>
      <c r="J21" s="22" t="s">
        <v>68</v>
      </c>
      <c r="K21" s="19" t="s">
        <v>17</v>
      </c>
    </row>
    <row r="22" spans="2:11" x14ac:dyDescent="0.2">
      <c r="B22" s="24" t="s">
        <v>24</v>
      </c>
      <c r="C22" s="6" t="s">
        <v>80</v>
      </c>
      <c r="D22" s="6" t="s">
        <v>71</v>
      </c>
      <c r="E22" s="6" t="s">
        <v>6</v>
      </c>
      <c r="F22" s="16">
        <v>920</v>
      </c>
      <c r="G22" s="16">
        <v>20367336081</v>
      </c>
      <c r="H22" s="1" t="s">
        <v>70</v>
      </c>
      <c r="I22" s="8">
        <v>94.4</v>
      </c>
      <c r="J22" s="22" t="s">
        <v>72</v>
      </c>
      <c r="K22" s="19" t="s">
        <v>17</v>
      </c>
    </row>
    <row r="23" spans="2:11" x14ac:dyDescent="0.2">
      <c r="B23" s="24" t="s">
        <v>24</v>
      </c>
      <c r="C23" s="6" t="s">
        <v>80</v>
      </c>
      <c r="D23" s="6" t="s">
        <v>74</v>
      </c>
      <c r="E23" s="6" t="s">
        <v>6</v>
      </c>
      <c r="F23" s="16">
        <v>921</v>
      </c>
      <c r="G23" s="16">
        <v>20480514212</v>
      </c>
      <c r="H23" s="1" t="s">
        <v>73</v>
      </c>
      <c r="I23" s="8">
        <v>1246.08</v>
      </c>
      <c r="J23" s="22" t="s">
        <v>75</v>
      </c>
      <c r="K23" s="19" t="s">
        <v>42</v>
      </c>
    </row>
    <row r="24" spans="2:11" x14ac:dyDescent="0.2">
      <c r="B24" s="24" t="s">
        <v>24</v>
      </c>
      <c r="C24" s="6" t="s">
        <v>80</v>
      </c>
      <c r="D24" s="6" t="s">
        <v>74</v>
      </c>
      <c r="E24" s="6" t="s">
        <v>6</v>
      </c>
      <c r="F24" s="16">
        <v>922</v>
      </c>
      <c r="G24" s="16">
        <v>20480514212</v>
      </c>
      <c r="H24" s="1" t="s">
        <v>73</v>
      </c>
      <c r="I24" s="8">
        <v>545</v>
      </c>
      <c r="J24" s="22" t="s">
        <v>76</v>
      </c>
      <c r="K24" s="19" t="s">
        <v>42</v>
      </c>
    </row>
    <row r="25" spans="2:11" x14ac:dyDescent="0.2">
      <c r="B25" s="24" t="s">
        <v>24</v>
      </c>
      <c r="C25" s="6" t="s">
        <v>71</v>
      </c>
      <c r="D25" s="6" t="s">
        <v>81</v>
      </c>
      <c r="E25" s="6" t="s">
        <v>6</v>
      </c>
      <c r="F25" s="16">
        <v>925</v>
      </c>
      <c r="G25" s="16">
        <v>20452634873</v>
      </c>
      <c r="H25" s="1" t="s">
        <v>82</v>
      </c>
      <c r="I25" s="8">
        <v>1310.4000000000001</v>
      </c>
      <c r="J25" s="22" t="s">
        <v>77</v>
      </c>
      <c r="K25" s="19" t="s">
        <v>17</v>
      </c>
    </row>
    <row r="26" spans="2:11" x14ac:dyDescent="0.2">
      <c r="B26" s="24" t="s">
        <v>24</v>
      </c>
      <c r="C26" s="6" t="s">
        <v>71</v>
      </c>
      <c r="D26" s="6" t="s">
        <v>71</v>
      </c>
      <c r="E26" s="6" t="s">
        <v>6</v>
      </c>
      <c r="F26" s="16">
        <v>926</v>
      </c>
      <c r="G26" s="16">
        <v>20611762543</v>
      </c>
      <c r="H26" s="1" t="s">
        <v>83</v>
      </c>
      <c r="I26" s="8">
        <v>19257.599999999999</v>
      </c>
      <c r="J26" s="22" t="s">
        <v>84</v>
      </c>
      <c r="K26" s="19" t="s">
        <v>22</v>
      </c>
    </row>
    <row r="27" spans="2:11" x14ac:dyDescent="0.2">
      <c r="B27" s="24" t="s">
        <v>85</v>
      </c>
      <c r="C27" s="6" t="s">
        <v>86</v>
      </c>
      <c r="D27" s="6" t="s">
        <v>88</v>
      </c>
      <c r="E27" s="6" t="s">
        <v>6</v>
      </c>
      <c r="F27" s="16">
        <v>928</v>
      </c>
      <c r="G27" s="16">
        <v>20612887234</v>
      </c>
      <c r="H27" s="1" t="s">
        <v>87</v>
      </c>
      <c r="I27" s="8">
        <v>4144</v>
      </c>
      <c r="J27" s="22" t="s">
        <v>89</v>
      </c>
      <c r="K27" s="19" t="s">
        <v>22</v>
      </c>
    </row>
    <row r="28" spans="2:11" x14ac:dyDescent="0.2">
      <c r="B28" s="24" t="s">
        <v>85</v>
      </c>
      <c r="C28" s="6" t="s">
        <v>86</v>
      </c>
      <c r="D28" s="6" t="s">
        <v>88</v>
      </c>
      <c r="E28" s="6" t="s">
        <v>6</v>
      </c>
      <c r="F28" s="16">
        <v>929</v>
      </c>
      <c r="G28" s="16">
        <v>20612065668</v>
      </c>
      <c r="H28" s="1" t="s">
        <v>90</v>
      </c>
      <c r="I28" s="8">
        <v>3556</v>
      </c>
      <c r="J28" s="22" t="s">
        <v>91</v>
      </c>
      <c r="K28" s="19" t="s">
        <v>22</v>
      </c>
    </row>
    <row r="29" spans="2:11" x14ac:dyDescent="0.2">
      <c r="B29" s="24" t="s">
        <v>85</v>
      </c>
      <c r="C29" s="6" t="s">
        <v>92</v>
      </c>
      <c r="D29" s="6" t="s">
        <v>94</v>
      </c>
      <c r="E29" s="6" t="s">
        <v>6</v>
      </c>
      <c r="F29" s="16">
        <v>930</v>
      </c>
      <c r="G29" s="16">
        <v>20600697511</v>
      </c>
      <c r="H29" s="1" t="s">
        <v>102</v>
      </c>
      <c r="I29" s="8">
        <v>1404</v>
      </c>
      <c r="J29" s="22" t="s">
        <v>93</v>
      </c>
      <c r="K29" s="19" t="s">
        <v>98</v>
      </c>
    </row>
    <row r="30" spans="2:11" x14ac:dyDescent="0.2">
      <c r="B30" s="24" t="s">
        <v>85</v>
      </c>
      <c r="C30" s="6" t="s">
        <v>96</v>
      </c>
      <c r="D30" s="6" t="s">
        <v>97</v>
      </c>
      <c r="E30" s="6" t="s">
        <v>6</v>
      </c>
      <c r="F30" s="16">
        <v>934</v>
      </c>
      <c r="G30" s="16">
        <v>20109930751</v>
      </c>
      <c r="H30" s="1" t="s">
        <v>95</v>
      </c>
      <c r="I30" s="8">
        <v>3150</v>
      </c>
      <c r="J30" s="22" t="s">
        <v>29</v>
      </c>
      <c r="K30" s="19" t="s">
        <v>42</v>
      </c>
    </row>
    <row r="31" spans="2:11" s="8" customFormat="1" x14ac:dyDescent="0.2">
      <c r="B31" s="24" t="s">
        <v>85</v>
      </c>
      <c r="C31" s="6" t="s">
        <v>99</v>
      </c>
      <c r="D31" s="24" t="s">
        <v>101</v>
      </c>
      <c r="E31" s="24" t="s">
        <v>6</v>
      </c>
      <c r="F31" s="16">
        <v>936</v>
      </c>
      <c r="G31" s="16">
        <v>20176770474</v>
      </c>
      <c r="H31" s="8" t="s">
        <v>63</v>
      </c>
      <c r="I31" s="8">
        <v>400</v>
      </c>
      <c r="J31" s="25" t="s">
        <v>64</v>
      </c>
      <c r="K31" s="19" t="s">
        <v>98</v>
      </c>
    </row>
    <row r="32" spans="2:11" x14ac:dyDescent="0.2">
      <c r="B32" s="24" t="s">
        <v>85</v>
      </c>
      <c r="C32" s="6" t="s">
        <v>100</v>
      </c>
      <c r="D32" s="6" t="s">
        <v>104</v>
      </c>
      <c r="E32" s="6" t="s">
        <v>6</v>
      </c>
      <c r="F32" s="16">
        <v>937</v>
      </c>
      <c r="G32" s="16">
        <v>20600697511</v>
      </c>
      <c r="H32" s="1" t="s">
        <v>102</v>
      </c>
      <c r="I32" s="8">
        <v>2208.96</v>
      </c>
      <c r="J32" s="22" t="s">
        <v>103</v>
      </c>
      <c r="K32" s="19" t="s">
        <v>98</v>
      </c>
    </row>
    <row r="33" spans="2:11" x14ac:dyDescent="0.2">
      <c r="B33" s="24" t="s">
        <v>85</v>
      </c>
      <c r="C33" s="6" t="s">
        <v>100</v>
      </c>
      <c r="D33" s="6" t="s">
        <v>105</v>
      </c>
      <c r="E33" s="6" t="s">
        <v>6</v>
      </c>
      <c r="F33" s="16">
        <v>938</v>
      </c>
      <c r="G33" s="16">
        <v>20325346435</v>
      </c>
      <c r="H33" s="1" t="s">
        <v>106</v>
      </c>
      <c r="I33" s="8">
        <v>4693</v>
      </c>
      <c r="J33" s="22" t="s">
        <v>107</v>
      </c>
      <c r="K33" s="19" t="s">
        <v>17</v>
      </c>
    </row>
    <row r="34" spans="2:11" x14ac:dyDescent="0.2">
      <c r="B34" s="24" t="s">
        <v>85</v>
      </c>
      <c r="C34" s="6" t="s">
        <v>100</v>
      </c>
      <c r="D34" s="6" t="s">
        <v>44</v>
      </c>
      <c r="E34" s="6" t="s">
        <v>6</v>
      </c>
      <c r="F34" s="16">
        <v>939</v>
      </c>
      <c r="G34" s="16">
        <v>20612065668</v>
      </c>
      <c r="H34" s="1" t="s">
        <v>90</v>
      </c>
      <c r="I34" s="8">
        <v>3640</v>
      </c>
      <c r="J34" s="22" t="s">
        <v>108</v>
      </c>
      <c r="K34" s="19" t="s">
        <v>17</v>
      </c>
    </row>
    <row r="35" spans="2:11" x14ac:dyDescent="0.2">
      <c r="B35" s="24" t="s">
        <v>85</v>
      </c>
      <c r="C35" s="6" t="s">
        <v>100</v>
      </c>
      <c r="D35" s="6" t="s">
        <v>105</v>
      </c>
      <c r="E35" s="6" t="s">
        <v>6</v>
      </c>
      <c r="F35" s="16">
        <v>940</v>
      </c>
      <c r="G35" s="16">
        <v>20502072006</v>
      </c>
      <c r="H35" s="1" t="s">
        <v>109</v>
      </c>
      <c r="I35" s="8">
        <v>437</v>
      </c>
      <c r="J35" s="22" t="s">
        <v>110</v>
      </c>
      <c r="K35" s="19" t="s">
        <v>17</v>
      </c>
    </row>
    <row r="36" spans="2:11" x14ac:dyDescent="0.2">
      <c r="B36" s="24" t="s">
        <v>85</v>
      </c>
      <c r="C36" s="6" t="s">
        <v>100</v>
      </c>
      <c r="D36" s="6" t="s">
        <v>105</v>
      </c>
      <c r="E36" s="6" t="s">
        <v>6</v>
      </c>
      <c r="F36" s="16">
        <v>941</v>
      </c>
      <c r="G36" s="16">
        <v>20608162926</v>
      </c>
      <c r="H36" s="1" t="s">
        <v>112</v>
      </c>
      <c r="I36" s="8">
        <v>304</v>
      </c>
      <c r="J36" s="22" t="s">
        <v>111</v>
      </c>
      <c r="K36" s="19" t="s">
        <v>17</v>
      </c>
    </row>
    <row r="37" spans="2:11" x14ac:dyDescent="0.2">
      <c r="B37" s="24" t="s">
        <v>85</v>
      </c>
      <c r="C37" s="6" t="s">
        <v>113</v>
      </c>
      <c r="D37" s="6" t="s">
        <v>100</v>
      </c>
      <c r="E37" s="6" t="s">
        <v>6</v>
      </c>
      <c r="F37" s="16">
        <v>945</v>
      </c>
      <c r="G37" s="16">
        <v>10707557686</v>
      </c>
      <c r="H37" s="1" t="s">
        <v>115</v>
      </c>
      <c r="I37" s="8">
        <v>17</v>
      </c>
      <c r="J37" s="22" t="s">
        <v>114</v>
      </c>
      <c r="K37" s="19" t="s">
        <v>98</v>
      </c>
    </row>
    <row r="38" spans="2:11" x14ac:dyDescent="0.2">
      <c r="B38" s="24" t="s">
        <v>85</v>
      </c>
      <c r="C38" s="6" t="s">
        <v>52</v>
      </c>
      <c r="D38" s="26">
        <v>46131</v>
      </c>
      <c r="E38" s="6" t="s">
        <v>6</v>
      </c>
      <c r="F38" s="16">
        <v>948</v>
      </c>
      <c r="G38" s="16">
        <v>20452634873</v>
      </c>
      <c r="H38" s="1" t="s">
        <v>82</v>
      </c>
      <c r="I38" s="8">
        <v>1365</v>
      </c>
      <c r="J38" s="22" t="s">
        <v>77</v>
      </c>
      <c r="K38" s="19" t="s">
        <v>98</v>
      </c>
    </row>
    <row r="39" spans="2:11" x14ac:dyDescent="0.2">
      <c r="B39" s="24" t="s">
        <v>85</v>
      </c>
      <c r="C39" s="6" t="s">
        <v>117</v>
      </c>
      <c r="D39" s="26" t="s">
        <v>119</v>
      </c>
      <c r="E39" s="6" t="s">
        <v>6</v>
      </c>
      <c r="F39" s="16">
        <v>952</v>
      </c>
      <c r="G39" s="16">
        <v>20608162926</v>
      </c>
      <c r="H39" s="1" t="s">
        <v>112</v>
      </c>
      <c r="I39" s="8">
        <v>222</v>
      </c>
      <c r="J39" s="22" t="s">
        <v>121</v>
      </c>
      <c r="K39" s="19" t="s">
        <v>17</v>
      </c>
    </row>
    <row r="40" spans="2:11" x14ac:dyDescent="0.2">
      <c r="B40" s="24" t="s">
        <v>85</v>
      </c>
      <c r="C40" s="6" t="s">
        <v>117</v>
      </c>
      <c r="D40" s="26" t="s">
        <v>119</v>
      </c>
      <c r="E40" s="6" t="s">
        <v>6</v>
      </c>
      <c r="F40" s="16">
        <v>953</v>
      </c>
      <c r="G40" s="16">
        <v>20502072006</v>
      </c>
      <c r="H40" s="1" t="s">
        <v>109</v>
      </c>
      <c r="I40" s="8">
        <v>429.2</v>
      </c>
      <c r="J40" s="22" t="s">
        <v>122</v>
      </c>
      <c r="K40" s="19" t="s">
        <v>17</v>
      </c>
    </row>
    <row r="41" spans="2:11" x14ac:dyDescent="0.2">
      <c r="B41" s="24" t="s">
        <v>85</v>
      </c>
      <c r="C41" s="6" t="s">
        <v>117</v>
      </c>
      <c r="D41" s="26" t="s">
        <v>119</v>
      </c>
      <c r="E41" s="6" t="s">
        <v>6</v>
      </c>
      <c r="F41" s="16">
        <v>954</v>
      </c>
      <c r="G41" s="16">
        <v>20325346435</v>
      </c>
      <c r="H41" s="1" t="s">
        <v>106</v>
      </c>
      <c r="I41" s="8">
        <v>5557.4</v>
      </c>
      <c r="J41" s="22" t="s">
        <v>123</v>
      </c>
      <c r="K41" s="19" t="s">
        <v>17</v>
      </c>
    </row>
    <row r="42" spans="2:11" x14ac:dyDescent="0.2">
      <c r="B42" s="24" t="s">
        <v>85</v>
      </c>
      <c r="C42" s="6" t="s">
        <v>118</v>
      </c>
      <c r="D42" s="6" t="s">
        <v>120</v>
      </c>
      <c r="E42" s="6" t="s">
        <v>6</v>
      </c>
      <c r="F42" s="16">
        <v>956</v>
      </c>
      <c r="G42" s="27">
        <v>20509113573</v>
      </c>
      <c r="H42" s="1" t="s">
        <v>116</v>
      </c>
      <c r="I42" s="8">
        <v>1126.4000000000001</v>
      </c>
      <c r="J42" s="22" t="s">
        <v>124</v>
      </c>
      <c r="K42" s="19" t="s">
        <v>98</v>
      </c>
    </row>
    <row r="43" spans="2:11" x14ac:dyDescent="0.2">
      <c r="B43" s="24" t="s">
        <v>85</v>
      </c>
      <c r="C43" s="6" t="s">
        <v>125</v>
      </c>
      <c r="D43" s="6" t="s">
        <v>126</v>
      </c>
      <c r="E43" s="6" t="s">
        <v>6</v>
      </c>
      <c r="F43" s="16">
        <v>957</v>
      </c>
      <c r="G43" s="16">
        <v>20494586810</v>
      </c>
      <c r="H43" s="1" t="s">
        <v>54</v>
      </c>
      <c r="I43" s="8">
        <v>240</v>
      </c>
      <c r="J43" s="22" t="s">
        <v>131</v>
      </c>
      <c r="K43" s="19" t="s">
        <v>17</v>
      </c>
    </row>
    <row r="44" spans="2:11" x14ac:dyDescent="0.2">
      <c r="B44" s="24" t="s">
        <v>85</v>
      </c>
      <c r="C44" s="6" t="s">
        <v>125</v>
      </c>
      <c r="D44" s="6" t="s">
        <v>127</v>
      </c>
      <c r="E44" s="6" t="s">
        <v>6</v>
      </c>
      <c r="F44" s="16">
        <v>958</v>
      </c>
      <c r="G44" s="16">
        <v>20614560011</v>
      </c>
      <c r="H44" s="1" t="s">
        <v>67</v>
      </c>
      <c r="I44" s="8">
        <v>665</v>
      </c>
      <c r="J44" s="22" t="s">
        <v>130</v>
      </c>
      <c r="K44" s="19" t="s">
        <v>17</v>
      </c>
    </row>
    <row r="45" spans="2:11" x14ac:dyDescent="0.2">
      <c r="B45" s="24" t="s">
        <v>85</v>
      </c>
      <c r="C45" s="6" t="s">
        <v>125</v>
      </c>
      <c r="D45" s="6" t="s">
        <v>127</v>
      </c>
      <c r="E45" s="6" t="s">
        <v>6</v>
      </c>
      <c r="F45" s="16">
        <v>960</v>
      </c>
      <c r="G45" s="16">
        <v>20563196387</v>
      </c>
      <c r="H45" s="1" t="s">
        <v>128</v>
      </c>
      <c r="I45" s="8">
        <v>5850.44</v>
      </c>
      <c r="J45" s="22" t="s">
        <v>129</v>
      </c>
      <c r="K45" s="19" t="s">
        <v>42</v>
      </c>
    </row>
    <row r="46" spans="2:11" x14ac:dyDescent="0.2">
      <c r="B46" s="24" t="s">
        <v>132</v>
      </c>
      <c r="C46" s="6" t="s">
        <v>133</v>
      </c>
      <c r="D46" s="6" t="s">
        <v>137</v>
      </c>
      <c r="E46" s="6" t="s">
        <v>6</v>
      </c>
      <c r="F46" s="16">
        <v>965</v>
      </c>
      <c r="G46" s="16">
        <v>20608328409</v>
      </c>
      <c r="H46" s="1" t="s">
        <v>135</v>
      </c>
      <c r="I46" s="8">
        <v>6112.4</v>
      </c>
      <c r="J46" s="22" t="s">
        <v>136</v>
      </c>
      <c r="K46" s="19" t="s">
        <v>98</v>
      </c>
    </row>
    <row r="47" spans="2:11" x14ac:dyDescent="0.2">
      <c r="B47" s="24" t="s">
        <v>132</v>
      </c>
      <c r="C47" s="6" t="s">
        <v>133</v>
      </c>
      <c r="D47" s="6" t="s">
        <v>137</v>
      </c>
      <c r="E47" s="6" t="s">
        <v>6</v>
      </c>
      <c r="F47" s="16">
        <v>966</v>
      </c>
      <c r="G47" s="16">
        <v>20606009284</v>
      </c>
      <c r="H47" s="1" t="s">
        <v>59</v>
      </c>
      <c r="I47" s="8">
        <v>10000</v>
      </c>
      <c r="J47" s="22" t="s">
        <v>138</v>
      </c>
      <c r="K47" s="19" t="s">
        <v>42</v>
      </c>
    </row>
    <row r="48" spans="2:11" x14ac:dyDescent="0.2">
      <c r="B48" s="24" t="s">
        <v>132</v>
      </c>
      <c r="C48" s="6" t="s">
        <v>134</v>
      </c>
      <c r="D48" s="6" t="s">
        <v>139</v>
      </c>
      <c r="E48" s="6" t="s">
        <v>6</v>
      </c>
      <c r="F48" s="16">
        <v>967</v>
      </c>
      <c r="G48" s="16">
        <v>20600697511</v>
      </c>
      <c r="H48" s="1" t="s">
        <v>102</v>
      </c>
      <c r="I48" s="8">
        <v>936</v>
      </c>
      <c r="J48" s="22" t="s">
        <v>140</v>
      </c>
      <c r="K48" s="19" t="s">
        <v>98</v>
      </c>
    </row>
    <row r="49" spans="2:11" x14ac:dyDescent="0.2">
      <c r="B49" s="24" t="s">
        <v>132</v>
      </c>
      <c r="C49" s="6" t="s">
        <v>141</v>
      </c>
      <c r="D49" s="6" t="s">
        <v>146</v>
      </c>
      <c r="E49" s="6" t="s">
        <v>6</v>
      </c>
      <c r="F49" s="16">
        <v>968</v>
      </c>
      <c r="G49" s="16">
        <v>20565586247</v>
      </c>
      <c r="H49" s="1" t="s">
        <v>145</v>
      </c>
      <c r="I49" s="8">
        <v>1232</v>
      </c>
      <c r="J49" s="22" t="s">
        <v>147</v>
      </c>
      <c r="K49" s="19" t="s">
        <v>17</v>
      </c>
    </row>
    <row r="50" spans="2:11" x14ac:dyDescent="0.2">
      <c r="B50" s="24" t="s">
        <v>132</v>
      </c>
      <c r="C50" s="6" t="s">
        <v>141</v>
      </c>
      <c r="D50" s="6" t="s">
        <v>142</v>
      </c>
      <c r="E50" s="6" t="s">
        <v>6</v>
      </c>
      <c r="F50" s="16">
        <v>969</v>
      </c>
      <c r="G50" s="16">
        <v>20600697511</v>
      </c>
      <c r="H50" s="1" t="s">
        <v>102</v>
      </c>
      <c r="I50" s="8">
        <v>2761.2</v>
      </c>
      <c r="J50" s="22" t="s">
        <v>143</v>
      </c>
      <c r="K50" s="19" t="s">
        <v>98</v>
      </c>
    </row>
    <row r="51" spans="2:11" x14ac:dyDescent="0.2">
      <c r="B51" s="24" t="s">
        <v>132</v>
      </c>
      <c r="C51" s="6" t="s">
        <v>141</v>
      </c>
      <c r="D51" s="6" t="s">
        <v>142</v>
      </c>
      <c r="E51" s="6" t="s">
        <v>6</v>
      </c>
      <c r="F51" s="16">
        <v>970</v>
      </c>
      <c r="G51" s="16">
        <v>20608328409</v>
      </c>
      <c r="H51" s="1" t="s">
        <v>135</v>
      </c>
      <c r="I51" s="8">
        <v>10522.06</v>
      </c>
      <c r="J51" s="22" t="s">
        <v>144</v>
      </c>
      <c r="K51" s="19" t="s">
        <v>98</v>
      </c>
    </row>
    <row r="52" spans="2:11" x14ac:dyDescent="0.2">
      <c r="B52" s="24" t="s">
        <v>132</v>
      </c>
      <c r="C52" s="6" t="s">
        <v>141</v>
      </c>
      <c r="D52" s="6" t="s">
        <v>149</v>
      </c>
      <c r="E52" s="6" t="s">
        <v>6</v>
      </c>
      <c r="F52" s="16">
        <v>971</v>
      </c>
      <c r="G52" s="16">
        <v>10237050008</v>
      </c>
      <c r="H52" s="1" t="s">
        <v>148</v>
      </c>
      <c r="I52" s="8">
        <v>320</v>
      </c>
      <c r="J52" s="22" t="s">
        <v>150</v>
      </c>
      <c r="K52" s="19" t="s">
        <v>17</v>
      </c>
    </row>
    <row r="53" spans="2:11" x14ac:dyDescent="0.2">
      <c r="B53" s="24" t="s">
        <v>132</v>
      </c>
      <c r="C53" s="6" t="s">
        <v>151</v>
      </c>
      <c r="D53" s="6" t="s">
        <v>168</v>
      </c>
      <c r="E53" s="6" t="s">
        <v>6</v>
      </c>
      <c r="F53" s="16">
        <v>972</v>
      </c>
      <c r="G53" s="16">
        <v>20601438586</v>
      </c>
      <c r="H53" s="1" t="s">
        <v>152</v>
      </c>
      <c r="I53" s="8">
        <v>200</v>
      </c>
      <c r="J53" s="22" t="s">
        <v>153</v>
      </c>
      <c r="K53" s="19" t="s">
        <v>154</v>
      </c>
    </row>
    <row r="54" spans="2:11" x14ac:dyDescent="0.2">
      <c r="B54" s="24" t="s">
        <v>132</v>
      </c>
      <c r="C54" s="6" t="s">
        <v>155</v>
      </c>
      <c r="D54" s="6" t="s">
        <v>155</v>
      </c>
      <c r="E54" s="6" t="s">
        <v>6</v>
      </c>
      <c r="F54" s="16">
        <v>975</v>
      </c>
      <c r="G54" s="16">
        <v>20613808893</v>
      </c>
      <c r="H54" s="1" t="s">
        <v>158</v>
      </c>
      <c r="I54" s="8">
        <v>96</v>
      </c>
      <c r="J54" s="22" t="s">
        <v>157</v>
      </c>
      <c r="K54" s="19" t="s">
        <v>69</v>
      </c>
    </row>
    <row r="55" spans="2:11" x14ac:dyDescent="0.2">
      <c r="B55" s="24" t="s">
        <v>132</v>
      </c>
      <c r="C55" s="6" t="s">
        <v>156</v>
      </c>
      <c r="D55" s="6" t="s">
        <v>159</v>
      </c>
      <c r="E55" s="6" t="s">
        <v>6</v>
      </c>
      <c r="F55" s="16">
        <v>976</v>
      </c>
      <c r="G55" s="16">
        <v>20606009284</v>
      </c>
      <c r="H55" s="1" t="s">
        <v>59</v>
      </c>
      <c r="I55" s="8">
        <v>10000</v>
      </c>
      <c r="J55" s="22" t="s">
        <v>138</v>
      </c>
      <c r="K55" s="19" t="s">
        <v>42</v>
      </c>
    </row>
    <row r="56" spans="2:11" x14ac:dyDescent="0.2">
      <c r="B56" s="24" t="s">
        <v>132</v>
      </c>
      <c r="C56" s="6" t="s">
        <v>160</v>
      </c>
      <c r="D56" s="6" t="s">
        <v>162</v>
      </c>
      <c r="E56" s="6" t="s">
        <v>6</v>
      </c>
      <c r="F56" s="16">
        <v>977</v>
      </c>
      <c r="G56" s="16">
        <v>20452634873</v>
      </c>
      <c r="H56" s="1" t="s">
        <v>82</v>
      </c>
      <c r="I56" s="8">
        <v>2646</v>
      </c>
      <c r="J56" s="22" t="s">
        <v>163</v>
      </c>
      <c r="K56" s="19" t="s">
        <v>98</v>
      </c>
    </row>
    <row r="57" spans="2:11" x14ac:dyDescent="0.2">
      <c r="B57" s="24" t="s">
        <v>132</v>
      </c>
      <c r="C57" s="6" t="s">
        <v>161</v>
      </c>
      <c r="D57" s="6" t="s">
        <v>166</v>
      </c>
      <c r="E57" s="6" t="s">
        <v>6</v>
      </c>
      <c r="F57" s="16">
        <v>978</v>
      </c>
      <c r="G57" s="16">
        <v>20602691439</v>
      </c>
      <c r="H57" s="1" t="s">
        <v>165</v>
      </c>
      <c r="I57" s="8">
        <v>4531.2</v>
      </c>
      <c r="J57" s="22" t="s">
        <v>164</v>
      </c>
      <c r="K57" s="19" t="s">
        <v>17</v>
      </c>
    </row>
    <row r="58" spans="2:11" x14ac:dyDescent="0.2">
      <c r="B58" s="24" t="s">
        <v>132</v>
      </c>
      <c r="C58" s="6" t="s">
        <v>169</v>
      </c>
      <c r="D58" s="6" t="s">
        <v>170</v>
      </c>
      <c r="E58" s="6" t="s">
        <v>6</v>
      </c>
      <c r="F58" s="16">
        <v>979</v>
      </c>
      <c r="G58" s="16">
        <v>20606133139</v>
      </c>
      <c r="H58" s="1" t="s">
        <v>7</v>
      </c>
      <c r="I58" s="8">
        <v>6132</v>
      </c>
      <c r="J58" s="22" t="s">
        <v>182</v>
      </c>
      <c r="K58" s="19" t="s">
        <v>98</v>
      </c>
    </row>
    <row r="59" spans="2:11" x14ac:dyDescent="0.2">
      <c r="B59" s="24" t="s">
        <v>132</v>
      </c>
      <c r="C59" s="6" t="s">
        <v>169</v>
      </c>
      <c r="D59" s="6" t="s">
        <v>170</v>
      </c>
      <c r="E59" s="6" t="s">
        <v>6</v>
      </c>
      <c r="F59" s="16">
        <v>981</v>
      </c>
      <c r="G59" s="16">
        <v>10724616572</v>
      </c>
      <c r="H59" s="1" t="s">
        <v>171</v>
      </c>
      <c r="I59" s="8">
        <v>522</v>
      </c>
      <c r="J59" s="22" t="s">
        <v>172</v>
      </c>
      <c r="K59" s="19" t="s">
        <v>17</v>
      </c>
    </row>
    <row r="60" spans="2:11" x14ac:dyDescent="0.2">
      <c r="B60" s="24" t="s">
        <v>132</v>
      </c>
      <c r="C60" s="6" t="s">
        <v>173</v>
      </c>
      <c r="D60" s="6" t="s">
        <v>174</v>
      </c>
      <c r="E60" s="6" t="s">
        <v>6</v>
      </c>
      <c r="F60" s="16">
        <v>982</v>
      </c>
      <c r="G60" s="16">
        <v>20452634873</v>
      </c>
      <c r="H60" s="1" t="s">
        <v>82</v>
      </c>
      <c r="I60" s="8">
        <v>280</v>
      </c>
      <c r="J60" s="22" t="s">
        <v>175</v>
      </c>
      <c r="K60" s="19" t="s">
        <v>98</v>
      </c>
    </row>
    <row r="61" spans="2:11" x14ac:dyDescent="0.2">
      <c r="B61" s="24" t="s">
        <v>132</v>
      </c>
      <c r="C61" s="6" t="s">
        <v>177</v>
      </c>
      <c r="D61" s="6" t="s">
        <v>178</v>
      </c>
      <c r="E61" s="6" t="s">
        <v>6</v>
      </c>
      <c r="F61" s="16">
        <v>983</v>
      </c>
      <c r="G61" s="16">
        <v>20411051782</v>
      </c>
      <c r="H61" s="1" t="s">
        <v>176</v>
      </c>
      <c r="I61" s="8">
        <v>3150</v>
      </c>
      <c r="J61" s="22" t="s">
        <v>179</v>
      </c>
      <c r="K61" s="19" t="s">
        <v>17</v>
      </c>
    </row>
    <row r="62" spans="2:11" x14ac:dyDescent="0.2">
      <c r="B62" s="24" t="s">
        <v>132</v>
      </c>
      <c r="C62" s="6" t="s">
        <v>177</v>
      </c>
      <c r="D62" s="6" t="s">
        <v>180</v>
      </c>
      <c r="E62" s="6" t="s">
        <v>6</v>
      </c>
      <c r="F62" s="16">
        <v>984</v>
      </c>
      <c r="G62" s="16">
        <v>20601438586</v>
      </c>
      <c r="H62" s="1" t="s">
        <v>152</v>
      </c>
      <c r="I62" s="8">
        <v>400</v>
      </c>
      <c r="J62" s="22" t="s">
        <v>181</v>
      </c>
      <c r="K62" s="19" t="s">
        <v>154</v>
      </c>
    </row>
    <row r="63" spans="2:11" x14ac:dyDescent="0.2">
      <c r="B63" s="24" t="s">
        <v>132</v>
      </c>
      <c r="C63" s="6" t="s">
        <v>183</v>
      </c>
      <c r="D63" s="6" t="s">
        <v>184</v>
      </c>
      <c r="E63" s="6" t="s">
        <v>6</v>
      </c>
      <c r="F63" s="16">
        <v>985</v>
      </c>
      <c r="G63" s="16">
        <v>20325346435</v>
      </c>
      <c r="H63" s="1" t="s">
        <v>106</v>
      </c>
      <c r="I63" s="8">
        <v>5477.5</v>
      </c>
      <c r="J63" s="22" t="s">
        <v>185</v>
      </c>
      <c r="K63" s="19" t="s">
        <v>17</v>
      </c>
    </row>
    <row r="64" spans="2:11" x14ac:dyDescent="0.2">
      <c r="B64" s="24" t="s">
        <v>132</v>
      </c>
      <c r="C64" s="6" t="s">
        <v>183</v>
      </c>
      <c r="D64" s="6" t="s">
        <v>184</v>
      </c>
      <c r="E64" s="6" t="s">
        <v>6</v>
      </c>
      <c r="F64" s="16">
        <v>986</v>
      </c>
      <c r="G64" s="16">
        <v>20608162926</v>
      </c>
      <c r="H64" s="1" t="s">
        <v>112</v>
      </c>
      <c r="I64" s="8">
        <v>280</v>
      </c>
      <c r="J64" s="22" t="s">
        <v>186</v>
      </c>
      <c r="K64" s="19" t="s">
        <v>17</v>
      </c>
    </row>
    <row r="65" spans="2:11" x14ac:dyDescent="0.2">
      <c r="B65" s="24" t="s">
        <v>132</v>
      </c>
      <c r="C65" s="26">
        <v>46107</v>
      </c>
      <c r="D65" s="28" t="s">
        <v>188</v>
      </c>
      <c r="E65" s="6" t="s">
        <v>6</v>
      </c>
      <c r="F65" s="16">
        <v>989</v>
      </c>
      <c r="G65" s="16">
        <v>20452634873</v>
      </c>
      <c r="H65" s="1" t="s">
        <v>82</v>
      </c>
      <c r="I65" s="8">
        <v>250</v>
      </c>
      <c r="J65" s="22" t="s">
        <v>187</v>
      </c>
      <c r="K65" s="19" t="s">
        <v>98</v>
      </c>
    </row>
    <row r="66" spans="2:11" x14ac:dyDescent="0.2">
      <c r="B66" s="24" t="s">
        <v>132</v>
      </c>
      <c r="C66" s="26" t="s">
        <v>190</v>
      </c>
      <c r="D66" s="28" t="s">
        <v>191</v>
      </c>
      <c r="E66" s="6" t="s">
        <v>6</v>
      </c>
      <c r="F66" s="16">
        <v>990</v>
      </c>
      <c r="G66" s="16">
        <v>20100032709</v>
      </c>
      <c r="H66" s="1" t="s">
        <v>189</v>
      </c>
      <c r="I66" s="8">
        <v>4200</v>
      </c>
      <c r="J66" s="22" t="s">
        <v>192</v>
      </c>
      <c r="K66" s="19" t="s">
        <v>17</v>
      </c>
    </row>
    <row r="67" spans="2:11" x14ac:dyDescent="0.2">
      <c r="B67" s="24" t="s">
        <v>132</v>
      </c>
      <c r="C67" s="26" t="s">
        <v>190</v>
      </c>
      <c r="D67" s="28" t="s">
        <v>191</v>
      </c>
      <c r="E67" s="6" t="s">
        <v>6</v>
      </c>
      <c r="F67" s="16">
        <v>991</v>
      </c>
      <c r="G67" s="16">
        <v>20100032709</v>
      </c>
      <c r="H67" s="1" t="s">
        <v>189</v>
      </c>
      <c r="I67" s="8">
        <v>7920</v>
      </c>
      <c r="J67" s="22" t="s">
        <v>193</v>
      </c>
      <c r="K67" s="19" t="s">
        <v>17</v>
      </c>
    </row>
    <row r="68" spans="2:11" x14ac:dyDescent="0.2">
      <c r="B68" s="24" t="s">
        <v>132</v>
      </c>
      <c r="C68" s="26">
        <v>46111</v>
      </c>
      <c r="D68" s="28" t="s">
        <v>195</v>
      </c>
      <c r="E68" s="6" t="s">
        <v>6</v>
      </c>
      <c r="F68" s="16">
        <v>992</v>
      </c>
      <c r="G68" s="16">
        <v>20176770474</v>
      </c>
      <c r="H68" s="1" t="s">
        <v>194</v>
      </c>
      <c r="I68" s="8">
        <v>2000</v>
      </c>
      <c r="J68" s="22" t="s">
        <v>196</v>
      </c>
      <c r="K68" s="19" t="s">
        <v>98</v>
      </c>
    </row>
    <row r="69" spans="2:11" x14ac:dyDescent="0.2">
      <c r="B69" s="24" t="s">
        <v>132</v>
      </c>
      <c r="C69" s="26">
        <v>46112</v>
      </c>
      <c r="D69" s="26" t="s">
        <v>197</v>
      </c>
      <c r="E69" s="6" t="s">
        <v>6</v>
      </c>
      <c r="F69" s="16">
        <v>993</v>
      </c>
      <c r="G69" s="16">
        <v>20614560011</v>
      </c>
      <c r="H69" s="1" t="s">
        <v>67</v>
      </c>
      <c r="I69" s="8">
        <v>11248</v>
      </c>
      <c r="J69" s="22" t="s">
        <v>198</v>
      </c>
      <c r="K69" s="19" t="s">
        <v>17</v>
      </c>
    </row>
    <row r="70" spans="2:11" x14ac:dyDescent="0.2">
      <c r="B70" s="24" t="s">
        <v>132</v>
      </c>
      <c r="C70" s="26">
        <v>46112</v>
      </c>
      <c r="D70" s="28" t="s">
        <v>199</v>
      </c>
      <c r="E70" s="6" t="s">
        <v>6</v>
      </c>
      <c r="F70" s="16">
        <v>998</v>
      </c>
      <c r="G70" s="16">
        <v>20601438586</v>
      </c>
      <c r="H70" s="1" t="s">
        <v>200</v>
      </c>
      <c r="I70" s="8">
        <v>400</v>
      </c>
      <c r="J70" s="22" t="s">
        <v>181</v>
      </c>
      <c r="K70" s="19" t="s">
        <v>154</v>
      </c>
    </row>
    <row r="71" spans="2:11" x14ac:dyDescent="0.2">
      <c r="B71" s="24" t="s">
        <v>202</v>
      </c>
      <c r="C71" s="26" t="s">
        <v>28</v>
      </c>
      <c r="D71" s="28" t="s">
        <v>204</v>
      </c>
      <c r="E71" s="6" t="s">
        <v>6</v>
      </c>
      <c r="F71" s="16">
        <v>1001</v>
      </c>
      <c r="G71" s="16">
        <v>20100032709</v>
      </c>
      <c r="H71" s="1" t="s">
        <v>189</v>
      </c>
      <c r="I71" s="8">
        <v>8100</v>
      </c>
      <c r="J71" s="22" t="s">
        <v>203</v>
      </c>
      <c r="K71" s="19" t="s">
        <v>17</v>
      </c>
    </row>
    <row r="72" spans="2:11" x14ac:dyDescent="0.2">
      <c r="B72" s="24" t="s">
        <v>202</v>
      </c>
      <c r="C72" s="26" t="s">
        <v>205</v>
      </c>
      <c r="D72" s="28" t="s">
        <v>207</v>
      </c>
      <c r="E72" s="6" t="s">
        <v>6</v>
      </c>
      <c r="F72" s="16">
        <v>1003</v>
      </c>
      <c r="G72" s="16">
        <v>20600697511</v>
      </c>
      <c r="H72" s="1" t="s">
        <v>102</v>
      </c>
      <c r="I72" s="8">
        <v>936</v>
      </c>
      <c r="J72" s="22" t="s">
        <v>209</v>
      </c>
      <c r="K72" s="19" t="s">
        <v>98</v>
      </c>
    </row>
    <row r="73" spans="2:11" x14ac:dyDescent="0.2">
      <c r="B73" s="24" t="s">
        <v>202</v>
      </c>
      <c r="C73" s="26" t="s">
        <v>205</v>
      </c>
      <c r="D73" s="28" t="s">
        <v>207</v>
      </c>
      <c r="E73" s="6" t="s">
        <v>6</v>
      </c>
      <c r="F73" s="16">
        <v>1004</v>
      </c>
      <c r="G73" s="16">
        <v>20600697511</v>
      </c>
      <c r="H73" s="1" t="s">
        <v>102</v>
      </c>
      <c r="I73" s="8">
        <v>936</v>
      </c>
      <c r="J73" s="22" t="s">
        <v>209</v>
      </c>
      <c r="K73" s="19" t="s">
        <v>98</v>
      </c>
    </row>
    <row r="74" spans="2:11" x14ac:dyDescent="0.2">
      <c r="B74" s="24" t="s">
        <v>202</v>
      </c>
      <c r="C74" s="26" t="s">
        <v>205</v>
      </c>
      <c r="D74" s="28" t="s">
        <v>206</v>
      </c>
      <c r="E74" s="6" t="s">
        <v>6</v>
      </c>
      <c r="F74" s="16">
        <v>1005</v>
      </c>
      <c r="G74" s="16">
        <v>20100032709</v>
      </c>
      <c r="H74" s="1" t="s">
        <v>189</v>
      </c>
      <c r="I74" s="8">
        <v>5737.5</v>
      </c>
      <c r="J74" s="22" t="s">
        <v>208</v>
      </c>
      <c r="K74" s="19" t="s">
        <v>17</v>
      </c>
    </row>
    <row r="75" spans="2:11" x14ac:dyDescent="0.2">
      <c r="B75" s="24" t="s">
        <v>202</v>
      </c>
      <c r="C75" s="26" t="s">
        <v>210</v>
      </c>
      <c r="D75" s="28" t="s">
        <v>211</v>
      </c>
      <c r="E75" s="6" t="s">
        <v>6</v>
      </c>
      <c r="F75" s="16">
        <v>1006</v>
      </c>
      <c r="G75" s="16">
        <v>20452634873</v>
      </c>
      <c r="H75" s="1" t="s">
        <v>82</v>
      </c>
      <c r="I75" s="8">
        <v>300</v>
      </c>
      <c r="J75" s="22" t="s">
        <v>212</v>
      </c>
      <c r="K75" s="19" t="s">
        <v>98</v>
      </c>
    </row>
    <row r="76" spans="2:11" x14ac:dyDescent="0.2">
      <c r="B76" s="24" t="s">
        <v>202</v>
      </c>
      <c r="C76" s="6" t="s">
        <v>213</v>
      </c>
      <c r="D76" s="6" t="s">
        <v>214</v>
      </c>
      <c r="E76" s="6" t="s">
        <v>6</v>
      </c>
      <c r="F76" s="16">
        <v>1008</v>
      </c>
      <c r="G76" s="16">
        <v>20100032709</v>
      </c>
      <c r="H76" s="1" t="s">
        <v>189</v>
      </c>
      <c r="I76" s="8">
        <v>8712</v>
      </c>
      <c r="J76" s="22" t="s">
        <v>215</v>
      </c>
      <c r="K76" s="19" t="s">
        <v>17</v>
      </c>
    </row>
    <row r="77" spans="2:11" x14ac:dyDescent="0.2">
      <c r="B77" s="24" t="s">
        <v>202</v>
      </c>
      <c r="C77" s="6" t="s">
        <v>216</v>
      </c>
      <c r="D77" s="6" t="s">
        <v>217</v>
      </c>
      <c r="E77" s="6" t="s">
        <v>6</v>
      </c>
      <c r="F77" s="16">
        <v>1009</v>
      </c>
      <c r="G77" s="16">
        <v>20600697511</v>
      </c>
      <c r="H77" s="1" t="s">
        <v>102</v>
      </c>
      <c r="I77" s="8">
        <v>2800</v>
      </c>
      <c r="J77" s="22" t="s">
        <v>218</v>
      </c>
      <c r="K77" s="19" t="s">
        <v>98</v>
      </c>
    </row>
    <row r="78" spans="2:11" x14ac:dyDescent="0.2">
      <c r="B78" s="24" t="s">
        <v>202</v>
      </c>
      <c r="C78" s="6" t="s">
        <v>219</v>
      </c>
      <c r="D78" s="6" t="s">
        <v>220</v>
      </c>
      <c r="E78" s="6" t="s">
        <v>6</v>
      </c>
      <c r="F78" s="16">
        <v>1010</v>
      </c>
      <c r="G78" s="16">
        <v>20600697511</v>
      </c>
      <c r="H78" s="1" t="s">
        <v>102</v>
      </c>
      <c r="I78" s="8">
        <v>300</v>
      </c>
      <c r="J78" s="22" t="s">
        <v>221</v>
      </c>
      <c r="K78" s="19" t="s">
        <v>98</v>
      </c>
    </row>
    <row r="79" spans="2:11" x14ac:dyDescent="0.2">
      <c r="B79" s="24" t="s">
        <v>202</v>
      </c>
      <c r="C79" s="6" t="s">
        <v>219</v>
      </c>
      <c r="D79" s="6" t="s">
        <v>220</v>
      </c>
      <c r="E79" s="6" t="s">
        <v>6</v>
      </c>
      <c r="F79" s="16">
        <v>1011</v>
      </c>
      <c r="G79" s="16">
        <v>20452634873</v>
      </c>
      <c r="H79" s="1" t="s">
        <v>82</v>
      </c>
      <c r="I79" s="8">
        <v>300</v>
      </c>
      <c r="J79" s="22" t="s">
        <v>221</v>
      </c>
      <c r="K79" s="19" t="s">
        <v>98</v>
      </c>
    </row>
    <row r="80" spans="2:11" x14ac:dyDescent="0.2">
      <c r="B80" s="24"/>
      <c r="C80" s="6"/>
      <c r="D80" s="6"/>
      <c r="E80" s="6"/>
      <c r="F80" s="16"/>
      <c r="G80" s="16"/>
      <c r="I80" s="8"/>
      <c r="J80" s="22"/>
      <c r="K80" s="19"/>
    </row>
    <row r="81" spans="8:11" ht="12" customHeight="1" thickBot="1" x14ac:dyDescent="0.25">
      <c r="H81" s="7" t="s">
        <v>3</v>
      </c>
      <c r="I81" s="9">
        <f>SUM(I7:I79)</f>
        <v>232658.54</v>
      </c>
    </row>
    <row r="82" spans="8:11" ht="10.8" thickTop="1" x14ac:dyDescent="0.2"/>
    <row r="90" spans="8:11" x14ac:dyDescent="0.2">
      <c r="J90" s="8"/>
    </row>
    <row r="91" spans="8:11" x14ac:dyDescent="0.2">
      <c r="K91" s="23"/>
    </row>
  </sheetData>
  <autoFilter ref="A6:K81" xr:uid="{89F060DB-6E7C-4940-87DD-785364B568BD}"/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RESUMEN</vt:lpstr>
      <vt:lpstr>Hoja1</vt:lpstr>
      <vt:lpstr>VENTAS ABRIL</vt:lpstr>
      <vt:lpstr>VENTAS ACUMULADAS 2026</vt:lpstr>
      <vt:lpstr>'VENTAS ABRIL'!Títulos_a_imprimir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Rubiños perez</dc:creator>
  <cp:lastModifiedBy>jofran rubiños perez</cp:lastModifiedBy>
  <dcterms:created xsi:type="dcterms:W3CDTF">2025-04-04T22:15:45Z</dcterms:created>
  <dcterms:modified xsi:type="dcterms:W3CDTF">2026-04-17T22:27:19Z</dcterms:modified>
</cp:coreProperties>
</file>