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rov\OneDrive\Escritorio\"/>
    </mc:Choice>
  </mc:AlternateContent>
  <xr:revisionPtr revIDLastSave="0" documentId="13_ncr:1_{BB9AD29B-42F6-40F4-98D2-43733FE9E0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4" r:id="rId1"/>
    <sheet name="Detalle Mora" sheetId="1" r:id="rId2"/>
  </sheets>
  <definedNames>
    <definedName name="_xlnm._FilterDatabase" localSheetId="1" hidden="1">'Detalle Mora'!$A$2:$M$64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" l="1"/>
  <c r="F3" i="1" s="1"/>
  <c r="F64" i="1" l="1"/>
  <c r="F63" i="1"/>
  <c r="F62" i="1"/>
  <c r="F60" i="1"/>
  <c r="F61" i="1"/>
  <c r="F59" i="1"/>
  <c r="F57" i="1"/>
  <c r="F58" i="1"/>
  <c r="F56" i="1"/>
  <c r="F55" i="1"/>
  <c r="F54" i="1"/>
  <c r="F53" i="1"/>
  <c r="F52" i="1"/>
  <c r="F51" i="1"/>
  <c r="F50" i="1"/>
  <c r="F49" i="1"/>
  <c r="F48" i="1"/>
  <c r="F47" i="1"/>
  <c r="F46" i="1"/>
  <c r="F44" i="1"/>
  <c r="F45" i="1"/>
  <c r="F43" i="1"/>
  <c r="F42" i="1"/>
  <c r="F41" i="1"/>
  <c r="F39" i="1"/>
  <c r="F40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5" i="1"/>
  <c r="F6" i="1"/>
  <c r="J6" i="1" s="1"/>
  <c r="F4" i="1"/>
  <c r="K4" i="1" s="1"/>
  <c r="J3" i="1"/>
  <c r="K3" i="1"/>
  <c r="J46" i="1" l="1"/>
  <c r="K46" i="1"/>
  <c r="J41" i="1"/>
  <c r="K41" i="1"/>
  <c r="J44" i="1"/>
  <c r="K44" i="1"/>
  <c r="J49" i="1"/>
  <c r="K49" i="1"/>
  <c r="J53" i="1"/>
  <c r="K53" i="1"/>
  <c r="J58" i="1"/>
  <c r="K58" i="1"/>
  <c r="J59" i="1"/>
  <c r="K59" i="1"/>
  <c r="J63" i="1"/>
  <c r="K63" i="1"/>
  <c r="J38" i="1"/>
  <c r="K38" i="1"/>
  <c r="J50" i="1"/>
  <c r="K50" i="1"/>
  <c r="J57" i="1"/>
  <c r="K57" i="1"/>
  <c r="J64" i="1"/>
  <c r="K64" i="1"/>
  <c r="J39" i="1"/>
  <c r="K39" i="1"/>
  <c r="J45" i="1"/>
  <c r="K45" i="1"/>
  <c r="J48" i="1"/>
  <c r="K48" i="1"/>
  <c r="J52" i="1"/>
  <c r="K52" i="1"/>
  <c r="J56" i="1"/>
  <c r="K56" i="1"/>
  <c r="J62" i="1"/>
  <c r="K62" i="1"/>
  <c r="J42" i="1"/>
  <c r="K42" i="1"/>
  <c r="J54" i="1"/>
  <c r="K54" i="1"/>
  <c r="J61" i="1"/>
  <c r="K61" i="1"/>
  <c r="J40" i="1"/>
  <c r="K40" i="1"/>
  <c r="J43" i="1"/>
  <c r="K43" i="1"/>
  <c r="J47" i="1"/>
  <c r="K47" i="1"/>
  <c r="J51" i="1"/>
  <c r="K51" i="1"/>
  <c r="J55" i="1"/>
  <c r="K55" i="1"/>
  <c r="J60" i="1"/>
  <c r="K60" i="1"/>
  <c r="K24" i="1"/>
  <c r="J24" i="1"/>
  <c r="K32" i="1"/>
  <c r="J32" i="1"/>
  <c r="K23" i="1"/>
  <c r="J23" i="1"/>
  <c r="K22" i="1"/>
  <c r="J22" i="1"/>
  <c r="K26" i="1"/>
  <c r="J26" i="1"/>
  <c r="K30" i="1"/>
  <c r="J30" i="1"/>
  <c r="K37" i="1"/>
  <c r="J37" i="1"/>
  <c r="K20" i="1"/>
  <c r="J20" i="1"/>
  <c r="K28" i="1"/>
  <c r="J28" i="1"/>
  <c r="K35" i="1"/>
  <c r="J35" i="1"/>
  <c r="K27" i="1"/>
  <c r="J27" i="1"/>
  <c r="K31" i="1"/>
  <c r="J31" i="1"/>
  <c r="K34" i="1"/>
  <c r="J34" i="1"/>
  <c r="K19" i="1"/>
  <c r="J19" i="1"/>
  <c r="K21" i="1"/>
  <c r="J21" i="1"/>
  <c r="K25" i="1"/>
  <c r="J25" i="1"/>
  <c r="K29" i="1"/>
  <c r="J29" i="1"/>
  <c r="K33" i="1"/>
  <c r="J33" i="1"/>
  <c r="K36" i="1"/>
  <c r="J36" i="1"/>
  <c r="K5" i="1"/>
  <c r="J5" i="1"/>
  <c r="J4" i="1"/>
  <c r="K10" i="1"/>
  <c r="J10" i="1"/>
  <c r="K15" i="1"/>
  <c r="J15" i="1"/>
  <c r="K17" i="1"/>
  <c r="J17" i="1"/>
  <c r="K9" i="1"/>
  <c r="J9" i="1"/>
  <c r="K12" i="1"/>
  <c r="J12" i="1"/>
  <c r="K14" i="1"/>
  <c r="J14" i="1"/>
  <c r="K16" i="1"/>
  <c r="J16" i="1"/>
  <c r="K7" i="1"/>
  <c r="J7" i="1"/>
  <c r="K18" i="1"/>
  <c r="J18" i="1"/>
  <c r="K6" i="1"/>
  <c r="K8" i="1"/>
  <c r="J8" i="1"/>
  <c r="K11" i="1"/>
  <c r="J11" i="1"/>
  <c r="K13" i="1"/>
  <c r="J13" i="1"/>
</calcChain>
</file>

<file path=xl/sharedStrings.xml><?xml version="1.0" encoding="utf-8"?>
<sst xmlns="http://schemas.openxmlformats.org/spreadsheetml/2006/main" count="526" uniqueCount="153">
  <si>
    <t>Rut</t>
  </si>
  <si>
    <t>Razón Social</t>
  </si>
  <si>
    <t>Vendedor</t>
  </si>
  <si>
    <t>Documento</t>
  </si>
  <si>
    <t>Número</t>
  </si>
  <si>
    <t>Total Doc</t>
  </si>
  <si>
    <t>11.673.695-0</t>
  </si>
  <si>
    <t>MAGALY DEL CARMEN ORELLANA PINO</t>
  </si>
  <si>
    <t>JORGE CAROCA</t>
  </si>
  <si>
    <t>Factura Electrónica</t>
  </si>
  <si>
    <t>17/10/2025</t>
  </si>
  <si>
    <t>15/02/2026</t>
  </si>
  <si>
    <t>Crédito</t>
  </si>
  <si>
    <t>17.272.914-2</t>
  </si>
  <si>
    <t>LEONARDO ENRIQUE OYARCE GENERAL</t>
  </si>
  <si>
    <t>FRANCISCO VELASQUEZ</t>
  </si>
  <si>
    <t>24/02/2026</t>
  </si>
  <si>
    <t>27/03/2026</t>
  </si>
  <si>
    <t>27/04/2026</t>
  </si>
  <si>
    <t>RODRIGO ENCINA</t>
  </si>
  <si>
    <t>05/03/2026</t>
  </si>
  <si>
    <t>5.280.371-3</t>
  </si>
  <si>
    <t>JUAN FRANCISCO VARGAS MANCILLA</t>
  </si>
  <si>
    <t>OFICINA</t>
  </si>
  <si>
    <t>20/01/2026</t>
  </si>
  <si>
    <t>21/03/2026</t>
  </si>
  <si>
    <t>Contado</t>
  </si>
  <si>
    <t>6.725.491-0</t>
  </si>
  <si>
    <t>JOSE CRISTOBAL GONZALEZ CORREA</t>
  </si>
  <si>
    <t>10/02/2026</t>
  </si>
  <si>
    <t>12/03/2026</t>
  </si>
  <si>
    <t>04/03/2026</t>
  </si>
  <si>
    <t>10/03/2026</t>
  </si>
  <si>
    <t>PABLO LARATRO</t>
  </si>
  <si>
    <t>02/02/2026</t>
  </si>
  <si>
    <t>76.036.193-3</t>
  </si>
  <si>
    <t>AGRICOLA LUIS ANTONIO HERRERA AVENDANO E.I.R.L.</t>
  </si>
  <si>
    <t>13/03/2026</t>
  </si>
  <si>
    <t>76.104.169-K</t>
  </si>
  <si>
    <t>AGRICOLA RIBERA LIMITADA</t>
  </si>
  <si>
    <t>13/01/2026</t>
  </si>
  <si>
    <t>15/01/2026</t>
  </si>
  <si>
    <t>30/03/2026</t>
  </si>
  <si>
    <t>27/01/2026</t>
  </si>
  <si>
    <t>76.238.110-9</t>
  </si>
  <si>
    <t>AGRICOLA FRANCISCA MONTES E.I.R.L</t>
  </si>
  <si>
    <t>76.412.827-3</t>
  </si>
  <si>
    <t>FRUTICOLA RIO BLANCO SPA</t>
  </si>
  <si>
    <t>30/04/2026</t>
  </si>
  <si>
    <t>23/01/2026</t>
  </si>
  <si>
    <t>23/02/2026</t>
  </si>
  <si>
    <t>02/01/2026</t>
  </si>
  <si>
    <t>06/04/2026</t>
  </si>
  <si>
    <t>12/01/2026</t>
  </si>
  <si>
    <t>76.442.085-3</t>
  </si>
  <si>
    <t>AGRICOLA TUNICHE LIMITADA</t>
  </si>
  <si>
    <t>20/03/2026</t>
  </si>
  <si>
    <t>RAYEN BERNAZAR</t>
  </si>
  <si>
    <t>76.867.632-1</t>
  </si>
  <si>
    <t>GOYASERVICE SPA</t>
  </si>
  <si>
    <t>05/09/2025</t>
  </si>
  <si>
    <t>03/01/2026</t>
  </si>
  <si>
    <t>77.135.740-7</t>
  </si>
  <si>
    <t>RAUL JOFRE Y COMPAQIA LIMITADA</t>
  </si>
  <si>
    <t>21/01/2026</t>
  </si>
  <si>
    <t>26/04/2026</t>
  </si>
  <si>
    <t>77.157.056-9</t>
  </si>
  <si>
    <t>CRR SERVICIOS SPA</t>
  </si>
  <si>
    <t>77.504.909-K</t>
  </si>
  <si>
    <t>AGRICOLA QUINQUILHUE SPA</t>
  </si>
  <si>
    <t>11/03/2026</t>
  </si>
  <si>
    <t>77.582.414-K</t>
  </si>
  <si>
    <t>AGROINSUMOS KULLIN</t>
  </si>
  <si>
    <t>22/01/2026</t>
  </si>
  <si>
    <t>77.758.114-7</t>
  </si>
  <si>
    <t>SOCIEDAD AGRÍCOLA COMERCIAL SIEMBRA SPA</t>
  </si>
  <si>
    <t>29/01/2026</t>
  </si>
  <si>
    <t>78.061.253-3</t>
  </si>
  <si>
    <t>AGRICOLA DON PEDRO SPA</t>
  </si>
  <si>
    <t>20/04/2026</t>
  </si>
  <si>
    <t>JAVIER ALMEIDA</t>
  </si>
  <si>
    <t>81.669.200-8</t>
  </si>
  <si>
    <t>PONTIFICIA UNIVERSIDAD CATOLICA DE VALPARAISO</t>
  </si>
  <si>
    <t>86.673.700-2</t>
  </si>
  <si>
    <t>AGRICOLA LOS ALAMOS LTDA</t>
  </si>
  <si>
    <t>89.308.000-7</t>
  </si>
  <si>
    <t>VILLEGAS Y BERRIOS Y CIA LTDA</t>
  </si>
  <si>
    <t>14/01/2026</t>
  </si>
  <si>
    <t>14/04/2026</t>
  </si>
  <si>
    <t>9.501.614-6</t>
  </si>
  <si>
    <t>JUAN ENRIQUE VARGAS ALZAMORA</t>
  </si>
  <si>
    <t>25/03/2026</t>
  </si>
  <si>
    <t>Condición</t>
  </si>
  <si>
    <t>FEBRERO</t>
  </si>
  <si>
    <t>MARZO</t>
  </si>
  <si>
    <t>ABRIL</t>
  </si>
  <si>
    <t>ENERO</t>
  </si>
  <si>
    <t>Vencimiento</t>
  </si>
  <si>
    <t>Emisión</t>
  </si>
  <si>
    <t>Días Mora</t>
  </si>
  <si>
    <t>Mes</t>
  </si>
  <si>
    <t>Total general</t>
  </si>
  <si>
    <t>Suma de Total Doc</t>
  </si>
  <si>
    <t>Tramo</t>
  </si>
  <si>
    <t>Estado</t>
  </si>
  <si>
    <t>10.831.211-4</t>
  </si>
  <si>
    <t>BRIGITTE ELENA PARDO CONTRERAS</t>
  </si>
  <si>
    <t>14.284.877-5</t>
  </si>
  <si>
    <t>CARLOS HUMBERTO CASTRO VALENZUELA</t>
  </si>
  <si>
    <t>76.149.388-4</t>
  </si>
  <si>
    <t>AGRICOLA GOMEZ SPA</t>
  </si>
  <si>
    <t>76.428.021-0</t>
  </si>
  <si>
    <t>SOCIEDAD AGRICOLA TIERRA DE BACO LIMITADA</t>
  </si>
  <si>
    <t>77.317.590-K</t>
  </si>
  <si>
    <t>SOCIEDAD AGRICOLA SAN FRANCISCO LTDA</t>
  </si>
  <si>
    <t>77.598.960-2</t>
  </si>
  <si>
    <t>AGROCOMERCIAL Y GANADERA LOMA LARGA LIMITADA</t>
  </si>
  <si>
    <t>77.980.980-3</t>
  </si>
  <si>
    <t>AGRICOLA GEOAGRO LTDA</t>
  </si>
  <si>
    <t>96.661.820-5</t>
  </si>
  <si>
    <t>COMERCIAL COPELEC SA</t>
  </si>
  <si>
    <t>VALENTINA MUÑOZ</t>
  </si>
  <si>
    <t>16/03/2026</t>
  </si>
  <si>
    <t>17/03/2026</t>
  </si>
  <si>
    <t>10/04/2026</t>
  </si>
  <si>
    <t>12/04/2026</t>
  </si>
  <si>
    <t>12/12/2025</t>
  </si>
  <si>
    <t>08/03/2026</t>
  </si>
  <si>
    <t>24/04/2026</t>
  </si>
  <si>
    <t>05/01/2026</t>
  </si>
  <si>
    <t>29/03/2026</t>
  </si>
  <si>
    <t>06/01/2026</t>
  </si>
  <si>
    <t>08/01/2026</t>
  </si>
  <si>
    <t>08/04/2026</t>
  </si>
  <si>
    <t>09/04/2026</t>
  </si>
  <si>
    <t>19/03/2026</t>
  </si>
  <si>
    <t>13/04/2026</t>
  </si>
  <si>
    <t>15/12/2025</t>
  </si>
  <si>
    <t>04/01/2026</t>
  </si>
  <si>
    <t>11/12/2025</t>
  </si>
  <si>
    <t>10/01/2026</t>
  </si>
  <si>
    <t>04/12/2025</t>
  </si>
  <si>
    <t>11/01/2026</t>
  </si>
  <si>
    <t>04/02/2026</t>
  </si>
  <si>
    <t>11/02/2026</t>
  </si>
  <si>
    <t>07/01/2026</t>
  </si>
  <si>
    <t>06/03/2026</t>
  </si>
  <si>
    <t>15/04/2026</t>
  </si>
  <si>
    <t>16/04/2026</t>
  </si>
  <si>
    <t>11/04/2026</t>
  </si>
  <si>
    <t>23/03/2026</t>
  </si>
  <si>
    <t>Etiquetas de columna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</si>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</sst>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" fontId="0" fillId="0" borderId="0" xfId="0" applyNumberFormat="1"/>
    <xf numFmtId="1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3" formatCode="#,##0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numFmt numFmtId="3" formatCode="#,##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roveca Chile" refreshedDate="46129.505611458335" createdVersion="3" refreshedVersion="8" minRefreshableVersion="3" recordCount="70" xr:uid="{00000000-000A-0000-FFFF-FFFF1A000000}">
  <cacheSource type="worksheet">
    <worksheetSource ref="A2:M1048576" sheet="Detalle Mora"/>
  </cacheSource>
  <cacheFields count="13">
    <cacheField name="Rut" numFmtId="0">
      <sharedItems containsBlank="1"/>
    </cacheField>
    <cacheField name="Razón Social" numFmtId="0">
      <sharedItems containsBlank="1"/>
    </cacheField>
    <cacheField name="Vendedor" numFmtId="0">
      <sharedItems containsBlank="1" count="9">
        <s v="JAVIER ALMEIDA"/>
        <s v="JORGE CAROCA"/>
        <s v="PABLO LARATRO"/>
        <s v="FRANCISCO VELASQUEZ"/>
        <s v="OFICINA"/>
        <s v="RODRIGO ENCINA"/>
        <s v="RAYEN BERNAZAR"/>
        <s v="VALENTINA MUÑOZ"/>
        <m/>
      </sharedItems>
    </cacheField>
    <cacheField name="Documento" numFmtId="0">
      <sharedItems containsBlank="1"/>
    </cacheField>
    <cacheField name="Número" numFmtId="0">
      <sharedItems containsString="0" containsBlank="1" containsNumber="1" containsInteger="1" minValue="250" maxValue="602"/>
    </cacheField>
    <cacheField name="Días Mora" numFmtId="0">
      <sharedItems containsString="0" containsBlank="1" containsNumber="1" containsInteger="1" minValue="-13" maxValue="104"/>
    </cacheField>
    <cacheField name="Emisión" numFmtId="0">
      <sharedItems containsBlank="1"/>
    </cacheField>
    <cacheField name="Vencimiento" numFmtId="0">
      <sharedItems containsBlank="1"/>
    </cacheField>
    <cacheField name="Mes" numFmtId="0">
      <sharedItems containsBlank="1" count="5">
        <s v="MARZO"/>
        <s v="FEBRERO"/>
        <s v="ABRIL"/>
        <s v="ENERO"/>
        <m/>
      </sharedItems>
    </cacheField>
    <cacheField name="Tramo" numFmtId="0">
      <sharedItems containsBlank="1"/>
    </cacheField>
    <cacheField name="Estado" numFmtId="0">
      <sharedItems containsBlank="1"/>
    </cacheField>
    <cacheField name="Condición" numFmtId="0">
      <sharedItems containsBlank="1"/>
    </cacheField>
    <cacheField name="Total Doc" numFmtId="0">
      <sharedItems containsString="0" containsBlank="1" containsNumber="1" containsInteger="1" minValue="39826" maxValue="4194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10.831.211-4"/>
    <s v="BRIGITTE ELENA PARDO CONTRERAS"/>
    <x v="0"/>
    <s v="Factura Electrónica"/>
    <n v="559"/>
    <n v="18"/>
    <s v="16/03/2026"/>
    <s v="30/03/2026"/>
    <x v="0"/>
    <s v="0-30"/>
    <s v="Normal"/>
    <s v="Crédito"/>
    <n v="368757"/>
  </r>
  <r>
    <s v="10.831.211-4"/>
    <s v="BRIGITTE ELENA PARDO CONTRERAS"/>
    <x v="0"/>
    <s v="Factura Electrónica"/>
    <n v="558"/>
    <n v="18"/>
    <s v="16/03/2026"/>
    <s v="30/03/2026"/>
    <x v="0"/>
    <s v="0-30"/>
    <s v="Normal"/>
    <s v="Crédito"/>
    <n v="420001"/>
  </r>
  <r>
    <s v="10.831.211-4"/>
    <s v="BRIGITTE ELENA PARDO CONTRERAS"/>
    <x v="0"/>
    <s v="Factura Electrónica"/>
    <n v="557"/>
    <n v="18"/>
    <s v="16/03/2026"/>
    <s v="30/03/2026"/>
    <x v="0"/>
    <s v="0-30"/>
    <s v="Normal"/>
    <s v="Crédito"/>
    <n v="358285"/>
  </r>
  <r>
    <s v="11.673.695-0"/>
    <s v="MAGALY DEL CARMEN ORELLANA PINO"/>
    <x v="1"/>
    <s v="Factura Electrónica"/>
    <n v="272"/>
    <n v="61"/>
    <s v="17/10/2025"/>
    <s v="15/02/2026"/>
    <x v="1"/>
    <s v="61-90"/>
    <s v="Riesgo"/>
    <s v="Crédito"/>
    <n v="182047"/>
  </r>
  <r>
    <s v="14.284.877-5"/>
    <s v="CARLOS HUMBERTO CASTRO VALENZUELA"/>
    <x v="2"/>
    <s v="Factura Electrónica"/>
    <n v="565"/>
    <n v="31"/>
    <s v="17/03/2026"/>
    <s v="17/03/2026"/>
    <x v="0"/>
    <s v="31-60"/>
    <s v="Alerta"/>
    <s v="Crédito"/>
    <n v="198730"/>
  </r>
  <r>
    <s v="14.284.877-5"/>
    <s v="CARLOS HUMBERTO CASTRO VALENZUELA"/>
    <x v="2"/>
    <s v="Factura Electrónica"/>
    <n v="595"/>
    <n v="7"/>
    <s v="10/04/2026"/>
    <s v="10/04/2026"/>
    <x v="2"/>
    <s v="0-30"/>
    <s v="Normal"/>
    <s v="Contado"/>
    <n v="97580"/>
  </r>
  <r>
    <s v="17.272.914-2"/>
    <s v="LEONARDO ENRIQUE OYARCE GENERAL"/>
    <x v="3"/>
    <s v="Factura Electrónica"/>
    <n v="525"/>
    <n v="21"/>
    <s v="24/02/2026"/>
    <s v="27/03/2026"/>
    <x v="0"/>
    <s v="0-30"/>
    <s v="Normal"/>
    <s v="Crédito"/>
    <n v="314160"/>
  </r>
  <r>
    <s v="17.272.914-2"/>
    <s v="LEONARDO ENRIQUE OYARCE GENERAL"/>
    <x v="3"/>
    <s v="Factura Electrónica"/>
    <n v="525"/>
    <n v="-10"/>
    <s v="24/02/2026"/>
    <s v="27/04/2026"/>
    <x v="2"/>
    <s v="0-30"/>
    <s v="Normal"/>
    <s v="Crédito"/>
    <n v="314160"/>
  </r>
  <r>
    <s v="5.280.371-3"/>
    <s v="JUAN FRANCISCO VARGAS MANCILLA"/>
    <x v="4"/>
    <s v="Factura Electrónica"/>
    <n v="453"/>
    <n v="27"/>
    <s v="20/01/2026"/>
    <s v="21/03/2026"/>
    <x v="0"/>
    <s v="0-30"/>
    <s v="Normal"/>
    <s v="Crédito"/>
    <n v="170259"/>
  </r>
  <r>
    <s v="6.725.491-0"/>
    <s v="JOSE CRISTOBAL GONZALEZ CORREA"/>
    <x v="5"/>
    <s v="Factura Electrónica"/>
    <n v="494"/>
    <n v="36"/>
    <s v="10/02/2026"/>
    <s v="12/03/2026"/>
    <x v="0"/>
    <s v="31-60"/>
    <s v="Alerta"/>
    <s v="Crédito"/>
    <n v="170789"/>
  </r>
  <r>
    <s v="76.036.193-3"/>
    <s v="AGRICOLA LUIS ANTONIO HERRERA AVENDANO E.I.R.L."/>
    <x v="2"/>
    <s v="Factura Electrónica"/>
    <n v="555"/>
    <n v="35"/>
    <s v="13/03/2026"/>
    <s v="13/03/2026"/>
    <x v="0"/>
    <s v="31-60"/>
    <s v="Alerta"/>
    <s v="Contado"/>
    <n v="357000"/>
  </r>
  <r>
    <s v="76.104.169-K"/>
    <s v="AGRICOLA RIBERA LIMITADA"/>
    <x v="1"/>
    <s v="Factura Electrónica"/>
    <n v="425"/>
    <n v="92"/>
    <s v="13/01/2026"/>
    <s v="15/01/2026"/>
    <x v="3"/>
    <s v="+90"/>
    <s v="Crítico"/>
    <s v="Crédito"/>
    <n v="1473696"/>
  </r>
  <r>
    <s v="76.149.388-4"/>
    <s v="AGRICOLA GOMEZ SPA"/>
    <x v="3"/>
    <s v="Factura Electrónica"/>
    <n v="347"/>
    <n v="40"/>
    <s v="12/12/2025"/>
    <s v="08/03/2026"/>
    <x v="0"/>
    <s v="31-60"/>
    <s v="Alerta"/>
    <s v="Crédito"/>
    <n v="1190000"/>
  </r>
  <r>
    <s v="76.238.110-9"/>
    <s v="AGRICOLA FRANCISCA MONTES E.I.R.L"/>
    <x v="2"/>
    <s v="Factura Electrónica"/>
    <n v="483"/>
    <n v="44"/>
    <s v="02/02/2026"/>
    <s v="04/03/2026"/>
    <x v="0"/>
    <s v="31-60"/>
    <s v="Alerta"/>
    <s v="Crédito"/>
    <n v="711620"/>
  </r>
  <r>
    <s v="76.238.110-9"/>
    <s v="AGRICOLA FRANCISCA MONTES E.I.R.L"/>
    <x v="2"/>
    <s v="Factura Electrónica"/>
    <n v="577"/>
    <n v="-7"/>
    <s v="25/03/2026"/>
    <s v="24/04/2026"/>
    <x v="2"/>
    <s v="0-30"/>
    <s v="Normal"/>
    <s v="Crédito"/>
    <n v="1361360"/>
  </r>
  <r>
    <s v="76.412.827-3"/>
    <s v="FRUTICOLA RIO BLANCO SPA"/>
    <x v="2"/>
    <s v="Factura Electrónica"/>
    <n v="599"/>
    <n v="-13"/>
    <s v="12/04/2026"/>
    <s v="30/04/2026"/>
    <x v="2"/>
    <s v="0-30"/>
    <s v="Normal"/>
    <s v="Crédito"/>
    <n v="618800"/>
  </r>
  <r>
    <s v="76.412.827-3"/>
    <s v="FRUTICOLA RIO BLANCO SPA"/>
    <x v="2"/>
    <s v="Factura Electrónica"/>
    <n v="598"/>
    <n v="-13"/>
    <s v="12/04/2026"/>
    <s v="30/04/2026"/>
    <x v="2"/>
    <s v="0-30"/>
    <s v="Normal"/>
    <s v="Crédito"/>
    <n v="773500"/>
  </r>
  <r>
    <s v="76.412.827-3"/>
    <s v="FRUTICOLA RIO BLANCO SPA"/>
    <x v="2"/>
    <s v="Factura Electrónica"/>
    <n v="395"/>
    <n v="-13"/>
    <s v="02/01/2026"/>
    <s v="30/04/2026"/>
    <x v="2"/>
    <s v="0-30"/>
    <s v="Normal"/>
    <s v="Crédito"/>
    <n v="1547000"/>
  </r>
  <r>
    <s v="76.412.827-3"/>
    <s v="FRUTICOLA RIO BLANCO SPA"/>
    <x v="2"/>
    <s v="Factura Electrónica"/>
    <n v="523"/>
    <n v="-13"/>
    <s v="23/02/2026"/>
    <s v="30/04/2026"/>
    <x v="2"/>
    <s v="0-30"/>
    <s v="Normal"/>
    <s v="Crédito"/>
    <n v="569379"/>
  </r>
  <r>
    <s v="76.412.827-3"/>
    <s v="FRUTICOLA RIO BLANCO SPA"/>
    <x v="2"/>
    <s v="Factura Electrónica"/>
    <n v="522"/>
    <n v="-13"/>
    <s v="23/02/2026"/>
    <s v="30/04/2026"/>
    <x v="2"/>
    <s v="0-30"/>
    <s v="Normal"/>
    <s v="Crédito"/>
    <n v="369495"/>
  </r>
  <r>
    <s v="76.412.827-3"/>
    <s v="FRUTICOLA RIO BLANCO SPA"/>
    <x v="2"/>
    <s v="Factura Electrónica"/>
    <n v="521"/>
    <n v="-13"/>
    <s v="23/02/2026"/>
    <s v="30/04/2026"/>
    <x v="2"/>
    <s v="0-30"/>
    <s v="Normal"/>
    <s v="Crédito"/>
    <n v="437920"/>
  </r>
  <r>
    <s v="76.412.827-3"/>
    <s v="FRUTICOLA RIO BLANCO SPA"/>
    <x v="2"/>
    <s v="Factura Electrónica"/>
    <n v="465"/>
    <n v="-13"/>
    <s v="23/01/2026"/>
    <s v="30/04/2026"/>
    <x v="2"/>
    <s v="0-30"/>
    <s v="Normal"/>
    <s v="Crédito"/>
    <n v="618800"/>
  </r>
  <r>
    <s v="76.412.827-3"/>
    <s v="FRUTICOLA RIO BLANCO SPA"/>
    <x v="2"/>
    <s v="Factura Electrónica"/>
    <n v="485"/>
    <n v="-13"/>
    <s v="02/02/2026"/>
    <s v="30/04/2026"/>
    <x v="2"/>
    <s v="0-30"/>
    <s v="Normal"/>
    <s v="Crédito"/>
    <n v="380800"/>
  </r>
  <r>
    <s v="76.428.021-0"/>
    <s v="SOCIEDAD AGRICOLA TIERRA DE BACO LIMITADA"/>
    <x v="1"/>
    <s v="Factura Electrónica"/>
    <n v="439"/>
    <n v="31"/>
    <s v="05/01/2026"/>
    <s v="17/03/2026"/>
    <x v="0"/>
    <s v="31-60"/>
    <s v="Alerta"/>
    <s v="Crédito"/>
    <n v="2915500"/>
  </r>
  <r>
    <s v="76.428.021-0"/>
    <s v="SOCIEDAD AGRICOLA TIERRA DE BACO LIMITADA"/>
    <x v="5"/>
    <s v="Factura Electrónica"/>
    <n v="440"/>
    <n v="19"/>
    <s v="05/01/2026"/>
    <s v="29/03/2026"/>
    <x v="0"/>
    <s v="0-30"/>
    <s v="Normal"/>
    <s v="Crédito"/>
    <n v="2707250"/>
  </r>
  <r>
    <s v="76.428.021-0"/>
    <s v="SOCIEDAD AGRICOLA TIERRA DE BACO LIMITADA"/>
    <x v="5"/>
    <s v="Factura Electrónica"/>
    <n v="438"/>
    <n v="11"/>
    <s v="06/01/2026"/>
    <s v="06/04/2026"/>
    <x v="2"/>
    <s v="0-30"/>
    <s v="Normal"/>
    <s v="Crédito"/>
    <n v="2290750"/>
  </r>
  <r>
    <s v="76.428.021-0"/>
    <s v="SOCIEDAD AGRICOLA TIERRA DE BACO LIMITADA"/>
    <x v="5"/>
    <s v="Factura Electrónica"/>
    <n v="437"/>
    <n v="9"/>
    <s v="08/01/2026"/>
    <s v="08/04/2026"/>
    <x v="2"/>
    <s v="0-30"/>
    <s v="Normal"/>
    <s v="Crédito"/>
    <n v="1041250"/>
  </r>
  <r>
    <s v="76.428.021-0"/>
    <s v="SOCIEDAD AGRICOLA TIERRA DE BACO LIMITADA"/>
    <x v="1"/>
    <s v="Factura Electrónica"/>
    <n v="436"/>
    <n v="8"/>
    <s v="12/01/2026"/>
    <s v="09/04/2026"/>
    <x v="2"/>
    <s v="0-30"/>
    <s v="Normal"/>
    <s v="Crédito"/>
    <n v="1874250"/>
  </r>
  <r>
    <s v="76.442.085-3"/>
    <s v="AGRICOLA TUNICHE LIMITADA"/>
    <x v="5"/>
    <s v="Factura Electrónica"/>
    <n v="545"/>
    <n v="28"/>
    <s v="05/03/2026"/>
    <s v="20/03/2026"/>
    <x v="0"/>
    <s v="0-30"/>
    <s v="Normal"/>
    <s v="Crédito"/>
    <n v="162316"/>
  </r>
  <r>
    <s v="76.442.085-3"/>
    <s v="AGRICOLA TUNICHE LIMITADA"/>
    <x v="5"/>
    <s v="Factura Electrónica"/>
    <n v="571"/>
    <n v="4"/>
    <s v="19/03/2026"/>
    <s v="13/04/2026"/>
    <x v="2"/>
    <s v="0-30"/>
    <s v="Normal"/>
    <s v="Crédito"/>
    <n v="533775"/>
  </r>
  <r>
    <s v="76.442.085-3"/>
    <s v="AGRICOLA TUNICHE LIMITADA"/>
    <x v="5"/>
    <s v="Factura Electrónica"/>
    <n v="570"/>
    <n v="4"/>
    <s v="19/03/2026"/>
    <s v="13/04/2026"/>
    <x v="2"/>
    <s v="0-30"/>
    <s v="Normal"/>
    <s v="Crédito"/>
    <n v="228175"/>
  </r>
  <r>
    <s v="76.867.632-1"/>
    <s v="GOYASERVICE SPA"/>
    <x v="1"/>
    <s v="Factura Electrónica"/>
    <n v="250"/>
    <n v="104"/>
    <s v="05/09/2025"/>
    <s v="03/01/2026"/>
    <x v="3"/>
    <s v="+90"/>
    <s v="Crítico"/>
    <s v="Crédito"/>
    <n v="4194750"/>
  </r>
  <r>
    <s v="77.135.740-7"/>
    <s v="RAUL JOFRE Y COMPAQIA LIMITADA"/>
    <x v="5"/>
    <s v="Factura Electrónica"/>
    <n v="475"/>
    <n v="-9"/>
    <s v="27/01/2026"/>
    <s v="26/04/2026"/>
    <x v="2"/>
    <s v="0-30"/>
    <s v="Normal"/>
    <s v="Crédito"/>
    <n v="451238"/>
  </r>
  <r>
    <s v="77.157.056-9"/>
    <s v="CRR SERVICIOS SPA"/>
    <x v="6"/>
    <s v="Factura Electrónica"/>
    <n v="596"/>
    <n v="7"/>
    <s v="10/04/2026"/>
    <s v="10/04/2026"/>
    <x v="2"/>
    <s v="0-30"/>
    <s v="Normal"/>
    <s v="Contado"/>
    <n v="39826"/>
  </r>
  <r>
    <s v="77.317.590-K"/>
    <s v="SOCIEDAD AGRICOLA SAN FRANCISCO LTDA"/>
    <x v="5"/>
    <s v="Factura Electrónica"/>
    <n v="459"/>
    <n v="-13"/>
    <s v="21/01/2026"/>
    <s v="30/04/2026"/>
    <x v="2"/>
    <s v="0-30"/>
    <s v="Normal"/>
    <s v="Crédito"/>
    <n v="364551"/>
  </r>
  <r>
    <s v="77.317.590-K"/>
    <s v="SOCIEDAD AGRICOLA SAN FRANCISCO LTDA"/>
    <x v="5"/>
    <s v="Factura Electrónica"/>
    <n v="458"/>
    <n v="-13"/>
    <s v="21/01/2026"/>
    <s v="30/04/2026"/>
    <x v="2"/>
    <s v="0-30"/>
    <s v="Normal"/>
    <s v="Crédito"/>
    <n v="1373528"/>
  </r>
  <r>
    <s v="77.317.590-K"/>
    <s v="SOCIEDAD AGRICOLA SAN FRANCISCO LTDA"/>
    <x v="5"/>
    <s v="Factura Electrónica"/>
    <n v="457"/>
    <n v="-13"/>
    <s v="21/01/2026"/>
    <s v="30/04/2026"/>
    <x v="2"/>
    <s v="0-30"/>
    <s v="Normal"/>
    <s v="Crédito"/>
    <n v="2812833"/>
  </r>
  <r>
    <s v="77.504.909-K"/>
    <s v="AGRICOLA QUINQUILHUE SPA"/>
    <x v="1"/>
    <s v="Factura Electrónica"/>
    <n v="552"/>
    <n v="37"/>
    <s v="11/03/2026"/>
    <s v="11/03/2026"/>
    <x v="0"/>
    <s v="31-60"/>
    <s v="Alerta"/>
    <s v="Contado"/>
    <n v="93689"/>
  </r>
  <r>
    <s v="77.582.414-K"/>
    <s v="AGROINSUMOS KULLIN"/>
    <x v="2"/>
    <s v="Factura Electrónica"/>
    <n v="416"/>
    <n v="85"/>
    <s v="12/01/2026"/>
    <s v="22/01/2026"/>
    <x v="3"/>
    <s v="61-90"/>
    <s v="Riesgo"/>
    <s v="Crédito"/>
    <n v="499300"/>
  </r>
  <r>
    <s v="77.582.414-K"/>
    <s v="AGROINSUMOS KULLIN"/>
    <x v="2"/>
    <s v="Factura Electrónica"/>
    <n v="415"/>
    <n v="85"/>
    <s v="12/01/2026"/>
    <s v="22/01/2026"/>
    <x v="3"/>
    <s v="61-90"/>
    <s v="Riesgo"/>
    <s v="Crédito"/>
    <n v="111206"/>
  </r>
  <r>
    <s v="77.582.414-K"/>
    <s v="AGROINSUMOS KULLIN"/>
    <x v="2"/>
    <s v="Factura Electrónica"/>
    <n v="414"/>
    <n v="85"/>
    <s v="12/01/2026"/>
    <s v="22/01/2026"/>
    <x v="3"/>
    <s v="61-90"/>
    <s v="Riesgo"/>
    <s v="Crédito"/>
    <n v="310709"/>
  </r>
  <r>
    <s v="77.598.960-2"/>
    <s v="AGROCOMERCIAL Y GANADERA LOMA LARGA LIMITADA"/>
    <x v="2"/>
    <s v="Factura Electrónica"/>
    <n v="354"/>
    <n v="103"/>
    <s v="15/12/2025"/>
    <s v="04/01/2026"/>
    <x v="3"/>
    <s v="+90"/>
    <s v="Crítico"/>
    <s v="Crédito"/>
    <n v="2891224"/>
  </r>
  <r>
    <s v="77.598.960-2"/>
    <s v="AGROCOMERCIAL Y GANADERA LOMA LARGA LIMITADA"/>
    <x v="2"/>
    <s v="Factura Electrónica"/>
    <n v="341"/>
    <n v="97"/>
    <s v="11/12/2025"/>
    <s v="10/01/2026"/>
    <x v="3"/>
    <s v="+90"/>
    <s v="Crítico"/>
    <s v="Crédito"/>
    <n v="863620"/>
  </r>
  <r>
    <s v="77.598.960-2"/>
    <s v="AGROCOMERCIAL Y GANADERA LOMA LARGA LIMITADA"/>
    <x v="2"/>
    <s v="Factura Electrónica"/>
    <n v="332"/>
    <n v="96"/>
    <s v="04/12/2025"/>
    <s v="11/01/2026"/>
    <x v="3"/>
    <s v="+90"/>
    <s v="Crítico"/>
    <s v="Crédito"/>
    <n v="441093"/>
  </r>
  <r>
    <s v="77.598.960-2"/>
    <s v="AGROCOMERCIAL Y GANADERA LOMA LARGA LIMITADA"/>
    <x v="2"/>
    <s v="Factura Electrónica"/>
    <n v="354"/>
    <n v="72"/>
    <s v="15/12/2025"/>
    <s v="04/02/2026"/>
    <x v="1"/>
    <s v="61-90"/>
    <s v="Riesgo"/>
    <s v="Crédito"/>
    <n v="2891224"/>
  </r>
  <r>
    <s v="77.598.960-2"/>
    <s v="AGROCOMERCIAL Y GANADERA LOMA LARGA LIMITADA"/>
    <x v="2"/>
    <s v="Factura Electrónica"/>
    <n v="341"/>
    <n v="66"/>
    <s v="11/12/2025"/>
    <s v="10/02/2026"/>
    <x v="1"/>
    <s v="61-90"/>
    <s v="Riesgo"/>
    <s v="Crédito"/>
    <n v="863620"/>
  </r>
  <r>
    <s v="77.598.960-2"/>
    <s v="AGROCOMERCIAL Y GANADERA LOMA LARGA LIMITADA"/>
    <x v="2"/>
    <s v="Factura Electrónica"/>
    <n v="332"/>
    <n v="65"/>
    <s v="04/12/2025"/>
    <s v="11/02/2026"/>
    <x v="1"/>
    <s v="61-90"/>
    <s v="Riesgo"/>
    <s v="Crédito"/>
    <n v="441094"/>
  </r>
  <r>
    <s v="77.598.960-2"/>
    <s v="AGROCOMERCIAL Y GANADERA LOMA LARGA LIMITADA"/>
    <x v="2"/>
    <s v="Factura Electrónica"/>
    <n v="354"/>
    <n v="44"/>
    <s v="15/12/2025"/>
    <s v="04/03/2026"/>
    <x v="0"/>
    <s v="31-60"/>
    <s v="Alerta"/>
    <s v="Crédito"/>
    <n v="2891224"/>
  </r>
  <r>
    <s v="77.598.960-2"/>
    <s v="AGROCOMERCIAL Y GANADERA LOMA LARGA LIMITADA"/>
    <x v="2"/>
    <s v="Factura Electrónica"/>
    <n v="403"/>
    <n v="42"/>
    <s v="07/01/2026"/>
    <s v="06/03/2026"/>
    <x v="0"/>
    <s v="31-60"/>
    <s v="Alerta"/>
    <s v="Crédito"/>
    <n v="820000"/>
  </r>
  <r>
    <s v="77.598.960-2"/>
    <s v="AGROCOMERCIAL Y GANADERA LOMA LARGA LIMITADA"/>
    <x v="2"/>
    <s v="Factura Electrónica"/>
    <n v="341"/>
    <n v="38"/>
    <s v="11/12/2025"/>
    <s v="10/03/2026"/>
    <x v="0"/>
    <s v="31-60"/>
    <s v="Alerta"/>
    <s v="Crédito"/>
    <n v="863628"/>
  </r>
  <r>
    <s v="77.598.960-2"/>
    <s v="AGROCOMERCIAL Y GANADERA LOMA LARGA LIMITADA"/>
    <x v="2"/>
    <s v="Factura Electrónica"/>
    <n v="403"/>
    <n v="11"/>
    <s v="07/01/2026"/>
    <s v="06/04/2026"/>
    <x v="2"/>
    <s v="0-30"/>
    <s v="Normal"/>
    <s v="Crédito"/>
    <n v="820000"/>
  </r>
  <r>
    <s v="77.758.114-7"/>
    <s v="SOCIEDAD AGRÍCOLA COMERCIAL SIEMBRA SPA"/>
    <x v="5"/>
    <s v="Factura Electrónica"/>
    <n v="480"/>
    <n v="18"/>
    <s v="29/01/2026"/>
    <s v="30/03/2026"/>
    <x v="0"/>
    <s v="0-30"/>
    <s v="Normal"/>
    <s v="Crédito"/>
    <n v="72055"/>
  </r>
  <r>
    <s v="77.758.114-7"/>
    <s v="SOCIEDAD AGRÍCOLA COMERCIAL SIEMBRA SPA"/>
    <x v="5"/>
    <s v="Factura Electrónica"/>
    <n v="479"/>
    <n v="-13"/>
    <s v="29/01/2026"/>
    <s v="30/04/2026"/>
    <x v="2"/>
    <s v="0-30"/>
    <s v="Normal"/>
    <s v="Crédito"/>
    <n v="495944"/>
  </r>
  <r>
    <s v="77.980.980-3"/>
    <s v="AGRICOLA GEOAGRO LTDA"/>
    <x v="2"/>
    <s v="Factura Electrónica"/>
    <n v="442"/>
    <n v="2"/>
    <s v="15/01/2026"/>
    <s v="15/04/2026"/>
    <x v="2"/>
    <s v="0-30"/>
    <s v="Normal"/>
    <s v="Crédito"/>
    <n v="1785000"/>
  </r>
  <r>
    <s v="77.980.980-3"/>
    <s v="AGRICOLA GEOAGRO LTDA"/>
    <x v="2"/>
    <s v="Factura Electrónica"/>
    <n v="441"/>
    <n v="2"/>
    <s v="15/01/2026"/>
    <s v="15/04/2026"/>
    <x v="2"/>
    <s v="0-30"/>
    <s v="Normal"/>
    <s v="Crédito"/>
    <n v="410550"/>
  </r>
  <r>
    <s v="78.061.253-3"/>
    <s v="AGRICOLA DON PEDRO SPA"/>
    <x v="2"/>
    <s v="Factura Electrónica"/>
    <n v="451"/>
    <n v="-3"/>
    <s v="20/01/2026"/>
    <s v="20/04/2026"/>
    <x v="2"/>
    <s v="0-30"/>
    <s v="Normal"/>
    <s v="Crédito"/>
    <n v="1990870"/>
  </r>
  <r>
    <s v="81.669.200-8"/>
    <s v="PONTIFICIA UNIVERSIDAD CATOLICA DE VALPARAISO"/>
    <x v="3"/>
    <s v="Factura Electrónica"/>
    <n v="564"/>
    <n v="1"/>
    <s v="17/03/2026"/>
    <s v="16/04/2026"/>
    <x v="2"/>
    <s v="0-30"/>
    <s v="Normal"/>
    <s v="Crédito"/>
    <n v="2305625"/>
  </r>
  <r>
    <s v="86.673.700-2"/>
    <s v="AGRICOLA LOS ALAMOS LTDA"/>
    <x v="2"/>
    <s v="Factura Electrónica"/>
    <n v="501"/>
    <n v="36"/>
    <s v="10/02/2026"/>
    <s v="12/03/2026"/>
    <x v="0"/>
    <s v="31-60"/>
    <s v="Alerta"/>
    <s v="Crédito"/>
    <n v="446250"/>
  </r>
  <r>
    <s v="89.308.000-7"/>
    <s v="VILLEGAS Y BERRIOS Y CIA LTDA"/>
    <x v="1"/>
    <s v="Factura Electrónica"/>
    <n v="433"/>
    <n v="3"/>
    <s v="14/01/2026"/>
    <s v="14/04/2026"/>
    <x v="2"/>
    <s v="0-30"/>
    <s v="Normal"/>
    <s v="Crédito"/>
    <n v="1496776"/>
  </r>
  <r>
    <s v="89.308.000-7"/>
    <s v="VILLEGAS Y BERRIOS Y CIA LTDA"/>
    <x v="1"/>
    <s v="Factura Electrónica"/>
    <n v="432"/>
    <n v="3"/>
    <s v="14/01/2026"/>
    <s v="14/04/2026"/>
    <x v="2"/>
    <s v="0-30"/>
    <s v="Normal"/>
    <s v="Crédito"/>
    <n v="727709"/>
  </r>
  <r>
    <s v="9.501.614-6"/>
    <s v="JUAN ENRIQUE VARGAS ALZAMORA"/>
    <x v="3"/>
    <s v="Factura Electrónica"/>
    <n v="602"/>
    <n v="6"/>
    <s v="12/04/2026"/>
    <s v="11/04/2026"/>
    <x v="2"/>
    <s v="0-30"/>
    <s v="Normal"/>
    <s v="Crédito"/>
    <n v="1071000"/>
  </r>
  <r>
    <s v="96.661.820-5"/>
    <s v="COMERCIAL COPELEC SA"/>
    <x v="7"/>
    <s v="Factura Electrónica"/>
    <n v="574"/>
    <n v="-3"/>
    <s v="23/03/2026"/>
    <s v="20/04/2026"/>
    <x v="2"/>
    <s v="0-30"/>
    <s v="Normal"/>
    <s v="Crédito"/>
    <n v="755326"/>
  </r>
  <r>
    <m/>
    <m/>
    <x v="8"/>
    <m/>
    <m/>
    <m/>
    <m/>
    <m/>
    <x v="4"/>
    <m/>
    <m/>
    <m/>
    <m/>
  </r>
  <r>
    <m/>
    <m/>
    <x v="8"/>
    <m/>
    <m/>
    <m/>
    <m/>
    <m/>
    <x v="4"/>
    <m/>
    <m/>
    <m/>
    <m/>
  </r>
  <r>
    <m/>
    <m/>
    <x v="8"/>
    <m/>
    <m/>
    <m/>
    <m/>
    <m/>
    <x v="4"/>
    <m/>
    <m/>
    <m/>
    <m/>
  </r>
  <r>
    <m/>
    <m/>
    <x v="8"/>
    <m/>
    <m/>
    <m/>
    <m/>
    <m/>
    <x v="4"/>
    <m/>
    <m/>
    <m/>
    <m/>
  </r>
  <r>
    <m/>
    <m/>
    <x v="8"/>
    <m/>
    <m/>
    <m/>
    <m/>
    <m/>
    <x v="4"/>
    <m/>
    <m/>
    <m/>
    <m/>
  </r>
  <r>
    <m/>
    <m/>
    <x v="8"/>
    <m/>
    <m/>
    <m/>
    <m/>
    <m/>
    <x v="4"/>
    <m/>
    <m/>
    <m/>
    <m/>
  </r>
  <r>
    <m/>
    <m/>
    <x v="8"/>
    <m/>
    <m/>
    <m/>
    <m/>
    <m/>
    <x v="4"/>
    <m/>
    <m/>
    <m/>
    <m/>
  </r>
  <r>
    <m/>
    <m/>
    <x v="8"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diná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2:F12" firstHeaderRow="1" firstDataRow="2" firstDataCol="1"/>
  <pivotFields count="13">
    <pivotField showAll="0"/>
    <pivotField showAll="0"/>
    <pivotField axis="axisRow" showAll="0">
      <items count="10">
        <item x="3"/>
        <item x="0"/>
        <item x="1"/>
        <item x="4"/>
        <item x="2"/>
        <item x="6"/>
        <item x="5"/>
        <item x="7"/>
        <item x="8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3"/>
        <item x="1"/>
        <item x="0"/>
        <item x="2"/>
        <item h="1" x="4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 Doc" fld="12" baseField="0" baseItem="0" numFmtId="3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"/>
  <sheetViews>
    <sheetView workbookViewId="0">
      <selection activeCell="A22" sqref="A22"/>
    </sheetView>
  </sheetViews>
  <sheetFormatPr baseColWidth="10" defaultRowHeight="15.6" x14ac:dyDescent="0.3"/>
  <cols>
    <col min="1" max="1" width="20.3984375" customWidth="1"/>
    <col min="2" max="2" width="21.19921875" bestFit="1" customWidth="1"/>
    <col min="3" max="3" width="8.8984375" bestFit="1" customWidth="1"/>
    <col min="4" max="5" width="9.8984375" bestFit="1" customWidth="1"/>
    <col min="6" max="7" width="11.8984375" customWidth="1"/>
    <col min="8" max="9" width="7.8984375" customWidth="1"/>
    <col min="10" max="10" width="11.3984375" bestFit="1" customWidth="1"/>
    <col min="11" max="11" width="10.296875" customWidth="1"/>
    <col min="12" max="13" width="6.8984375" customWidth="1"/>
    <col min="14" max="14" width="7.8984375" customWidth="1"/>
    <col min="15" max="15" width="13.19921875" bestFit="1" customWidth="1"/>
    <col min="16" max="16" width="9" customWidth="1"/>
    <col min="17" max="19" width="5.8984375" customWidth="1"/>
    <col min="20" max="34" width="6.8984375" customWidth="1"/>
    <col min="35" max="38" width="7.8984375" customWidth="1"/>
    <col min="39" max="39" width="11.8984375" bestFit="1" customWidth="1"/>
    <col min="40" max="40" width="7.5" customWidth="1"/>
    <col min="41" max="42" width="5.8984375" customWidth="1"/>
    <col min="43" max="59" width="6.8984375" customWidth="1"/>
    <col min="60" max="71" width="7.8984375" customWidth="1"/>
    <col min="72" max="72" width="10.3984375" customWidth="1"/>
    <col min="73" max="73" width="12.19921875" bestFit="1" customWidth="1"/>
    <col min="74" max="74" width="15.09765625" bestFit="1" customWidth="1"/>
    <col min="75" max="75" width="11.8984375" bestFit="1" customWidth="1"/>
  </cols>
  <sheetData>
    <row r="2" spans="1:6" x14ac:dyDescent="0.3">
      <c r="A2" s="7" t="s">
        <v>102</v>
      </c>
      <c r="B2" s="7" t="s">
        <v>151</v>
      </c>
    </row>
    <row r="3" spans="1:6" x14ac:dyDescent="0.3">
      <c r="A3" s="7" t="s">
        <v>152</v>
      </c>
      <c r="B3" t="s">
        <v>96</v>
      </c>
      <c r="C3" t="s">
        <v>93</v>
      </c>
      <c r="D3" t="s">
        <v>94</v>
      </c>
      <c r="E3" t="s">
        <v>95</v>
      </c>
      <c r="F3" t="s">
        <v>101</v>
      </c>
    </row>
    <row r="4" spans="1:6" x14ac:dyDescent="0.3">
      <c r="A4" s="8" t="s">
        <v>15</v>
      </c>
      <c r="B4" s="1"/>
      <c r="C4" s="1"/>
      <c r="D4" s="1">
        <v>1504160</v>
      </c>
      <c r="E4" s="1">
        <v>3690785</v>
      </c>
      <c r="F4" s="1">
        <v>5194945</v>
      </c>
    </row>
    <row r="5" spans="1:6" x14ac:dyDescent="0.3">
      <c r="A5" s="8" t="s">
        <v>80</v>
      </c>
      <c r="B5" s="1"/>
      <c r="C5" s="1"/>
      <c r="D5" s="1">
        <v>1147043</v>
      </c>
      <c r="E5" s="1"/>
      <c r="F5" s="1">
        <v>1147043</v>
      </c>
    </row>
    <row r="6" spans="1:6" x14ac:dyDescent="0.3">
      <c r="A6" s="8" t="s">
        <v>8</v>
      </c>
      <c r="B6" s="1">
        <v>5668446</v>
      </c>
      <c r="C6" s="1">
        <v>182047</v>
      </c>
      <c r="D6" s="1">
        <v>3009189</v>
      </c>
      <c r="E6" s="1">
        <v>4098735</v>
      </c>
      <c r="F6" s="1">
        <v>12958417</v>
      </c>
    </row>
    <row r="7" spans="1:6" x14ac:dyDescent="0.3">
      <c r="A7" s="8" t="s">
        <v>23</v>
      </c>
      <c r="B7" s="1"/>
      <c r="C7" s="1"/>
      <c r="D7" s="1">
        <v>170259</v>
      </c>
      <c r="E7" s="1"/>
      <c r="F7" s="1">
        <v>170259</v>
      </c>
    </row>
    <row r="8" spans="1:6" x14ac:dyDescent="0.3">
      <c r="A8" s="8" t="s">
        <v>33</v>
      </c>
      <c r="B8" s="1">
        <v>5117152</v>
      </c>
      <c r="C8" s="1">
        <v>4195938</v>
      </c>
      <c r="D8" s="1">
        <v>6288452</v>
      </c>
      <c r="E8" s="1">
        <v>11781054</v>
      </c>
      <c r="F8" s="1">
        <v>27382596</v>
      </c>
    </row>
    <row r="9" spans="1:6" x14ac:dyDescent="0.3">
      <c r="A9" s="8" t="s">
        <v>57</v>
      </c>
      <c r="B9" s="1"/>
      <c r="C9" s="1"/>
      <c r="D9" s="1"/>
      <c r="E9" s="1">
        <v>39826</v>
      </c>
      <c r="F9" s="1">
        <v>39826</v>
      </c>
    </row>
    <row r="10" spans="1:6" x14ac:dyDescent="0.3">
      <c r="A10" s="8" t="s">
        <v>19</v>
      </c>
      <c r="B10" s="1"/>
      <c r="C10" s="1"/>
      <c r="D10" s="1">
        <v>3112410</v>
      </c>
      <c r="E10" s="1">
        <v>9592044</v>
      </c>
      <c r="F10" s="1">
        <v>12704454</v>
      </c>
    </row>
    <row r="11" spans="1:6" x14ac:dyDescent="0.3">
      <c r="A11" s="8" t="s">
        <v>121</v>
      </c>
      <c r="B11" s="1"/>
      <c r="C11" s="1"/>
      <c r="D11" s="1"/>
      <c r="E11" s="1">
        <v>755326</v>
      </c>
      <c r="F11" s="1">
        <v>755326</v>
      </c>
    </row>
    <row r="12" spans="1:6" x14ac:dyDescent="0.3">
      <c r="A12" s="8" t="s">
        <v>101</v>
      </c>
      <c r="B12" s="1">
        <v>10785598</v>
      </c>
      <c r="C12" s="1">
        <v>4377985</v>
      </c>
      <c r="D12" s="1">
        <v>15231513</v>
      </c>
      <c r="E12" s="1">
        <v>29957770</v>
      </c>
      <c r="F12" s="1">
        <v>60352866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tabSelected="1" topLeftCell="B1" zoomScale="90" zoomScaleNormal="90" workbookViewId="0">
      <pane ySplit="1" topLeftCell="A2" activePane="bottomLeft" state="frozen"/>
      <selection activeCell="B1" sqref="B1"/>
      <selection pane="bottomLeft" activeCell="H13" sqref="H13"/>
    </sheetView>
  </sheetViews>
  <sheetFormatPr baseColWidth="10" defaultRowHeight="15.6" x14ac:dyDescent="0.3"/>
  <cols>
    <col min="1" max="1" width="12.69921875" customWidth="1"/>
    <col min="2" max="2" width="43.59765625" customWidth="1"/>
    <col min="3" max="3" width="22.59765625" customWidth="1"/>
    <col min="4" max="4" width="18.19921875" customWidth="1"/>
    <col min="5" max="5" width="7.69921875" bestFit="1" customWidth="1"/>
    <col min="6" max="6" width="12.8984375" customWidth="1"/>
    <col min="7" max="7" width="14.19921875" customWidth="1"/>
    <col min="8" max="8" width="16.796875" bestFit="1" customWidth="1"/>
    <col min="9" max="9" width="11.19921875" customWidth="1"/>
    <col min="11" max="11" width="12.8984375" customWidth="1"/>
    <col min="12" max="12" width="10.8984375" customWidth="1"/>
    <col min="13" max="13" width="11.796875" customWidth="1"/>
  </cols>
  <sheetData>
    <row r="1" spans="1:13" ht="16.2" thickBot="1" x14ac:dyDescent="0.35">
      <c r="F1" s="4">
        <f ca="1">TODAY()</f>
        <v>46129</v>
      </c>
      <c r="K1" s="6"/>
    </row>
    <row r="2" spans="1:13" ht="16.2" thickBot="1" x14ac:dyDescent="0.35">
      <c r="A2" s="3" t="s">
        <v>0</v>
      </c>
      <c r="B2" s="3" t="s">
        <v>1</v>
      </c>
      <c r="C2" s="2" t="s">
        <v>2</v>
      </c>
      <c r="D2" s="3" t="s">
        <v>3</v>
      </c>
      <c r="E2" s="2" t="s">
        <v>4</v>
      </c>
      <c r="F2" s="2" t="s">
        <v>99</v>
      </c>
      <c r="G2" s="3" t="s">
        <v>98</v>
      </c>
      <c r="H2" s="2" t="s">
        <v>97</v>
      </c>
      <c r="I2" s="3" t="s">
        <v>100</v>
      </c>
      <c r="J2" s="3" t="s">
        <v>103</v>
      </c>
      <c r="K2" s="2" t="s">
        <v>104</v>
      </c>
      <c r="L2" s="3" t="s">
        <v>92</v>
      </c>
      <c r="M2" s="3" t="s">
        <v>5</v>
      </c>
    </row>
    <row r="3" spans="1:13" x14ac:dyDescent="0.3">
      <c r="A3" t="s">
        <v>105</v>
      </c>
      <c r="B3" t="s">
        <v>106</v>
      </c>
      <c r="C3" t="s">
        <v>80</v>
      </c>
      <c r="D3" t="s">
        <v>9</v>
      </c>
      <c r="E3">
        <v>559</v>
      </c>
      <c r="F3" s="5">
        <f ca="1">F1-H3</f>
        <v>18</v>
      </c>
      <c r="G3" t="s">
        <v>122</v>
      </c>
      <c r="H3" t="s">
        <v>42</v>
      </c>
      <c r="I3" t="s">
        <v>94</v>
      </c>
      <c r="J3" t="str">
        <f ca="1">IF(F3="","",IF(F3&lt;=30,"0-30",IF(F3&lt;=60,"31-60",IF(F3&lt;=90,"61-90","+90"))))</f>
        <v>0-30</v>
      </c>
      <c r="K3" t="str">
        <f ca="1">IF(F3="","",IF(F3&lt;=30,"Normal",IF(F3&lt;=60,"Alerta",IF(F3&lt;=90,"Riesgo","Crítico"))))</f>
        <v>Normal</v>
      </c>
      <c r="L3" t="s">
        <v>12</v>
      </c>
      <c r="M3" s="1">
        <v>368757</v>
      </c>
    </row>
    <row r="4" spans="1:13" x14ac:dyDescent="0.3">
      <c r="A4" t="s">
        <v>105</v>
      </c>
      <c r="B4" t="s">
        <v>106</v>
      </c>
      <c r="C4" t="s">
        <v>80</v>
      </c>
      <c r="D4" t="s">
        <v>9</v>
      </c>
      <c r="E4">
        <v>558</v>
      </c>
      <c r="F4" s="5">
        <f ca="1">F1-H4</f>
        <v>18</v>
      </c>
      <c r="G4" t="s">
        <v>122</v>
      </c>
      <c r="H4" t="s">
        <v>42</v>
      </c>
      <c r="I4" t="s">
        <v>94</v>
      </c>
      <c r="J4" t="str">
        <f t="shared" ref="J4:J59" ca="1" si="0">IF(F4="","",IF(F4&lt;=30,"0-30",IF(F4&lt;=60,"31-60",IF(F4&lt;=90,"61-90","+90"))))</f>
        <v>0-30</v>
      </c>
      <c r="K4" t="str">
        <f ca="1">IF(F4="","",IF(F4&lt;=30,"Normal",IF(F4&lt;=60,"Alerta",IF(F4&lt;=90,"Riesgo","Crítico"))))</f>
        <v>Normal</v>
      </c>
      <c r="L4" t="s">
        <v>12</v>
      </c>
      <c r="M4" s="1">
        <v>420001</v>
      </c>
    </row>
    <row r="5" spans="1:13" x14ac:dyDescent="0.3">
      <c r="A5" t="s">
        <v>105</v>
      </c>
      <c r="B5" t="s">
        <v>106</v>
      </c>
      <c r="C5" t="s">
        <v>80</v>
      </c>
      <c r="D5" t="s">
        <v>9</v>
      </c>
      <c r="E5">
        <v>557</v>
      </c>
      <c r="F5" s="5">
        <f ca="1">F1-H5</f>
        <v>18</v>
      </c>
      <c r="G5" t="s">
        <v>122</v>
      </c>
      <c r="H5" t="s">
        <v>42</v>
      </c>
      <c r="I5" t="s">
        <v>94</v>
      </c>
      <c r="J5" t="str">
        <f t="shared" ca="1" si="0"/>
        <v>0-30</v>
      </c>
      <c r="K5" t="str">
        <f t="shared" ref="K5:K59" ca="1" si="1">IF(F5="","",IF(F5&lt;=30,"Normal",IF(F5&lt;=60,"Alerta",IF(F5&lt;=90,"Riesgo","Crítico"))))</f>
        <v>Normal</v>
      </c>
      <c r="L5" t="s">
        <v>12</v>
      </c>
      <c r="M5" s="1">
        <v>358285</v>
      </c>
    </row>
    <row r="6" spans="1:13" x14ac:dyDescent="0.3">
      <c r="A6" t="s">
        <v>6</v>
      </c>
      <c r="B6" t="s">
        <v>7</v>
      </c>
      <c r="C6" t="s">
        <v>8</v>
      </c>
      <c r="D6" t="s">
        <v>9</v>
      </c>
      <c r="E6">
        <v>272</v>
      </c>
      <c r="F6" s="5">
        <f ca="1">F1-H6</f>
        <v>61</v>
      </c>
      <c r="G6" t="s">
        <v>10</v>
      </c>
      <c r="H6" t="s">
        <v>11</v>
      </c>
      <c r="I6" t="s">
        <v>93</v>
      </c>
      <c r="J6" t="str">
        <f ca="1">IF(F6="","",IF(F6&lt;=30,"0-30",IF(F6&lt;=60,"31-60",IF(F6&lt;=90,"61-90","+90"))))</f>
        <v>61-90</v>
      </c>
      <c r="K6" t="str">
        <f t="shared" ca="1" si="1"/>
        <v>Riesgo</v>
      </c>
      <c r="L6" t="s">
        <v>12</v>
      </c>
      <c r="M6" s="1">
        <v>182047</v>
      </c>
    </row>
    <row r="7" spans="1:13" x14ac:dyDescent="0.3">
      <c r="A7" t="s">
        <v>107</v>
      </c>
      <c r="B7" t="s">
        <v>108</v>
      </c>
      <c r="C7" t="s">
        <v>33</v>
      </c>
      <c r="D7" t="s">
        <v>9</v>
      </c>
      <c r="E7">
        <v>565</v>
      </c>
      <c r="F7" s="5">
        <f ca="1">F1-H7</f>
        <v>31</v>
      </c>
      <c r="G7" t="s">
        <v>123</v>
      </c>
      <c r="H7" t="s">
        <v>123</v>
      </c>
      <c r="I7" t="s">
        <v>94</v>
      </c>
      <c r="J7" t="str">
        <f t="shared" ca="1" si="0"/>
        <v>31-60</v>
      </c>
      <c r="K7" t="str">
        <f t="shared" ca="1" si="1"/>
        <v>Alerta</v>
      </c>
      <c r="L7" t="s">
        <v>12</v>
      </c>
      <c r="M7" s="1">
        <v>198730</v>
      </c>
    </row>
    <row r="8" spans="1:13" x14ac:dyDescent="0.3">
      <c r="A8" t="s">
        <v>107</v>
      </c>
      <c r="B8" t="s">
        <v>108</v>
      </c>
      <c r="C8" t="s">
        <v>33</v>
      </c>
      <c r="D8" t="s">
        <v>9</v>
      </c>
      <c r="E8">
        <v>595</v>
      </c>
      <c r="F8" s="5">
        <f ca="1">F1-H8</f>
        <v>7</v>
      </c>
      <c r="G8" t="s">
        <v>124</v>
      </c>
      <c r="H8" t="s">
        <v>124</v>
      </c>
      <c r="I8" t="s">
        <v>95</v>
      </c>
      <c r="J8" t="str">
        <f t="shared" ca="1" si="0"/>
        <v>0-30</v>
      </c>
      <c r="K8" t="str">
        <f t="shared" ca="1" si="1"/>
        <v>Normal</v>
      </c>
      <c r="L8" t="s">
        <v>26</v>
      </c>
      <c r="M8" s="1">
        <v>97580</v>
      </c>
    </row>
    <row r="9" spans="1:13" x14ac:dyDescent="0.3">
      <c r="A9" t="s">
        <v>13</v>
      </c>
      <c r="B9" t="s">
        <v>14</v>
      </c>
      <c r="C9" t="s">
        <v>15</v>
      </c>
      <c r="D9" t="s">
        <v>9</v>
      </c>
      <c r="E9">
        <v>525</v>
      </c>
      <c r="F9" s="5">
        <f ca="1">F1-H9</f>
        <v>21</v>
      </c>
      <c r="G9" t="s">
        <v>16</v>
      </c>
      <c r="H9" t="s">
        <v>17</v>
      </c>
      <c r="I9" t="s">
        <v>94</v>
      </c>
      <c r="J9" t="str">
        <f t="shared" ca="1" si="0"/>
        <v>0-30</v>
      </c>
      <c r="K9" t="str">
        <f t="shared" ca="1" si="1"/>
        <v>Normal</v>
      </c>
      <c r="L9" t="s">
        <v>12</v>
      </c>
      <c r="M9" s="1">
        <v>314160</v>
      </c>
    </row>
    <row r="10" spans="1:13" x14ac:dyDescent="0.3">
      <c r="A10" t="s">
        <v>13</v>
      </c>
      <c r="B10" t="s">
        <v>14</v>
      </c>
      <c r="C10" t="s">
        <v>15</v>
      </c>
      <c r="D10" t="s">
        <v>9</v>
      </c>
      <c r="E10">
        <v>525</v>
      </c>
      <c r="F10" s="5">
        <f ca="1">F1-H10</f>
        <v>-10</v>
      </c>
      <c r="G10" t="s">
        <v>16</v>
      </c>
      <c r="H10" t="s">
        <v>18</v>
      </c>
      <c r="I10" t="s">
        <v>95</v>
      </c>
      <c r="J10" t="str">
        <f t="shared" ca="1" si="0"/>
        <v>0-30</v>
      </c>
      <c r="K10" t="str">
        <f t="shared" ca="1" si="1"/>
        <v>Normal</v>
      </c>
      <c r="L10" t="s">
        <v>12</v>
      </c>
      <c r="M10" s="1">
        <v>314160</v>
      </c>
    </row>
    <row r="11" spans="1:13" x14ac:dyDescent="0.3">
      <c r="A11" t="s">
        <v>21</v>
      </c>
      <c r="B11" t="s">
        <v>22</v>
      </c>
      <c r="C11" t="s">
        <v>23</v>
      </c>
      <c r="D11" t="s">
        <v>9</v>
      </c>
      <c r="E11">
        <v>453</v>
      </c>
      <c r="F11" s="5">
        <f ca="1">F1-H11</f>
        <v>27</v>
      </c>
      <c r="G11" t="s">
        <v>24</v>
      </c>
      <c r="H11" t="s">
        <v>25</v>
      </c>
      <c r="I11" t="s">
        <v>94</v>
      </c>
      <c r="J11" t="str">
        <f t="shared" ca="1" si="0"/>
        <v>0-30</v>
      </c>
      <c r="K11" t="str">
        <f t="shared" ca="1" si="1"/>
        <v>Normal</v>
      </c>
      <c r="L11" t="s">
        <v>12</v>
      </c>
      <c r="M11" s="1">
        <v>170259</v>
      </c>
    </row>
    <row r="12" spans="1:13" x14ac:dyDescent="0.3">
      <c r="A12" t="s">
        <v>27</v>
      </c>
      <c r="B12" t="s">
        <v>28</v>
      </c>
      <c r="C12" t="s">
        <v>19</v>
      </c>
      <c r="D12" t="s">
        <v>9</v>
      </c>
      <c r="E12">
        <v>494</v>
      </c>
      <c r="F12" s="5">
        <f ca="1">F1-H12</f>
        <v>36</v>
      </c>
      <c r="G12" t="s">
        <v>29</v>
      </c>
      <c r="H12" t="s">
        <v>30</v>
      </c>
      <c r="I12" t="s">
        <v>94</v>
      </c>
      <c r="J12" t="str">
        <f t="shared" ca="1" si="0"/>
        <v>31-60</v>
      </c>
      <c r="K12" t="str">
        <f t="shared" ca="1" si="1"/>
        <v>Alerta</v>
      </c>
      <c r="L12" t="s">
        <v>12</v>
      </c>
      <c r="M12" s="1">
        <v>170789</v>
      </c>
    </row>
    <row r="13" spans="1:13" x14ac:dyDescent="0.3">
      <c r="A13" t="s">
        <v>35</v>
      </c>
      <c r="B13" t="s">
        <v>36</v>
      </c>
      <c r="C13" t="s">
        <v>33</v>
      </c>
      <c r="D13" t="s">
        <v>9</v>
      </c>
      <c r="E13">
        <v>555</v>
      </c>
      <c r="F13" s="5">
        <f ca="1">F1-G13</f>
        <v>35</v>
      </c>
      <c r="G13" t="s">
        <v>37</v>
      </c>
      <c r="H13" t="s">
        <v>37</v>
      </c>
      <c r="I13" t="s">
        <v>94</v>
      </c>
      <c r="J13" t="str">
        <f t="shared" ca="1" si="0"/>
        <v>31-60</v>
      </c>
      <c r="K13" t="str">
        <f t="shared" ca="1" si="1"/>
        <v>Alerta</v>
      </c>
      <c r="L13" t="s">
        <v>26</v>
      </c>
      <c r="M13" s="1">
        <v>357000</v>
      </c>
    </row>
    <row r="14" spans="1:13" x14ac:dyDescent="0.3">
      <c r="A14" t="s">
        <v>38</v>
      </c>
      <c r="B14" t="s">
        <v>39</v>
      </c>
      <c r="C14" t="s">
        <v>8</v>
      </c>
      <c r="D14" t="s">
        <v>9</v>
      </c>
      <c r="E14">
        <v>425</v>
      </c>
      <c r="F14" s="5">
        <f ca="1">F1-H14</f>
        <v>92</v>
      </c>
      <c r="G14" t="s">
        <v>40</v>
      </c>
      <c r="H14" t="s">
        <v>41</v>
      </c>
      <c r="I14" t="s">
        <v>96</v>
      </c>
      <c r="J14" t="str">
        <f t="shared" ca="1" si="0"/>
        <v>+90</v>
      </c>
      <c r="K14" t="str">
        <f t="shared" ca="1" si="1"/>
        <v>Crítico</v>
      </c>
      <c r="L14" t="s">
        <v>12</v>
      </c>
      <c r="M14" s="1">
        <v>1473696</v>
      </c>
    </row>
    <row r="15" spans="1:13" x14ac:dyDescent="0.3">
      <c r="A15" t="s">
        <v>109</v>
      </c>
      <c r="B15" t="s">
        <v>110</v>
      </c>
      <c r="C15" t="s">
        <v>15</v>
      </c>
      <c r="D15" t="s">
        <v>9</v>
      </c>
      <c r="E15">
        <v>347</v>
      </c>
      <c r="F15" s="5">
        <f ca="1">F1-H15</f>
        <v>40</v>
      </c>
      <c r="G15" t="s">
        <v>126</v>
      </c>
      <c r="H15" t="s">
        <v>127</v>
      </c>
      <c r="I15" t="s">
        <v>94</v>
      </c>
      <c r="J15" t="str">
        <f t="shared" ca="1" si="0"/>
        <v>31-60</v>
      </c>
      <c r="K15" t="str">
        <f t="shared" ca="1" si="1"/>
        <v>Alerta</v>
      </c>
      <c r="L15" t="s">
        <v>12</v>
      </c>
      <c r="M15" s="1">
        <v>1190000</v>
      </c>
    </row>
    <row r="16" spans="1:13" x14ac:dyDescent="0.3">
      <c r="A16" t="s">
        <v>44</v>
      </c>
      <c r="B16" t="s">
        <v>45</v>
      </c>
      <c r="C16" t="s">
        <v>33</v>
      </c>
      <c r="D16" t="s">
        <v>9</v>
      </c>
      <c r="E16">
        <v>483</v>
      </c>
      <c r="F16" s="5">
        <f ca="1">F1-H16</f>
        <v>44</v>
      </c>
      <c r="G16" t="s">
        <v>34</v>
      </c>
      <c r="H16" t="s">
        <v>31</v>
      </c>
      <c r="I16" t="s">
        <v>94</v>
      </c>
      <c r="J16" t="str">
        <f t="shared" ca="1" si="0"/>
        <v>31-60</v>
      </c>
      <c r="K16" t="str">
        <f t="shared" ca="1" si="1"/>
        <v>Alerta</v>
      </c>
      <c r="L16" t="s">
        <v>12</v>
      </c>
      <c r="M16" s="1">
        <v>711620</v>
      </c>
    </row>
    <row r="17" spans="1:13" x14ac:dyDescent="0.3">
      <c r="A17" t="s">
        <v>44</v>
      </c>
      <c r="B17" t="s">
        <v>45</v>
      </c>
      <c r="C17" t="s">
        <v>33</v>
      </c>
      <c r="D17" t="s">
        <v>9</v>
      </c>
      <c r="E17">
        <v>577</v>
      </c>
      <c r="F17" s="5">
        <f ca="1">F1-H17</f>
        <v>-7</v>
      </c>
      <c r="G17" t="s">
        <v>91</v>
      </c>
      <c r="H17" t="s">
        <v>128</v>
      </c>
      <c r="I17" t="s">
        <v>95</v>
      </c>
      <c r="J17" t="str">
        <f t="shared" ca="1" si="0"/>
        <v>0-30</v>
      </c>
      <c r="K17" t="str">
        <f t="shared" ca="1" si="1"/>
        <v>Normal</v>
      </c>
      <c r="L17" t="s">
        <v>12</v>
      </c>
      <c r="M17" s="1">
        <v>1361360</v>
      </c>
    </row>
    <row r="18" spans="1:13" x14ac:dyDescent="0.3">
      <c r="A18" t="s">
        <v>46</v>
      </c>
      <c r="B18" t="s">
        <v>47</v>
      </c>
      <c r="C18" t="s">
        <v>33</v>
      </c>
      <c r="D18" t="s">
        <v>9</v>
      </c>
      <c r="E18">
        <v>599</v>
      </c>
      <c r="F18" s="5">
        <f ca="1">F1-H18</f>
        <v>-13</v>
      </c>
      <c r="G18" t="s">
        <v>125</v>
      </c>
      <c r="H18" t="s">
        <v>48</v>
      </c>
      <c r="I18" t="s">
        <v>95</v>
      </c>
      <c r="J18" t="str">
        <f t="shared" ca="1" si="0"/>
        <v>0-30</v>
      </c>
      <c r="K18" t="str">
        <f t="shared" ca="1" si="1"/>
        <v>Normal</v>
      </c>
      <c r="L18" t="s">
        <v>12</v>
      </c>
      <c r="M18" s="1">
        <v>618800</v>
      </c>
    </row>
    <row r="19" spans="1:13" x14ac:dyDescent="0.3">
      <c r="A19" t="s">
        <v>46</v>
      </c>
      <c r="B19" t="s">
        <v>47</v>
      </c>
      <c r="C19" t="s">
        <v>33</v>
      </c>
      <c r="D19" t="s">
        <v>9</v>
      </c>
      <c r="E19">
        <v>598</v>
      </c>
      <c r="F19" s="5">
        <f ca="1">F1-H19</f>
        <v>-13</v>
      </c>
      <c r="G19" t="s">
        <v>125</v>
      </c>
      <c r="H19" t="s">
        <v>48</v>
      </c>
      <c r="I19" t="s">
        <v>95</v>
      </c>
      <c r="J19" t="str">
        <f ca="1">IF(F19="","",IF(F19&lt;=30,"0-30",IF(F19&lt;=60,"31-60",IF(F19&lt;=90,"61-90","+90"))))</f>
        <v>0-30</v>
      </c>
      <c r="K19" t="str">
        <f t="shared" ca="1" si="1"/>
        <v>Normal</v>
      </c>
      <c r="L19" t="s">
        <v>12</v>
      </c>
      <c r="M19" s="1">
        <v>773500</v>
      </c>
    </row>
    <row r="20" spans="1:13" x14ac:dyDescent="0.3">
      <c r="A20" t="s">
        <v>46</v>
      </c>
      <c r="B20" t="s">
        <v>47</v>
      </c>
      <c r="C20" t="s">
        <v>33</v>
      </c>
      <c r="D20" t="s">
        <v>9</v>
      </c>
      <c r="E20">
        <v>395</v>
      </c>
      <c r="F20" s="5">
        <f ca="1">F1-H20</f>
        <v>-13</v>
      </c>
      <c r="G20" t="s">
        <v>51</v>
      </c>
      <c r="H20" t="s">
        <v>48</v>
      </c>
      <c r="I20" t="s">
        <v>95</v>
      </c>
      <c r="J20" t="str">
        <f t="shared" ca="1" si="0"/>
        <v>0-30</v>
      </c>
      <c r="K20" t="str">
        <f t="shared" ca="1" si="1"/>
        <v>Normal</v>
      </c>
      <c r="L20" t="s">
        <v>12</v>
      </c>
      <c r="M20" s="1">
        <v>1547000</v>
      </c>
    </row>
    <row r="21" spans="1:13" x14ac:dyDescent="0.3">
      <c r="A21" t="s">
        <v>46</v>
      </c>
      <c r="B21" t="s">
        <v>47</v>
      </c>
      <c r="C21" t="s">
        <v>33</v>
      </c>
      <c r="D21" t="s">
        <v>9</v>
      </c>
      <c r="E21">
        <v>523</v>
      </c>
      <c r="F21" s="5">
        <f ca="1">F1-H21</f>
        <v>-13</v>
      </c>
      <c r="G21" t="s">
        <v>50</v>
      </c>
      <c r="H21" t="s">
        <v>48</v>
      </c>
      <c r="I21" t="s">
        <v>95</v>
      </c>
      <c r="J21" t="str">
        <f t="shared" ca="1" si="0"/>
        <v>0-30</v>
      </c>
      <c r="K21" t="str">
        <f t="shared" ca="1" si="1"/>
        <v>Normal</v>
      </c>
      <c r="L21" t="s">
        <v>12</v>
      </c>
      <c r="M21" s="1">
        <v>569379</v>
      </c>
    </row>
    <row r="22" spans="1:13" x14ac:dyDescent="0.3">
      <c r="A22" t="s">
        <v>46</v>
      </c>
      <c r="B22" t="s">
        <v>47</v>
      </c>
      <c r="C22" t="s">
        <v>33</v>
      </c>
      <c r="D22" t="s">
        <v>9</v>
      </c>
      <c r="E22">
        <v>522</v>
      </c>
      <c r="F22" s="5">
        <f ca="1">F1-H22</f>
        <v>-13</v>
      </c>
      <c r="G22" t="s">
        <v>50</v>
      </c>
      <c r="H22" t="s">
        <v>48</v>
      </c>
      <c r="I22" t="s">
        <v>95</v>
      </c>
      <c r="J22" t="str">
        <f t="shared" ca="1" si="0"/>
        <v>0-30</v>
      </c>
      <c r="K22" t="str">
        <f ca="1">IF(F22="","",IF(F22&lt;=30,"Normal",IF(F22&lt;=60,"Alerta",IF(F22&lt;=90,"Riesgo","Crítico"))))</f>
        <v>Normal</v>
      </c>
      <c r="L22" t="s">
        <v>12</v>
      </c>
      <c r="M22" s="1">
        <v>369495</v>
      </c>
    </row>
    <row r="23" spans="1:13" x14ac:dyDescent="0.3">
      <c r="A23" t="s">
        <v>46</v>
      </c>
      <c r="B23" t="s">
        <v>47</v>
      </c>
      <c r="C23" t="s">
        <v>33</v>
      </c>
      <c r="D23" t="s">
        <v>9</v>
      </c>
      <c r="E23">
        <v>521</v>
      </c>
      <c r="F23" s="5">
        <f ca="1">F1-H23</f>
        <v>-13</v>
      </c>
      <c r="G23" t="s">
        <v>50</v>
      </c>
      <c r="H23" t="s">
        <v>48</v>
      </c>
      <c r="I23" t="s">
        <v>95</v>
      </c>
      <c r="J23" t="str">
        <f t="shared" ca="1" si="0"/>
        <v>0-30</v>
      </c>
      <c r="K23" t="str">
        <f t="shared" ca="1" si="1"/>
        <v>Normal</v>
      </c>
      <c r="L23" t="s">
        <v>12</v>
      </c>
      <c r="M23" s="1">
        <v>437920</v>
      </c>
    </row>
    <row r="24" spans="1:13" x14ac:dyDescent="0.3">
      <c r="A24" t="s">
        <v>46</v>
      </c>
      <c r="B24" t="s">
        <v>47</v>
      </c>
      <c r="C24" t="s">
        <v>33</v>
      </c>
      <c r="D24" t="s">
        <v>9</v>
      </c>
      <c r="E24">
        <v>465</v>
      </c>
      <c r="F24" s="5">
        <f ca="1">F1-H24</f>
        <v>-13</v>
      </c>
      <c r="G24" t="s">
        <v>49</v>
      </c>
      <c r="H24" t="s">
        <v>48</v>
      </c>
      <c r="I24" t="s">
        <v>95</v>
      </c>
      <c r="J24" t="str">
        <f t="shared" ca="1" si="0"/>
        <v>0-30</v>
      </c>
      <c r="K24" t="str">
        <f t="shared" ca="1" si="1"/>
        <v>Normal</v>
      </c>
      <c r="L24" t="s">
        <v>12</v>
      </c>
      <c r="M24" s="1">
        <v>618800</v>
      </c>
    </row>
    <row r="25" spans="1:13" x14ac:dyDescent="0.3">
      <c r="A25" t="s">
        <v>46</v>
      </c>
      <c r="B25" t="s">
        <v>47</v>
      </c>
      <c r="C25" t="s">
        <v>33</v>
      </c>
      <c r="D25" t="s">
        <v>9</v>
      </c>
      <c r="E25">
        <v>485</v>
      </c>
      <c r="F25" s="5">
        <f ca="1">F1-H25</f>
        <v>-13</v>
      </c>
      <c r="G25" t="s">
        <v>34</v>
      </c>
      <c r="H25" t="s">
        <v>48</v>
      </c>
      <c r="I25" t="s">
        <v>95</v>
      </c>
      <c r="J25" t="str">
        <f t="shared" ca="1" si="0"/>
        <v>0-30</v>
      </c>
      <c r="K25" t="str">
        <f t="shared" ca="1" si="1"/>
        <v>Normal</v>
      </c>
      <c r="L25" t="s">
        <v>12</v>
      </c>
      <c r="M25" s="1">
        <v>380800</v>
      </c>
    </row>
    <row r="26" spans="1:13" x14ac:dyDescent="0.3">
      <c r="A26" t="s">
        <v>111</v>
      </c>
      <c r="B26" t="s">
        <v>112</v>
      </c>
      <c r="C26" t="s">
        <v>8</v>
      </c>
      <c r="D26" t="s">
        <v>9</v>
      </c>
      <c r="E26">
        <v>439</v>
      </c>
      <c r="F26" s="5">
        <f ca="1">F1-H26</f>
        <v>31</v>
      </c>
      <c r="G26" t="s">
        <v>129</v>
      </c>
      <c r="H26" t="s">
        <v>123</v>
      </c>
      <c r="I26" t="s">
        <v>94</v>
      </c>
      <c r="J26" t="str">
        <f t="shared" ca="1" si="0"/>
        <v>31-60</v>
      </c>
      <c r="K26" t="str">
        <f t="shared" ca="1" si="1"/>
        <v>Alerta</v>
      </c>
      <c r="L26" t="s">
        <v>12</v>
      </c>
      <c r="M26" s="1">
        <v>2915500</v>
      </c>
    </row>
    <row r="27" spans="1:13" x14ac:dyDescent="0.3">
      <c r="A27" t="s">
        <v>111</v>
      </c>
      <c r="B27" t="s">
        <v>112</v>
      </c>
      <c r="C27" t="s">
        <v>19</v>
      </c>
      <c r="D27" t="s">
        <v>9</v>
      </c>
      <c r="E27">
        <v>440</v>
      </c>
      <c r="F27" s="5">
        <f ca="1">F1-H27</f>
        <v>19</v>
      </c>
      <c r="G27" t="s">
        <v>129</v>
      </c>
      <c r="H27" t="s">
        <v>130</v>
      </c>
      <c r="I27" t="s">
        <v>94</v>
      </c>
      <c r="J27" t="str">
        <f t="shared" ca="1" si="0"/>
        <v>0-30</v>
      </c>
      <c r="K27" t="str">
        <f t="shared" ca="1" si="1"/>
        <v>Normal</v>
      </c>
      <c r="L27" t="s">
        <v>12</v>
      </c>
      <c r="M27" s="1">
        <v>2707250</v>
      </c>
    </row>
    <row r="28" spans="1:13" x14ac:dyDescent="0.3">
      <c r="A28" t="s">
        <v>111</v>
      </c>
      <c r="B28" t="s">
        <v>112</v>
      </c>
      <c r="C28" t="s">
        <v>19</v>
      </c>
      <c r="D28" t="s">
        <v>9</v>
      </c>
      <c r="E28">
        <v>438</v>
      </c>
      <c r="F28" s="5">
        <f ca="1">F1-H28</f>
        <v>11</v>
      </c>
      <c r="G28" t="s">
        <v>131</v>
      </c>
      <c r="H28" t="s">
        <v>52</v>
      </c>
      <c r="I28" t="s">
        <v>95</v>
      </c>
      <c r="J28" t="str">
        <f t="shared" ca="1" si="0"/>
        <v>0-30</v>
      </c>
      <c r="K28" t="str">
        <f t="shared" ca="1" si="1"/>
        <v>Normal</v>
      </c>
      <c r="L28" t="s">
        <v>12</v>
      </c>
      <c r="M28" s="1">
        <v>2290750</v>
      </c>
    </row>
    <row r="29" spans="1:13" x14ac:dyDescent="0.3">
      <c r="A29" t="s">
        <v>111</v>
      </c>
      <c r="B29" t="s">
        <v>112</v>
      </c>
      <c r="C29" t="s">
        <v>19</v>
      </c>
      <c r="D29" t="s">
        <v>9</v>
      </c>
      <c r="E29">
        <v>437</v>
      </c>
      <c r="F29" s="5">
        <f ca="1">F1-H29</f>
        <v>9</v>
      </c>
      <c r="G29" t="s">
        <v>132</v>
      </c>
      <c r="H29" t="s">
        <v>133</v>
      </c>
      <c r="I29" t="s">
        <v>95</v>
      </c>
      <c r="J29" t="str">
        <f t="shared" ca="1" si="0"/>
        <v>0-30</v>
      </c>
      <c r="K29" t="str">
        <f t="shared" ca="1" si="1"/>
        <v>Normal</v>
      </c>
      <c r="L29" t="s">
        <v>12</v>
      </c>
      <c r="M29" s="1">
        <v>1041250</v>
      </c>
    </row>
    <row r="30" spans="1:13" x14ac:dyDescent="0.3">
      <c r="A30" t="s">
        <v>111</v>
      </c>
      <c r="B30" t="s">
        <v>112</v>
      </c>
      <c r="C30" t="s">
        <v>8</v>
      </c>
      <c r="D30" t="s">
        <v>9</v>
      </c>
      <c r="E30">
        <v>436</v>
      </c>
      <c r="F30" s="5">
        <f ca="1">F1-H30</f>
        <v>8</v>
      </c>
      <c r="G30" t="s">
        <v>53</v>
      </c>
      <c r="H30" t="s">
        <v>134</v>
      </c>
      <c r="I30" t="s">
        <v>95</v>
      </c>
      <c r="J30" t="str">
        <f t="shared" ca="1" si="0"/>
        <v>0-30</v>
      </c>
      <c r="K30" t="str">
        <f t="shared" ca="1" si="1"/>
        <v>Normal</v>
      </c>
      <c r="L30" t="s">
        <v>12</v>
      </c>
      <c r="M30" s="1">
        <v>1874250</v>
      </c>
    </row>
    <row r="31" spans="1:13" x14ac:dyDescent="0.3">
      <c r="A31" t="s">
        <v>54</v>
      </c>
      <c r="B31" t="s">
        <v>55</v>
      </c>
      <c r="C31" t="s">
        <v>19</v>
      </c>
      <c r="D31" t="s">
        <v>9</v>
      </c>
      <c r="E31">
        <v>545</v>
      </c>
      <c r="F31" s="5">
        <f ca="1">F1-H31</f>
        <v>28</v>
      </c>
      <c r="G31" t="s">
        <v>20</v>
      </c>
      <c r="H31" t="s">
        <v>56</v>
      </c>
      <c r="I31" t="s">
        <v>94</v>
      </c>
      <c r="J31" t="str">
        <f t="shared" ca="1" si="0"/>
        <v>0-30</v>
      </c>
      <c r="K31" t="str">
        <f t="shared" ca="1" si="1"/>
        <v>Normal</v>
      </c>
      <c r="L31" t="s">
        <v>12</v>
      </c>
      <c r="M31" s="1">
        <v>162316</v>
      </c>
    </row>
    <row r="32" spans="1:13" x14ac:dyDescent="0.3">
      <c r="A32" t="s">
        <v>54</v>
      </c>
      <c r="B32" t="s">
        <v>55</v>
      </c>
      <c r="C32" t="s">
        <v>19</v>
      </c>
      <c r="D32" t="s">
        <v>9</v>
      </c>
      <c r="E32">
        <v>571</v>
      </c>
      <c r="F32" s="5">
        <f ca="1">F1-H32</f>
        <v>4</v>
      </c>
      <c r="G32" t="s">
        <v>135</v>
      </c>
      <c r="H32" t="s">
        <v>136</v>
      </c>
      <c r="I32" t="s">
        <v>95</v>
      </c>
      <c r="J32" t="str">
        <f t="shared" ca="1" si="0"/>
        <v>0-30</v>
      </c>
      <c r="K32" t="str">
        <f t="shared" ca="1" si="1"/>
        <v>Normal</v>
      </c>
      <c r="L32" t="s">
        <v>12</v>
      </c>
      <c r="M32" s="1">
        <v>533775</v>
      </c>
    </row>
    <row r="33" spans="1:13" x14ac:dyDescent="0.3">
      <c r="A33" t="s">
        <v>54</v>
      </c>
      <c r="B33" t="s">
        <v>55</v>
      </c>
      <c r="C33" t="s">
        <v>19</v>
      </c>
      <c r="D33" t="s">
        <v>9</v>
      </c>
      <c r="E33">
        <v>570</v>
      </c>
      <c r="F33" s="5">
        <f ca="1">F1-H33</f>
        <v>4</v>
      </c>
      <c r="G33" t="s">
        <v>135</v>
      </c>
      <c r="H33" t="s">
        <v>136</v>
      </c>
      <c r="I33" t="s">
        <v>95</v>
      </c>
      <c r="J33" t="str">
        <f t="shared" ca="1" si="0"/>
        <v>0-30</v>
      </c>
      <c r="K33" t="str">
        <f t="shared" ca="1" si="1"/>
        <v>Normal</v>
      </c>
      <c r="L33" t="s">
        <v>12</v>
      </c>
      <c r="M33" s="1">
        <v>228175</v>
      </c>
    </row>
    <row r="34" spans="1:13" x14ac:dyDescent="0.3">
      <c r="A34" t="s">
        <v>58</v>
      </c>
      <c r="B34" t="s">
        <v>59</v>
      </c>
      <c r="C34" t="s">
        <v>8</v>
      </c>
      <c r="D34" t="s">
        <v>9</v>
      </c>
      <c r="E34">
        <v>250</v>
      </c>
      <c r="F34" s="5">
        <f ca="1">F1-H34</f>
        <v>104</v>
      </c>
      <c r="G34" t="s">
        <v>60</v>
      </c>
      <c r="H34" t="s">
        <v>61</v>
      </c>
      <c r="I34" t="s">
        <v>96</v>
      </c>
      <c r="J34" t="str">
        <f t="shared" ca="1" si="0"/>
        <v>+90</v>
      </c>
      <c r="K34" t="str">
        <f t="shared" ca="1" si="1"/>
        <v>Crítico</v>
      </c>
      <c r="L34" t="s">
        <v>12</v>
      </c>
      <c r="M34" s="1">
        <v>4194750</v>
      </c>
    </row>
    <row r="35" spans="1:13" x14ac:dyDescent="0.3">
      <c r="A35" t="s">
        <v>62</v>
      </c>
      <c r="B35" t="s">
        <v>63</v>
      </c>
      <c r="C35" t="s">
        <v>19</v>
      </c>
      <c r="D35" t="s">
        <v>9</v>
      </c>
      <c r="E35">
        <v>475</v>
      </c>
      <c r="F35" s="5">
        <f ca="1">F1-H35</f>
        <v>-9</v>
      </c>
      <c r="G35" t="s">
        <v>43</v>
      </c>
      <c r="H35" t="s">
        <v>65</v>
      </c>
      <c r="I35" t="s">
        <v>95</v>
      </c>
      <c r="J35" t="str">
        <f t="shared" ca="1" si="0"/>
        <v>0-30</v>
      </c>
      <c r="K35" t="str">
        <f t="shared" ca="1" si="1"/>
        <v>Normal</v>
      </c>
      <c r="L35" t="s">
        <v>12</v>
      </c>
      <c r="M35" s="1">
        <v>451238</v>
      </c>
    </row>
    <row r="36" spans="1:13" x14ac:dyDescent="0.3">
      <c r="A36" t="s">
        <v>66</v>
      </c>
      <c r="B36" t="s">
        <v>67</v>
      </c>
      <c r="C36" t="s">
        <v>57</v>
      </c>
      <c r="D36" t="s">
        <v>9</v>
      </c>
      <c r="E36">
        <v>596</v>
      </c>
      <c r="F36" s="5">
        <f ca="1">F1-H36</f>
        <v>7</v>
      </c>
      <c r="G36" t="s">
        <v>124</v>
      </c>
      <c r="H36" t="s">
        <v>124</v>
      </c>
      <c r="I36" t="s">
        <v>95</v>
      </c>
      <c r="J36" t="str">
        <f t="shared" ca="1" si="0"/>
        <v>0-30</v>
      </c>
      <c r="K36" t="str">
        <f t="shared" ca="1" si="1"/>
        <v>Normal</v>
      </c>
      <c r="L36" t="s">
        <v>26</v>
      </c>
      <c r="M36" s="1">
        <v>39826</v>
      </c>
    </row>
    <row r="37" spans="1:13" x14ac:dyDescent="0.3">
      <c r="A37" t="s">
        <v>113</v>
      </c>
      <c r="B37" t="s">
        <v>114</v>
      </c>
      <c r="C37" t="s">
        <v>19</v>
      </c>
      <c r="D37" t="s">
        <v>9</v>
      </c>
      <c r="E37">
        <v>459</v>
      </c>
      <c r="F37" s="5">
        <f ca="1">F1-H37</f>
        <v>-13</v>
      </c>
      <c r="G37" t="s">
        <v>64</v>
      </c>
      <c r="H37" t="s">
        <v>48</v>
      </c>
      <c r="I37" t="s">
        <v>95</v>
      </c>
      <c r="J37" t="str">
        <f t="shared" ca="1" si="0"/>
        <v>0-30</v>
      </c>
      <c r="K37" t="str">
        <f t="shared" ca="1" si="1"/>
        <v>Normal</v>
      </c>
      <c r="L37" t="s">
        <v>12</v>
      </c>
      <c r="M37" s="1">
        <v>364551</v>
      </c>
    </row>
    <row r="38" spans="1:13" x14ac:dyDescent="0.3">
      <c r="A38" t="s">
        <v>113</v>
      </c>
      <c r="B38" t="s">
        <v>114</v>
      </c>
      <c r="C38" t="s">
        <v>19</v>
      </c>
      <c r="D38" t="s">
        <v>9</v>
      </c>
      <c r="E38">
        <v>458</v>
      </c>
      <c r="F38" s="5">
        <f ca="1">F1-H38</f>
        <v>-13</v>
      </c>
      <c r="G38" t="s">
        <v>64</v>
      </c>
      <c r="H38" t="s">
        <v>48</v>
      </c>
      <c r="I38" t="s">
        <v>95</v>
      </c>
      <c r="J38" t="str">
        <f t="shared" ca="1" si="0"/>
        <v>0-30</v>
      </c>
      <c r="K38" t="str">
        <f t="shared" ca="1" si="1"/>
        <v>Normal</v>
      </c>
      <c r="L38" t="s">
        <v>12</v>
      </c>
      <c r="M38" s="1">
        <v>1373528</v>
      </c>
    </row>
    <row r="39" spans="1:13" x14ac:dyDescent="0.3">
      <c r="A39" t="s">
        <v>113</v>
      </c>
      <c r="B39" t="s">
        <v>114</v>
      </c>
      <c r="C39" t="s">
        <v>19</v>
      </c>
      <c r="D39" t="s">
        <v>9</v>
      </c>
      <c r="E39">
        <v>457</v>
      </c>
      <c r="F39" s="5">
        <f ca="1">F1-H39</f>
        <v>-13</v>
      </c>
      <c r="G39" t="s">
        <v>64</v>
      </c>
      <c r="H39" t="s">
        <v>48</v>
      </c>
      <c r="I39" t="s">
        <v>95</v>
      </c>
      <c r="J39" t="str">
        <f t="shared" ca="1" si="0"/>
        <v>0-30</v>
      </c>
      <c r="K39" t="str">
        <f t="shared" ca="1" si="1"/>
        <v>Normal</v>
      </c>
      <c r="L39" t="s">
        <v>12</v>
      </c>
      <c r="M39" s="1">
        <v>2812833</v>
      </c>
    </row>
    <row r="40" spans="1:13" ht="16.8" customHeight="1" x14ac:dyDescent="0.3">
      <c r="A40" t="s">
        <v>68</v>
      </c>
      <c r="B40" t="s">
        <v>69</v>
      </c>
      <c r="C40" t="s">
        <v>8</v>
      </c>
      <c r="D40" t="s">
        <v>9</v>
      </c>
      <c r="E40">
        <v>552</v>
      </c>
      <c r="F40" s="5">
        <f ca="1">F1-H40</f>
        <v>37</v>
      </c>
      <c r="G40" t="s">
        <v>70</v>
      </c>
      <c r="H40" t="s">
        <v>70</v>
      </c>
      <c r="I40" t="s">
        <v>94</v>
      </c>
      <c r="J40" t="str">
        <f t="shared" ca="1" si="0"/>
        <v>31-60</v>
      </c>
      <c r="K40" t="str">
        <f t="shared" ca="1" si="1"/>
        <v>Alerta</v>
      </c>
      <c r="L40" t="s">
        <v>26</v>
      </c>
      <c r="M40" s="1">
        <v>93689</v>
      </c>
    </row>
    <row r="41" spans="1:13" ht="14.4" customHeight="1" x14ac:dyDescent="0.3">
      <c r="A41" t="s">
        <v>71</v>
      </c>
      <c r="B41" t="s">
        <v>72</v>
      </c>
      <c r="C41" t="s">
        <v>33</v>
      </c>
      <c r="D41" t="s">
        <v>9</v>
      </c>
      <c r="E41">
        <v>416</v>
      </c>
      <c r="F41" s="5">
        <f ca="1">F1-H41</f>
        <v>85</v>
      </c>
      <c r="G41" t="s">
        <v>53</v>
      </c>
      <c r="H41" t="s">
        <v>73</v>
      </c>
      <c r="I41" t="s">
        <v>96</v>
      </c>
      <c r="J41" t="str">
        <f t="shared" ca="1" si="0"/>
        <v>61-90</v>
      </c>
      <c r="K41" t="str">
        <f t="shared" ca="1" si="1"/>
        <v>Riesgo</v>
      </c>
      <c r="L41" t="s">
        <v>12</v>
      </c>
      <c r="M41" s="1">
        <v>499300</v>
      </c>
    </row>
    <row r="42" spans="1:13" x14ac:dyDescent="0.3">
      <c r="A42" t="s">
        <v>71</v>
      </c>
      <c r="B42" t="s">
        <v>72</v>
      </c>
      <c r="C42" t="s">
        <v>33</v>
      </c>
      <c r="D42" t="s">
        <v>9</v>
      </c>
      <c r="E42">
        <v>415</v>
      </c>
      <c r="F42" s="5">
        <f ca="1">F1-H42</f>
        <v>85</v>
      </c>
      <c r="G42" t="s">
        <v>53</v>
      </c>
      <c r="H42" t="s">
        <v>73</v>
      </c>
      <c r="I42" t="s">
        <v>96</v>
      </c>
      <c r="J42" t="str">
        <f t="shared" ca="1" si="0"/>
        <v>61-90</v>
      </c>
      <c r="K42" t="str">
        <f t="shared" ca="1" si="1"/>
        <v>Riesgo</v>
      </c>
      <c r="L42" t="s">
        <v>12</v>
      </c>
      <c r="M42" s="1">
        <v>111206</v>
      </c>
    </row>
    <row r="43" spans="1:13" x14ac:dyDescent="0.3">
      <c r="A43" t="s">
        <v>71</v>
      </c>
      <c r="B43" t="s">
        <v>72</v>
      </c>
      <c r="C43" t="s">
        <v>33</v>
      </c>
      <c r="D43" t="s">
        <v>9</v>
      </c>
      <c r="E43">
        <v>414</v>
      </c>
      <c r="F43" s="5">
        <f ca="1">F1-H43</f>
        <v>85</v>
      </c>
      <c r="G43" t="s">
        <v>53</v>
      </c>
      <c r="H43" t="s">
        <v>73</v>
      </c>
      <c r="I43" t="s">
        <v>96</v>
      </c>
      <c r="J43" t="str">
        <f t="shared" ca="1" si="0"/>
        <v>61-90</v>
      </c>
      <c r="K43" t="str">
        <f t="shared" ca="1" si="1"/>
        <v>Riesgo</v>
      </c>
      <c r="L43" t="s">
        <v>12</v>
      </c>
      <c r="M43" s="1">
        <v>310709</v>
      </c>
    </row>
    <row r="44" spans="1:13" x14ac:dyDescent="0.3">
      <c r="A44" t="s">
        <v>115</v>
      </c>
      <c r="B44" t="s">
        <v>116</v>
      </c>
      <c r="C44" t="s">
        <v>33</v>
      </c>
      <c r="D44" t="s">
        <v>9</v>
      </c>
      <c r="E44">
        <v>354</v>
      </c>
      <c r="F44" s="5">
        <f ca="1">F1-H44</f>
        <v>103</v>
      </c>
      <c r="G44" t="s">
        <v>137</v>
      </c>
      <c r="H44" t="s">
        <v>138</v>
      </c>
      <c r="I44" t="s">
        <v>96</v>
      </c>
      <c r="J44" t="str">
        <f t="shared" ca="1" si="0"/>
        <v>+90</v>
      </c>
      <c r="K44" t="str">
        <f t="shared" ca="1" si="1"/>
        <v>Crítico</v>
      </c>
      <c r="L44" t="s">
        <v>12</v>
      </c>
      <c r="M44" s="1">
        <v>2891224</v>
      </c>
    </row>
    <row r="45" spans="1:13" x14ac:dyDescent="0.3">
      <c r="A45" t="s">
        <v>115</v>
      </c>
      <c r="B45" t="s">
        <v>116</v>
      </c>
      <c r="C45" t="s">
        <v>33</v>
      </c>
      <c r="D45" t="s">
        <v>9</v>
      </c>
      <c r="E45">
        <v>341</v>
      </c>
      <c r="F45" s="5">
        <f ca="1">F1-H45</f>
        <v>97</v>
      </c>
      <c r="G45" t="s">
        <v>139</v>
      </c>
      <c r="H45" t="s">
        <v>140</v>
      </c>
      <c r="I45" t="s">
        <v>96</v>
      </c>
      <c r="J45" t="str">
        <f t="shared" ca="1" si="0"/>
        <v>+90</v>
      </c>
      <c r="K45" t="str">
        <f t="shared" ca="1" si="1"/>
        <v>Crítico</v>
      </c>
      <c r="L45" t="s">
        <v>12</v>
      </c>
      <c r="M45" s="1">
        <v>863620</v>
      </c>
    </row>
    <row r="46" spans="1:13" x14ac:dyDescent="0.3">
      <c r="A46" t="s">
        <v>115</v>
      </c>
      <c r="B46" t="s">
        <v>116</v>
      </c>
      <c r="C46" t="s">
        <v>33</v>
      </c>
      <c r="D46" t="s">
        <v>9</v>
      </c>
      <c r="E46">
        <v>332</v>
      </c>
      <c r="F46" s="5">
        <f ca="1">F1-H46</f>
        <v>96</v>
      </c>
      <c r="G46" t="s">
        <v>141</v>
      </c>
      <c r="H46" t="s">
        <v>142</v>
      </c>
      <c r="I46" t="s">
        <v>96</v>
      </c>
      <c r="J46" t="str">
        <f t="shared" ca="1" si="0"/>
        <v>+90</v>
      </c>
      <c r="K46" t="str">
        <f t="shared" ca="1" si="1"/>
        <v>Crítico</v>
      </c>
      <c r="L46" t="s">
        <v>12</v>
      </c>
      <c r="M46" s="1">
        <v>441093</v>
      </c>
    </row>
    <row r="47" spans="1:13" x14ac:dyDescent="0.3">
      <c r="A47" t="s">
        <v>115</v>
      </c>
      <c r="B47" t="s">
        <v>116</v>
      </c>
      <c r="C47" t="s">
        <v>33</v>
      </c>
      <c r="D47" t="s">
        <v>9</v>
      </c>
      <c r="E47">
        <v>354</v>
      </c>
      <c r="F47" s="5">
        <f ca="1">F1-H47</f>
        <v>72</v>
      </c>
      <c r="G47" t="s">
        <v>137</v>
      </c>
      <c r="H47" t="s">
        <v>143</v>
      </c>
      <c r="I47" t="s">
        <v>93</v>
      </c>
      <c r="J47" t="str">
        <f t="shared" ca="1" si="0"/>
        <v>61-90</v>
      </c>
      <c r="K47" t="str">
        <f t="shared" ca="1" si="1"/>
        <v>Riesgo</v>
      </c>
      <c r="L47" t="s">
        <v>12</v>
      </c>
      <c r="M47" s="1">
        <v>2891224</v>
      </c>
    </row>
    <row r="48" spans="1:13" x14ac:dyDescent="0.3">
      <c r="A48" t="s">
        <v>115</v>
      </c>
      <c r="B48" t="s">
        <v>116</v>
      </c>
      <c r="C48" t="s">
        <v>33</v>
      </c>
      <c r="D48" t="s">
        <v>9</v>
      </c>
      <c r="E48">
        <v>341</v>
      </c>
      <c r="F48" s="5">
        <f ca="1">F1-H48</f>
        <v>66</v>
      </c>
      <c r="G48" t="s">
        <v>139</v>
      </c>
      <c r="H48" t="s">
        <v>29</v>
      </c>
      <c r="I48" t="s">
        <v>93</v>
      </c>
      <c r="J48" t="str">
        <f t="shared" ca="1" si="0"/>
        <v>61-90</v>
      </c>
      <c r="K48" t="str">
        <f t="shared" ca="1" si="1"/>
        <v>Riesgo</v>
      </c>
      <c r="L48" t="s">
        <v>12</v>
      </c>
      <c r="M48" s="1">
        <v>863620</v>
      </c>
    </row>
    <row r="49" spans="1:13" x14ac:dyDescent="0.3">
      <c r="A49" t="s">
        <v>115</v>
      </c>
      <c r="B49" t="s">
        <v>116</v>
      </c>
      <c r="C49" t="s">
        <v>33</v>
      </c>
      <c r="D49" t="s">
        <v>9</v>
      </c>
      <c r="E49">
        <v>332</v>
      </c>
      <c r="F49" s="5">
        <f ca="1">F1-H49</f>
        <v>65</v>
      </c>
      <c r="G49" t="s">
        <v>141</v>
      </c>
      <c r="H49" t="s">
        <v>144</v>
      </c>
      <c r="I49" t="s">
        <v>93</v>
      </c>
      <c r="J49" t="str">
        <f t="shared" ca="1" si="0"/>
        <v>61-90</v>
      </c>
      <c r="K49" t="str">
        <f t="shared" ca="1" si="1"/>
        <v>Riesgo</v>
      </c>
      <c r="L49" t="s">
        <v>12</v>
      </c>
      <c r="M49" s="1">
        <v>441094</v>
      </c>
    </row>
    <row r="50" spans="1:13" x14ac:dyDescent="0.3">
      <c r="A50" t="s">
        <v>115</v>
      </c>
      <c r="B50" t="s">
        <v>116</v>
      </c>
      <c r="C50" t="s">
        <v>33</v>
      </c>
      <c r="D50" t="s">
        <v>9</v>
      </c>
      <c r="E50">
        <v>354</v>
      </c>
      <c r="F50" s="5">
        <f ca="1">F1-H50</f>
        <v>44</v>
      </c>
      <c r="G50" t="s">
        <v>137</v>
      </c>
      <c r="H50" t="s">
        <v>31</v>
      </c>
      <c r="I50" t="s">
        <v>94</v>
      </c>
      <c r="J50" t="str">
        <f t="shared" ca="1" si="0"/>
        <v>31-60</v>
      </c>
      <c r="K50" t="str">
        <f t="shared" ca="1" si="1"/>
        <v>Alerta</v>
      </c>
      <c r="L50" t="s">
        <v>12</v>
      </c>
      <c r="M50" s="1">
        <v>2891224</v>
      </c>
    </row>
    <row r="51" spans="1:13" x14ac:dyDescent="0.3">
      <c r="A51" t="s">
        <v>115</v>
      </c>
      <c r="B51" t="s">
        <v>116</v>
      </c>
      <c r="C51" t="s">
        <v>33</v>
      </c>
      <c r="D51" t="s">
        <v>9</v>
      </c>
      <c r="E51">
        <v>403</v>
      </c>
      <c r="F51" s="5">
        <f ca="1">F1-H51</f>
        <v>42</v>
      </c>
      <c r="G51" t="s">
        <v>145</v>
      </c>
      <c r="H51" t="s">
        <v>146</v>
      </c>
      <c r="I51" t="s">
        <v>94</v>
      </c>
      <c r="J51" t="str">
        <f t="shared" ca="1" si="0"/>
        <v>31-60</v>
      </c>
      <c r="K51" t="str">
        <f t="shared" ca="1" si="1"/>
        <v>Alerta</v>
      </c>
      <c r="L51" t="s">
        <v>12</v>
      </c>
      <c r="M51" s="1">
        <v>820000</v>
      </c>
    </row>
    <row r="52" spans="1:13" x14ac:dyDescent="0.3">
      <c r="A52" t="s">
        <v>115</v>
      </c>
      <c r="B52" t="s">
        <v>116</v>
      </c>
      <c r="C52" t="s">
        <v>33</v>
      </c>
      <c r="D52" t="s">
        <v>9</v>
      </c>
      <c r="E52">
        <v>341</v>
      </c>
      <c r="F52" s="5">
        <f ca="1">F1-H52</f>
        <v>38</v>
      </c>
      <c r="G52" t="s">
        <v>139</v>
      </c>
      <c r="H52" t="s">
        <v>32</v>
      </c>
      <c r="I52" t="s">
        <v>94</v>
      </c>
      <c r="J52" t="str">
        <f t="shared" ca="1" si="0"/>
        <v>31-60</v>
      </c>
      <c r="K52" t="str">
        <f t="shared" ca="1" si="1"/>
        <v>Alerta</v>
      </c>
      <c r="L52" t="s">
        <v>12</v>
      </c>
      <c r="M52" s="1">
        <v>863628</v>
      </c>
    </row>
    <row r="53" spans="1:13" x14ac:dyDescent="0.3">
      <c r="A53" t="s">
        <v>115</v>
      </c>
      <c r="B53" t="s">
        <v>116</v>
      </c>
      <c r="C53" t="s">
        <v>33</v>
      </c>
      <c r="D53" t="s">
        <v>9</v>
      </c>
      <c r="E53">
        <v>403</v>
      </c>
      <c r="F53" s="5">
        <f ca="1">F1-H53</f>
        <v>11</v>
      </c>
      <c r="G53" t="s">
        <v>145</v>
      </c>
      <c r="H53" t="s">
        <v>52</v>
      </c>
      <c r="I53" t="s">
        <v>95</v>
      </c>
      <c r="J53" t="str">
        <f t="shared" ca="1" si="0"/>
        <v>0-30</v>
      </c>
      <c r="K53" t="str">
        <f t="shared" ca="1" si="1"/>
        <v>Normal</v>
      </c>
      <c r="L53" t="s">
        <v>12</v>
      </c>
      <c r="M53" s="1">
        <v>820000</v>
      </c>
    </row>
    <row r="54" spans="1:13" x14ac:dyDescent="0.3">
      <c r="A54" t="s">
        <v>74</v>
      </c>
      <c r="B54" t="s">
        <v>75</v>
      </c>
      <c r="C54" t="s">
        <v>19</v>
      </c>
      <c r="D54" t="s">
        <v>9</v>
      </c>
      <c r="E54">
        <v>480</v>
      </c>
      <c r="F54" s="5">
        <f ca="1">F1-H54</f>
        <v>18</v>
      </c>
      <c r="G54" t="s">
        <v>76</v>
      </c>
      <c r="H54" t="s">
        <v>42</v>
      </c>
      <c r="I54" t="s">
        <v>94</v>
      </c>
      <c r="J54" t="str">
        <f t="shared" ca="1" si="0"/>
        <v>0-30</v>
      </c>
      <c r="K54" t="str">
        <f t="shared" ca="1" si="1"/>
        <v>Normal</v>
      </c>
      <c r="L54" t="s">
        <v>12</v>
      </c>
      <c r="M54" s="1">
        <v>72055</v>
      </c>
    </row>
    <row r="55" spans="1:13" x14ac:dyDescent="0.3">
      <c r="A55" t="s">
        <v>74</v>
      </c>
      <c r="B55" t="s">
        <v>75</v>
      </c>
      <c r="C55" t="s">
        <v>19</v>
      </c>
      <c r="D55" t="s">
        <v>9</v>
      </c>
      <c r="E55">
        <v>479</v>
      </c>
      <c r="F55" s="5">
        <f ca="1">F1-H55</f>
        <v>-13</v>
      </c>
      <c r="G55" t="s">
        <v>76</v>
      </c>
      <c r="H55" t="s">
        <v>48</v>
      </c>
      <c r="I55" t="s">
        <v>95</v>
      </c>
      <c r="J55" t="str">
        <f t="shared" ca="1" si="0"/>
        <v>0-30</v>
      </c>
      <c r="K55" t="str">
        <f t="shared" ca="1" si="1"/>
        <v>Normal</v>
      </c>
      <c r="L55" t="s">
        <v>12</v>
      </c>
      <c r="M55" s="1">
        <v>495944</v>
      </c>
    </row>
    <row r="56" spans="1:13" x14ac:dyDescent="0.3">
      <c r="A56" t="s">
        <v>117</v>
      </c>
      <c r="B56" t="s">
        <v>118</v>
      </c>
      <c r="C56" t="s">
        <v>33</v>
      </c>
      <c r="D56" t="s">
        <v>9</v>
      </c>
      <c r="E56">
        <v>442</v>
      </c>
      <c r="F56" s="5">
        <f ca="1">F1-H56</f>
        <v>2</v>
      </c>
      <c r="G56" t="s">
        <v>41</v>
      </c>
      <c r="H56" t="s">
        <v>147</v>
      </c>
      <c r="I56" t="s">
        <v>95</v>
      </c>
      <c r="J56" t="str">
        <f t="shared" ca="1" si="0"/>
        <v>0-30</v>
      </c>
      <c r="K56" t="str">
        <f t="shared" ca="1" si="1"/>
        <v>Normal</v>
      </c>
      <c r="L56" t="s">
        <v>12</v>
      </c>
      <c r="M56" s="1">
        <v>1785000</v>
      </c>
    </row>
    <row r="57" spans="1:13" x14ac:dyDescent="0.3">
      <c r="A57" t="s">
        <v>117</v>
      </c>
      <c r="B57" t="s">
        <v>118</v>
      </c>
      <c r="C57" t="s">
        <v>33</v>
      </c>
      <c r="D57" t="s">
        <v>9</v>
      </c>
      <c r="E57">
        <v>441</v>
      </c>
      <c r="F57" s="5">
        <f ca="1">F1-H57</f>
        <v>2</v>
      </c>
      <c r="G57" t="s">
        <v>41</v>
      </c>
      <c r="H57" t="s">
        <v>147</v>
      </c>
      <c r="I57" t="s">
        <v>95</v>
      </c>
      <c r="J57" t="str">
        <f t="shared" ca="1" si="0"/>
        <v>0-30</v>
      </c>
      <c r="K57" t="str">
        <f t="shared" ca="1" si="1"/>
        <v>Normal</v>
      </c>
      <c r="L57" t="s">
        <v>12</v>
      </c>
      <c r="M57" s="1">
        <v>410550</v>
      </c>
    </row>
    <row r="58" spans="1:13" x14ac:dyDescent="0.3">
      <c r="A58" t="s">
        <v>77</v>
      </c>
      <c r="B58" t="s">
        <v>78</v>
      </c>
      <c r="C58" t="s">
        <v>33</v>
      </c>
      <c r="D58" t="s">
        <v>9</v>
      </c>
      <c r="E58">
        <v>451</v>
      </c>
      <c r="F58" s="5">
        <f ca="1">F1-H58</f>
        <v>-3</v>
      </c>
      <c r="G58" t="s">
        <v>24</v>
      </c>
      <c r="H58" t="s">
        <v>79</v>
      </c>
      <c r="I58" t="s">
        <v>95</v>
      </c>
      <c r="J58" t="str">
        <f t="shared" ca="1" si="0"/>
        <v>0-30</v>
      </c>
      <c r="K58" t="str">
        <f t="shared" ca="1" si="1"/>
        <v>Normal</v>
      </c>
      <c r="L58" t="s">
        <v>12</v>
      </c>
      <c r="M58" s="1">
        <v>1990870</v>
      </c>
    </row>
    <row r="59" spans="1:13" x14ac:dyDescent="0.3">
      <c r="A59" t="s">
        <v>81</v>
      </c>
      <c r="B59" t="s">
        <v>82</v>
      </c>
      <c r="C59" t="s">
        <v>15</v>
      </c>
      <c r="D59" t="s">
        <v>9</v>
      </c>
      <c r="E59">
        <v>564</v>
      </c>
      <c r="F59" s="5">
        <f ca="1">F1-H59</f>
        <v>1</v>
      </c>
      <c r="G59" t="s">
        <v>123</v>
      </c>
      <c r="H59" t="s">
        <v>148</v>
      </c>
      <c r="I59" t="s">
        <v>95</v>
      </c>
      <c r="J59" t="str">
        <f t="shared" ca="1" si="0"/>
        <v>0-30</v>
      </c>
      <c r="K59" t="str">
        <f t="shared" ca="1" si="1"/>
        <v>Normal</v>
      </c>
      <c r="L59" t="s">
        <v>12</v>
      </c>
      <c r="M59" s="1">
        <v>2305625</v>
      </c>
    </row>
    <row r="60" spans="1:13" x14ac:dyDescent="0.3">
      <c r="A60" t="s">
        <v>83</v>
      </c>
      <c r="B60" t="s">
        <v>84</v>
      </c>
      <c r="C60" t="s">
        <v>33</v>
      </c>
      <c r="D60" t="s">
        <v>9</v>
      </c>
      <c r="E60">
        <v>501</v>
      </c>
      <c r="F60" s="5">
        <f ca="1">F1-H60</f>
        <v>36</v>
      </c>
      <c r="G60" t="s">
        <v>29</v>
      </c>
      <c r="H60" t="s">
        <v>30</v>
      </c>
      <c r="I60" t="s">
        <v>94</v>
      </c>
      <c r="J60" t="str">
        <f t="shared" ref="J60:J64" ca="1" si="2">IF(F60="","",IF(F60&lt;=30,"0-30",IF(F60&lt;=60,"31-60",IF(F60&lt;=90,"61-90","+90"))))</f>
        <v>31-60</v>
      </c>
      <c r="K60" t="str">
        <f t="shared" ref="K60:K64" ca="1" si="3">IF(F60="","",IF(F60&lt;=30,"Normal",IF(F60&lt;=60,"Alerta",IF(F60&lt;=90,"Riesgo","Crítico"))))</f>
        <v>Alerta</v>
      </c>
      <c r="L60" t="s">
        <v>12</v>
      </c>
      <c r="M60" s="1">
        <v>446250</v>
      </c>
    </row>
    <row r="61" spans="1:13" x14ac:dyDescent="0.3">
      <c r="A61" t="s">
        <v>85</v>
      </c>
      <c r="B61" t="s">
        <v>86</v>
      </c>
      <c r="C61" t="s">
        <v>8</v>
      </c>
      <c r="D61" t="s">
        <v>9</v>
      </c>
      <c r="E61">
        <v>433</v>
      </c>
      <c r="F61" s="5">
        <f ca="1">F1-H61</f>
        <v>3</v>
      </c>
      <c r="G61" t="s">
        <v>87</v>
      </c>
      <c r="H61" t="s">
        <v>88</v>
      </c>
      <c r="I61" t="s">
        <v>95</v>
      </c>
      <c r="J61" t="str">
        <f t="shared" ca="1" si="2"/>
        <v>0-30</v>
      </c>
      <c r="K61" t="str">
        <f t="shared" ca="1" si="3"/>
        <v>Normal</v>
      </c>
      <c r="L61" t="s">
        <v>12</v>
      </c>
      <c r="M61" s="1">
        <v>1496776</v>
      </c>
    </row>
    <row r="62" spans="1:13" x14ac:dyDescent="0.3">
      <c r="A62" t="s">
        <v>85</v>
      </c>
      <c r="B62" t="s">
        <v>86</v>
      </c>
      <c r="C62" t="s">
        <v>8</v>
      </c>
      <c r="D62" t="s">
        <v>9</v>
      </c>
      <c r="E62">
        <v>432</v>
      </c>
      <c r="F62" s="5">
        <f ca="1">F1-H62</f>
        <v>3</v>
      </c>
      <c r="G62" t="s">
        <v>87</v>
      </c>
      <c r="H62" t="s">
        <v>88</v>
      </c>
      <c r="I62" t="s">
        <v>95</v>
      </c>
      <c r="J62" t="str">
        <f t="shared" ca="1" si="2"/>
        <v>0-30</v>
      </c>
      <c r="K62" t="str">
        <f t="shared" ca="1" si="3"/>
        <v>Normal</v>
      </c>
      <c r="L62" t="s">
        <v>12</v>
      </c>
      <c r="M62" s="1">
        <v>727709</v>
      </c>
    </row>
    <row r="63" spans="1:13" x14ac:dyDescent="0.3">
      <c r="A63" t="s">
        <v>89</v>
      </c>
      <c r="B63" t="s">
        <v>90</v>
      </c>
      <c r="C63" t="s">
        <v>15</v>
      </c>
      <c r="D63" t="s">
        <v>9</v>
      </c>
      <c r="E63">
        <v>602</v>
      </c>
      <c r="F63" s="5">
        <f ca="1">F1-H63</f>
        <v>6</v>
      </c>
      <c r="G63" t="s">
        <v>125</v>
      </c>
      <c r="H63" t="s">
        <v>149</v>
      </c>
      <c r="I63" t="s">
        <v>95</v>
      </c>
      <c r="J63" t="str">
        <f t="shared" ca="1" si="2"/>
        <v>0-30</v>
      </c>
      <c r="K63" t="str">
        <f t="shared" ca="1" si="3"/>
        <v>Normal</v>
      </c>
      <c r="L63" t="s">
        <v>12</v>
      </c>
      <c r="M63" s="1">
        <v>1071000</v>
      </c>
    </row>
    <row r="64" spans="1:13" x14ac:dyDescent="0.3">
      <c r="A64" t="s">
        <v>119</v>
      </c>
      <c r="B64" t="s">
        <v>120</v>
      </c>
      <c r="C64" t="s">
        <v>121</v>
      </c>
      <c r="D64" t="s">
        <v>9</v>
      </c>
      <c r="E64">
        <v>574</v>
      </c>
      <c r="F64" s="5">
        <f ca="1">F1-H64</f>
        <v>-3</v>
      </c>
      <c r="G64" t="s">
        <v>150</v>
      </c>
      <c r="H64" t="s">
        <v>79</v>
      </c>
      <c r="I64" t="s">
        <v>95</v>
      </c>
      <c r="J64" t="str">
        <f t="shared" ca="1" si="2"/>
        <v>0-30</v>
      </c>
      <c r="K64" t="str">
        <f t="shared" ca="1" si="3"/>
        <v>Normal</v>
      </c>
      <c r="L64" t="s">
        <v>12</v>
      </c>
      <c r="M64" s="1">
        <v>755326</v>
      </c>
    </row>
    <row r="65" spans="6:6" x14ac:dyDescent="0.3">
      <c r="F65" s="5"/>
    </row>
  </sheetData>
  <autoFilter ref="A2:M64" xr:uid="{00000000-0009-0000-0000-000001000000}"/>
  <conditionalFormatting sqref="K1:K1048576">
    <cfRule type="containsText" dxfId="3" priority="1" operator="containsText" text="normal">
      <formula>NOT(ISERROR(SEARCH("normal",K1)))</formula>
    </cfRule>
    <cfRule type="containsText" dxfId="2" priority="2" operator="containsText" text="alerta">
      <formula>NOT(ISERROR(SEARCH("alerta",K1)))</formula>
    </cfRule>
  </conditionalFormatting>
  <conditionalFormatting sqref="K3:K64">
    <cfRule type="containsText" dxfId="1" priority="3" operator="containsText" text="riesgo">
      <formula>NOT(ISERROR(SEARCH("riesgo",K3)))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 Mora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Agroveca Chile</cp:lastModifiedBy>
  <dcterms:created xsi:type="dcterms:W3CDTF">2026-03-15T15:45:31Z</dcterms:created>
  <dcterms:modified xsi:type="dcterms:W3CDTF">2026-04-17T16:42:29Z</dcterms:modified>
</cp:coreProperties>
</file>