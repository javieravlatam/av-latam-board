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grov\OneDrive\Escritorio\"/>
    </mc:Choice>
  </mc:AlternateContent>
  <xr:revisionPtr revIDLastSave="0" documentId="13_ncr:1_{2B84826B-75B7-40B3-AC36-7DDB239C3BE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etalle" sheetId="6" r:id="rId1"/>
    <sheet name="Detalle Mora" sheetId="1" r:id="rId2"/>
  </sheets>
  <definedNames>
    <definedName name="_xlnm._FilterDatabase" localSheetId="1" hidden="1">'Detalle Mora'!$A$2:$M$65</definedName>
  </definedNames>
  <calcPr calcId="191029"/>
  <pivotCaches>
    <pivotCache cacheId="175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" i="1" l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3" i="1"/>
  <c r="F1" i="1" l="1"/>
  <c r="F64" i="1" l="1"/>
  <c r="J64" i="1" s="1"/>
  <c r="F65" i="1"/>
  <c r="F62" i="1"/>
  <c r="J62" i="1" s="1"/>
  <c r="F63" i="1"/>
  <c r="F61" i="1"/>
  <c r="J61" i="1" s="1"/>
  <c r="F59" i="1"/>
  <c r="J59" i="1" s="1"/>
  <c r="F60" i="1"/>
  <c r="F57" i="1"/>
  <c r="J57" i="1" s="1"/>
  <c r="F58" i="1"/>
  <c r="F55" i="1"/>
  <c r="J55" i="1" s="1"/>
  <c r="F56" i="1"/>
  <c r="F53" i="1"/>
  <c r="J53" i="1" s="1"/>
  <c r="F54" i="1"/>
  <c r="F51" i="1"/>
  <c r="F52" i="1"/>
  <c r="F50" i="1"/>
  <c r="F49" i="1"/>
  <c r="F48" i="1"/>
  <c r="F47" i="1"/>
  <c r="F46" i="1"/>
  <c r="F45" i="1"/>
  <c r="F44" i="1"/>
  <c r="F43" i="1"/>
  <c r="F42" i="1"/>
  <c r="F40" i="1"/>
  <c r="F41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5" i="1"/>
  <c r="F26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K3" i="1" s="1"/>
  <c r="K64" i="1" l="1"/>
  <c r="J65" i="1"/>
  <c r="K65" i="1"/>
  <c r="K62" i="1"/>
  <c r="J63" i="1"/>
  <c r="K63" i="1"/>
  <c r="K61" i="1"/>
  <c r="K59" i="1"/>
  <c r="J60" i="1"/>
  <c r="K60" i="1"/>
  <c r="K57" i="1"/>
  <c r="J58" i="1"/>
  <c r="K58" i="1"/>
  <c r="K55" i="1"/>
  <c r="J56" i="1"/>
  <c r="K56" i="1"/>
  <c r="K53" i="1"/>
  <c r="J54" i="1"/>
  <c r="K54" i="1"/>
  <c r="J50" i="1"/>
  <c r="K50" i="1"/>
  <c r="J52" i="1"/>
  <c r="K52" i="1"/>
  <c r="K51" i="1"/>
  <c r="J51" i="1"/>
  <c r="J49" i="1"/>
  <c r="K49" i="1"/>
  <c r="J48" i="1"/>
  <c r="K48" i="1"/>
  <c r="K47" i="1"/>
  <c r="J47" i="1"/>
  <c r="J46" i="1"/>
  <c r="K46" i="1"/>
  <c r="J45" i="1"/>
  <c r="K45" i="1"/>
  <c r="K44" i="1"/>
  <c r="J44" i="1"/>
  <c r="J43" i="1"/>
  <c r="K43" i="1"/>
  <c r="K33" i="1"/>
  <c r="J33" i="1"/>
  <c r="J34" i="1"/>
  <c r="K34" i="1"/>
  <c r="K32" i="1"/>
  <c r="J32" i="1"/>
  <c r="K35" i="1"/>
  <c r="J35" i="1"/>
  <c r="J36" i="1"/>
  <c r="K36" i="1"/>
  <c r="J30" i="1"/>
  <c r="K30" i="1"/>
  <c r="J27" i="1"/>
  <c r="K27" i="1"/>
  <c r="J24" i="1"/>
  <c r="K24" i="1"/>
  <c r="J25" i="1"/>
  <c r="K25" i="1"/>
  <c r="J29" i="1"/>
  <c r="K29" i="1"/>
  <c r="J28" i="1"/>
  <c r="K28" i="1"/>
  <c r="J26" i="1"/>
  <c r="K26" i="1"/>
  <c r="J31" i="1"/>
  <c r="K31" i="1"/>
  <c r="K18" i="1"/>
  <c r="J18" i="1"/>
  <c r="K11" i="1"/>
  <c r="J11" i="1"/>
  <c r="K10" i="1"/>
  <c r="J10" i="1"/>
  <c r="K12" i="1"/>
  <c r="J12" i="1"/>
  <c r="K16" i="1"/>
  <c r="J16" i="1"/>
  <c r="K23" i="1"/>
  <c r="J23" i="1"/>
  <c r="K9" i="1"/>
  <c r="J9" i="1"/>
  <c r="K14" i="1"/>
  <c r="J14" i="1"/>
  <c r="K21" i="1"/>
  <c r="J21" i="1"/>
  <c r="K13" i="1"/>
  <c r="J13" i="1"/>
  <c r="K17" i="1"/>
  <c r="J17" i="1"/>
  <c r="K20" i="1"/>
  <c r="J20" i="1"/>
  <c r="K8" i="1"/>
  <c r="J8" i="1"/>
  <c r="K15" i="1"/>
  <c r="J15" i="1"/>
  <c r="K19" i="1"/>
  <c r="J19" i="1"/>
  <c r="K22" i="1"/>
  <c r="J22" i="1"/>
  <c r="J3" i="1"/>
  <c r="K5" i="1"/>
  <c r="J5" i="1"/>
  <c r="K7" i="1"/>
  <c r="J7" i="1"/>
  <c r="K4" i="1"/>
  <c r="J4" i="1"/>
  <c r="K6" i="1"/>
  <c r="J6" i="1"/>
  <c r="J38" i="1" l="1"/>
  <c r="K38" i="1"/>
  <c r="J39" i="1"/>
  <c r="K39" i="1"/>
  <c r="J42" i="1"/>
  <c r="K42" i="1"/>
  <c r="J40" i="1"/>
  <c r="K40" i="1"/>
  <c r="J41" i="1"/>
  <c r="K41" i="1"/>
  <c r="J37" i="1"/>
  <c r="K37" i="1"/>
</calcChain>
</file>

<file path=xl/sharedStrings.xml><?xml version="1.0" encoding="utf-8"?>
<sst xmlns="http://schemas.openxmlformats.org/spreadsheetml/2006/main" count="475" uniqueCount="179">
  <si>
    <t>Rut</t>
  </si>
  <si>
    <t>Razón Social</t>
  </si>
  <si>
    <t>Vendedor</t>
  </si>
  <si>
    <t>Documento</t>
  </si>
  <si>
    <t>Número</t>
  </si>
  <si>
    <t>Total Doc</t>
  </si>
  <si>
    <t>11.673.695-0</t>
  </si>
  <si>
    <t>MAGALY DEL CARMEN ORELLANA PINO</t>
  </si>
  <si>
    <t>JORGE CAROCA</t>
  </si>
  <si>
    <t>Factura Electrónica</t>
  </si>
  <si>
    <t>17/10/2025</t>
  </si>
  <si>
    <t>15/02/2026</t>
  </si>
  <si>
    <t>Crédito</t>
  </si>
  <si>
    <t>17.272.914-2</t>
  </si>
  <si>
    <t>LEONARDO ENRIQUE OYARCE GENERAL</t>
  </si>
  <si>
    <t>FRANCISCO VELASQUEZ</t>
  </si>
  <si>
    <t>24/02/2026</t>
  </si>
  <si>
    <t>27/04/2026</t>
  </si>
  <si>
    <t>RODRIGO ENCINA</t>
  </si>
  <si>
    <t>05/03/2026</t>
  </si>
  <si>
    <t>OFICINA</t>
  </si>
  <si>
    <t>20/01/2026</t>
  </si>
  <si>
    <t>Contado</t>
  </si>
  <si>
    <t>6.725.491-0</t>
  </si>
  <si>
    <t>JOSE CRISTOBAL GONZALEZ CORREA</t>
  </si>
  <si>
    <t>10/02/2026</t>
  </si>
  <si>
    <t>12/03/2026</t>
  </si>
  <si>
    <t>04/03/2026</t>
  </si>
  <si>
    <t>10/03/2026</t>
  </si>
  <si>
    <t>PABLO LARATRO</t>
  </si>
  <si>
    <t>76.104.169-K</t>
  </si>
  <si>
    <t>AGRICOLA RIBERA LIMITADA</t>
  </si>
  <si>
    <t>13/01/2026</t>
  </si>
  <si>
    <t>15/01/2026</t>
  </si>
  <si>
    <t>30/03/2026</t>
  </si>
  <si>
    <t>06/04/2026</t>
  </si>
  <si>
    <t>12/01/2026</t>
  </si>
  <si>
    <t>76.442.085-3</t>
  </si>
  <si>
    <t>AGRICOLA TUNICHE LIMITADA</t>
  </si>
  <si>
    <t>20/03/2026</t>
  </si>
  <si>
    <t>77.135.740-7</t>
  </si>
  <si>
    <t>RAUL JOFRE Y COMPAQIA LIMITADA</t>
  </si>
  <si>
    <t>77.582.414-K</t>
  </si>
  <si>
    <t>AGROINSUMOS KULLIN</t>
  </si>
  <si>
    <t>22/01/2026</t>
  </si>
  <si>
    <t>JAVIER ALMEIDA</t>
  </si>
  <si>
    <t>9.501.614-6</t>
  </si>
  <si>
    <t>JUAN ENRIQUE VARGAS ALZAMORA</t>
  </si>
  <si>
    <t>Condición</t>
  </si>
  <si>
    <t>Vencimiento</t>
  </si>
  <si>
    <t>Emisión</t>
  </si>
  <si>
    <t>Días Mora</t>
  </si>
  <si>
    <t>Mes</t>
  </si>
  <si>
    <t>Total general</t>
  </si>
  <si>
    <t>Suma de Total Doc</t>
  </si>
  <si>
    <t>Tramo</t>
  </si>
  <si>
    <t>Estado</t>
  </si>
  <si>
    <t>76.428.021-0</t>
  </si>
  <si>
    <t>SOCIEDAD AGRICOLA TIERRA DE BACO LIMITADA</t>
  </si>
  <si>
    <t>77.598.960-2</t>
  </si>
  <si>
    <t>AGROCOMERCIAL Y GANADERA LOMA LARGA LIMITADA</t>
  </si>
  <si>
    <t>VALENTINA MUÑOZ</t>
  </si>
  <si>
    <t>17/03/2026</t>
  </si>
  <si>
    <t>12/04/2026</t>
  </si>
  <si>
    <t>24/04/2026</t>
  </si>
  <si>
    <t>05/01/2026</t>
  </si>
  <si>
    <t>29/03/2026</t>
  </si>
  <si>
    <t>06/01/2026</t>
  </si>
  <si>
    <t>08/01/2026</t>
  </si>
  <si>
    <t>08/04/2026</t>
  </si>
  <si>
    <t>09/04/2026</t>
  </si>
  <si>
    <t>15/12/2025</t>
  </si>
  <si>
    <t>11/12/2025</t>
  </si>
  <si>
    <t>04/02/2026</t>
  </si>
  <si>
    <t>07/01/2026</t>
  </si>
  <si>
    <t>06/03/2026</t>
  </si>
  <si>
    <t>11/04/2026</t>
  </si>
  <si>
    <t>Etiquetas de columna</t>
  </si>
  <si>
    <t>Etiquetas de fila</t>
  </si>
  <si>
    <t>16.247.441-3</t>
  </si>
  <si>
    <t>ROMINA DEL PILAR MACKENNA RIOS</t>
  </si>
  <si>
    <t>5.280.371-3</t>
  </si>
  <si>
    <t>JUAN FRANCISCO VARGAS MANCILLA</t>
  </si>
  <si>
    <t>76.826.270-5</t>
  </si>
  <si>
    <t>INVERSIONES DON FORTUNATO LTDA</t>
  </si>
  <si>
    <t>22/04/2026</t>
  </si>
  <si>
    <t>21/03/2026</t>
  </si>
  <si>
    <t>23/04/2026</t>
  </si>
  <si>
    <t>76.412.827-3</t>
  </si>
  <si>
    <t>FRUTICOLA RIO BLANCO SPA</t>
  </si>
  <si>
    <t>77.758.114-7</t>
  </si>
  <si>
    <t>SOCIEDAD AGRÍCOLA COMERCIAL SIEMBRA SPA</t>
  </si>
  <si>
    <t>79.673.320-9</t>
  </si>
  <si>
    <t>SOC AGRICOLA PALO ALTO LIMITADA</t>
  </si>
  <si>
    <t>30/04/2026</t>
  </si>
  <si>
    <t>23/02/2026</t>
  </si>
  <si>
    <t>29/01/2026</t>
  </si>
  <si>
    <t>15/04/2026</t>
  </si>
  <si>
    <t>7.036.820-K</t>
  </si>
  <si>
    <t>CARLOS GUILLERMO SOUPER URRA</t>
  </si>
  <si>
    <t>76.044.123-6</t>
  </si>
  <si>
    <t>AGRICOLA EL TOQUI LIMITADA</t>
  </si>
  <si>
    <t>76.756.815-0</t>
  </si>
  <si>
    <t>AGRICOLA SANTA INES DE MALLOA LIMITADA</t>
  </si>
  <si>
    <t>77.112.646-4</t>
  </si>
  <si>
    <t>AGRICOLA LAS VERTIENTES S.A.</t>
  </si>
  <si>
    <t>31/12/2025</t>
  </si>
  <si>
    <t>29/05/2026</t>
  </si>
  <si>
    <t>26/01/2026</t>
  </si>
  <si>
    <t>30/05/2026</t>
  </si>
  <si>
    <t>05/05/2026</t>
  </si>
  <si>
    <t>16/01/2026</t>
  </si>
  <si>
    <t>15/05/2026</t>
  </si>
  <si>
    <t>22/05/2026</t>
  </si>
  <si>
    <t>02/03/2026</t>
  </si>
  <si>
    <t>27/05/2026</t>
  </si>
  <si>
    <t>06/05/2026</t>
  </si>
  <si>
    <t>11/05/2026</t>
  </si>
  <si>
    <t>14/05/2026</t>
  </si>
  <si>
    <t>10.245.237-2</t>
  </si>
  <si>
    <t>MARCIA ELVIRA DUBO ORDENES</t>
  </si>
  <si>
    <t>12.785.502-1</t>
  </si>
  <si>
    <t>MANUEL REINALDO JARA ALCAINO</t>
  </si>
  <si>
    <t>15.631.913-9</t>
  </si>
  <si>
    <t>BENJAMIN ESTEBAN REYES BUSTAMANTE</t>
  </si>
  <si>
    <t>78.109.329-7</t>
  </si>
  <si>
    <t>SOCIEDAD COMERCIAL HIERBA BUENA LIMITADA</t>
  </si>
  <si>
    <t>78.333.172-1</t>
  </si>
  <si>
    <t>JARDIN VALENTINA FERNANDEZ EIRL</t>
  </si>
  <si>
    <t>RAYEN BERNAZAR</t>
  </si>
  <si>
    <t>JUAN PABLO NEIRA</t>
  </si>
  <si>
    <t>20/05/2026</t>
  </si>
  <si>
    <t>04/05/2026</t>
  </si>
  <si>
    <t>Abril</t>
  </si>
  <si>
    <t>12.784.690-1</t>
  </si>
  <si>
    <t>LUISA EUGENIA MOYA CANCINO</t>
  </si>
  <si>
    <t>13.304.290-3</t>
  </si>
  <si>
    <t>ANITA ANDREA SALGADO MUNOZ</t>
  </si>
  <si>
    <t>13.351.393-0</t>
  </si>
  <si>
    <t>JOSE ESTEBAN JARA ALCAINO</t>
  </si>
  <si>
    <t>76.060.025-3</t>
  </si>
  <si>
    <t>SOCIEDAD COMERCIAL APIFRUT LIMITADA</t>
  </si>
  <si>
    <t>76.073.818-2</t>
  </si>
  <si>
    <t>AGRICOLA LA ITALIANA LTDA</t>
  </si>
  <si>
    <t>76.552.164-5</t>
  </si>
  <si>
    <t>ANGELA MARIA DIAZ SCHMIDT AGRICOLA E.I.R.L.</t>
  </si>
  <si>
    <t>76.593.447-8</t>
  </si>
  <si>
    <t>AGRICOLA EDITH MARGARITA VASQUEZ OROZCO SPA</t>
  </si>
  <si>
    <t>76.824.920-2</t>
  </si>
  <si>
    <t>SOC AGRIC ENTRE PABLOS LTDA</t>
  </si>
  <si>
    <t>76.987.554-9</t>
  </si>
  <si>
    <t>AGRICOLA LAS MERCEDES SPA</t>
  </si>
  <si>
    <t>77.235.502-5</t>
  </si>
  <si>
    <t>AGRICOLA LOS CUATRO R LIMITADA</t>
  </si>
  <si>
    <t>77.317.590-K</t>
  </si>
  <si>
    <t>SOCIEDAD AGRICOLA SAN FRANCISCO LTDA</t>
  </si>
  <si>
    <t>77.755.591-K</t>
  </si>
  <si>
    <t>JARDIN PURA VIDA SPA</t>
  </si>
  <si>
    <t>81.669.200-8</t>
  </si>
  <si>
    <t>PONTIFICIA UNIVERSIDAD CATOLICA DE VALPARAISO</t>
  </si>
  <si>
    <t>99.591.310-0</t>
  </si>
  <si>
    <t>AGRICOLA LA FLORIDA S A</t>
  </si>
  <si>
    <t>IVAN VEVERKA</t>
  </si>
  <si>
    <t>EN TERRENO 1</t>
  </si>
  <si>
    <t>13/05/2026</t>
  </si>
  <si>
    <t>29/04/2025</t>
  </si>
  <si>
    <t>30/06/2026</t>
  </si>
  <si>
    <t>10/06/2026</t>
  </si>
  <si>
    <t>15/06/2026</t>
  </si>
  <si>
    <t>18/03/2026</t>
  </si>
  <si>
    <t>20/06/2026</t>
  </si>
  <si>
    <t>13/04/2026</t>
  </si>
  <si>
    <t>05/06/2026</t>
  </si>
  <si>
    <t>12/05/2026</t>
  </si>
  <si>
    <t>Enero</t>
  </si>
  <si>
    <t>Febrero</t>
  </si>
  <si>
    <t>Marzo</t>
  </si>
  <si>
    <t>Junio</t>
  </si>
  <si>
    <t>Mayo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</si>
</sst>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3" fontId="0" fillId="0" borderId="0" xfId="0" applyNumberFormat="1"/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4" fontId="1" fillId="3" borderId="1" xfId="0" applyNumberFormat="1" applyFont="1" applyFill="1" applyBorder="1" applyAlignment="1">
      <alignment horizontal="center"/>
    </xf>
    <xf numFmtId="1" fontId="0" fillId="0" borderId="0" xfId="0" applyNumberFormat="1"/>
    <xf numFmtId="14" fontId="1" fillId="4" borderId="0" xfId="0" applyNumberFormat="1" applyFont="1" applyFill="1" applyAlignment="1">
      <alignment horizontal="center"/>
    </xf>
    <xf numFmtId="0" fontId="0" fillId="0" borderId="0" xfId="0" applyAlignment="1">
      <alignment horizontal="left"/>
    </xf>
    <xf numFmtId="3" fontId="0" fillId="0" borderId="3" xfId="0" applyNumberFormat="1" applyBorder="1"/>
    <xf numFmtId="3" fontId="0" fillId="0" borderId="5" xfId="0" applyNumberFormat="1" applyBorder="1"/>
    <xf numFmtId="0" fontId="0" fillId="0" borderId="6" xfId="0" pivotButton="1" applyBorder="1"/>
    <xf numFmtId="0" fontId="0" fillId="0" borderId="7" xfId="0" applyBorder="1"/>
    <xf numFmtId="0" fontId="0" fillId="0" borderId="8" xfId="0" pivotButton="1" applyBorder="1"/>
    <xf numFmtId="0" fontId="0" fillId="0" borderId="4" xfId="0" applyBorder="1"/>
    <xf numFmtId="0" fontId="0" fillId="0" borderId="9" xfId="0" applyBorder="1"/>
    <xf numFmtId="0" fontId="0" fillId="0" borderId="5" xfId="0" applyBorder="1"/>
    <xf numFmtId="0" fontId="0" fillId="0" borderId="9" xfId="0" pivotButton="1" applyBorder="1"/>
    <xf numFmtId="0" fontId="0" fillId="0" borderId="3" xfId="0" applyBorder="1" applyAlignment="1">
      <alignment horizontal="left"/>
    </xf>
  </cellXfs>
  <cellStyles count="1">
    <cellStyle name="Normal" xfId="0" builtinId="0"/>
  </cellStyles>
  <dxfs count="20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groveca Chile" refreshedDate="46157.504357986109" createdVersion="8" refreshedVersion="8" minRefreshableVersion="3" recordCount="71" xr:uid="{82AEDEE6-5686-4A3A-8EFC-1A5BB8BDC375}">
  <cacheSource type="worksheet">
    <worksheetSource ref="A2:M1048576" sheet="Detalle Mora"/>
  </cacheSource>
  <cacheFields count="13">
    <cacheField name="Rut" numFmtId="0">
      <sharedItems containsBlank="1"/>
    </cacheField>
    <cacheField name="Razón Social" numFmtId="0">
      <sharedItems containsBlank="1"/>
    </cacheField>
    <cacheField name="Vendedor" numFmtId="0">
      <sharedItems containsBlank="1" count="11">
        <s v="PABLO LARATRO"/>
        <s v="JAVIER ALMEIDA"/>
        <s v="JORGE CAROCA"/>
        <s v="FRANCISCO VELASQUEZ"/>
        <s v="VALENTINA MUÑOZ"/>
        <s v="RODRIGO ENCINA"/>
        <s v="RAYEN BERNAZAR"/>
        <s v="OFICINA"/>
        <s v="IVAN VEVERKA"/>
        <s v="EN TERRENO 1"/>
        <m/>
      </sharedItems>
    </cacheField>
    <cacheField name="Documento" numFmtId="0">
      <sharedItems containsBlank="1"/>
    </cacheField>
    <cacheField name="Número" numFmtId="0">
      <sharedItems containsString="0" containsBlank="1" containsNumber="1" containsInteger="1" minValue="207" maxValue="663"/>
    </cacheField>
    <cacheField name="Días Mora" numFmtId="0">
      <sharedItems containsString="0" containsBlank="1" containsNumber="1" containsInteger="1" minValue="-46" maxValue="120"/>
    </cacheField>
    <cacheField name="Emisión" numFmtId="0">
      <sharedItems containsBlank="1"/>
    </cacheField>
    <cacheField name="Vencimiento" numFmtId="0">
      <sharedItems containsBlank="1"/>
    </cacheField>
    <cacheField name="Mes" numFmtId="0">
      <sharedItems containsBlank="1" count="7">
        <s v="Mayo"/>
        <s v="Marzo"/>
        <s v="Febrero"/>
        <s v="Junio"/>
        <s v="Abril"/>
        <s v="Enero"/>
        <m/>
      </sharedItems>
    </cacheField>
    <cacheField name="Tramo" numFmtId="0">
      <sharedItems containsBlank="1"/>
    </cacheField>
    <cacheField name="Estado" numFmtId="0">
      <sharedItems containsBlank="1"/>
    </cacheField>
    <cacheField name="Condición" numFmtId="0">
      <sharedItems containsBlank="1"/>
    </cacheField>
    <cacheField name="Total Doc" numFmtId="0">
      <sharedItems containsString="0" containsBlank="1" containsNumber="1" containsInteger="1" minValue="16560" maxValue="11439470" count="67">
        <n v="16560"/>
        <n v="368757"/>
        <n v="420001"/>
        <n v="358285"/>
        <n v="182047"/>
        <n v="953190"/>
        <n v="3668770"/>
        <n v="9791915"/>
        <n v="6349245"/>
        <n v="5092605"/>
        <n v="85976"/>
        <n v="314160"/>
        <n v="191995"/>
        <n v="387434"/>
        <n v="170259"/>
        <n v="170789"/>
        <n v="1051960"/>
        <n v="2560880"/>
        <n v="1205518"/>
        <n v="3652318"/>
        <n v="1256640"/>
        <n v="6374830"/>
        <n v="357000"/>
        <n v="1473696"/>
        <n v="773500"/>
        <n v="618800"/>
        <n v="2915500"/>
        <n v="2707250"/>
        <n v="2290750"/>
        <n v="1041250"/>
        <n v="1874250"/>
        <n v="833000"/>
        <n v="957950"/>
        <n v="162316"/>
        <n v="4619580"/>
        <n v="433413"/>
        <n v="892500"/>
        <n v="5389510"/>
        <n v="380800"/>
        <n v="207060"/>
        <n v="1975160"/>
        <n v="3163353"/>
        <n v="564436"/>
        <n v="239996"/>
        <n v="11439470"/>
        <n v="1490939"/>
        <n v="499300"/>
        <n v="111206"/>
        <n v="310709"/>
        <n v="2891224"/>
        <n v="863620"/>
        <n v="820000"/>
        <n v="863628"/>
        <n v="816160"/>
        <n v="114789"/>
        <n v="72055"/>
        <n v="495944"/>
        <n v="308297"/>
        <n v="72356"/>
        <n v="99990"/>
        <n v="87044"/>
        <n v="126140"/>
        <n v="824670"/>
        <n v="232050"/>
        <n v="1071000"/>
        <n v="683298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">
  <r>
    <s v="10.245.237-2"/>
    <s v="MARCIA ELVIRA DUBO ORDENES"/>
    <x v="0"/>
    <s v="Factura Electrónica"/>
    <n v="629"/>
    <n v="10"/>
    <s v="05/05/2026"/>
    <s v="05/05/2026"/>
    <x v="0"/>
    <s v="0-30"/>
    <s v="Normal"/>
    <s v="Contado"/>
    <x v="0"/>
  </r>
  <r>
    <s v="10.831.211-4"/>
    <s v="BRIGITTE ELENA PARDO CONTRERAS"/>
    <x v="1"/>
    <s v="Factura Electrónica"/>
    <n v="559"/>
    <n v="46"/>
    <s v="16/03/2026"/>
    <s v="30/03/2026"/>
    <x v="1"/>
    <s v="31-60"/>
    <s v="Alerta"/>
    <s v="Crédito"/>
    <x v="1"/>
  </r>
  <r>
    <s v="10.831.211-4"/>
    <s v="BRIGITTE ELENA PARDO CONTRERAS"/>
    <x v="1"/>
    <s v="Factura Electrónica"/>
    <n v="558"/>
    <n v="46"/>
    <s v="16/03/2026"/>
    <s v="30/03/2026"/>
    <x v="1"/>
    <s v="31-60"/>
    <s v="Alerta"/>
    <s v="Crédito"/>
    <x v="2"/>
  </r>
  <r>
    <s v="10.831.211-4"/>
    <s v="BRIGITTE ELENA PARDO CONTRERAS"/>
    <x v="1"/>
    <s v="Factura Electrónica"/>
    <n v="557"/>
    <n v="46"/>
    <s v="16/03/2026"/>
    <s v="30/03/2026"/>
    <x v="1"/>
    <s v="31-60"/>
    <s v="Alerta"/>
    <s v="Crédito"/>
    <x v="3"/>
  </r>
  <r>
    <s v="11.673.695-0"/>
    <s v="MAGALY DEL CARMEN ORELLANA PINO"/>
    <x v="2"/>
    <s v="Factura Electrónica"/>
    <n v="272"/>
    <n v="89"/>
    <s v="17/10/2025"/>
    <s v="15/02/2026"/>
    <x v="2"/>
    <s v="61-90"/>
    <s v="Riesgo"/>
    <s v="Crédito"/>
    <x v="4"/>
  </r>
  <r>
    <s v="12.784.690-1"/>
    <s v="LUISA EUGENIA MOYA CANCINO"/>
    <x v="3"/>
    <s v="Factura Electrónica"/>
    <n v="659"/>
    <n v="1"/>
    <s v="14/05/2026"/>
    <s v="14/05/2026"/>
    <x v="0"/>
    <s v="0-30"/>
    <s v="Normal"/>
    <s v="Contado"/>
    <x v="5"/>
  </r>
  <r>
    <s v="12.785.502-1"/>
    <s v="MANUEL REINALDO JARA ALCAINO"/>
    <x v="3"/>
    <s v="Factura Electrónica"/>
    <n v="652"/>
    <n v="2"/>
    <s v="13/05/2026"/>
    <s v="13/05/2026"/>
    <x v="0"/>
    <s v="0-30"/>
    <s v="Normal"/>
    <s v="Contado"/>
    <x v="6"/>
  </r>
  <r>
    <s v="13.304.290-3"/>
    <s v="ANITA ANDREA SALGADO MUNOZ"/>
    <x v="0"/>
    <s v="Factura Electrónica"/>
    <n v="207"/>
    <n v="-46"/>
    <s v="29/04/2025"/>
    <s v="30/06/2026"/>
    <x v="3"/>
    <s v="0-30"/>
    <s v="Normal"/>
    <s v="Crédito"/>
    <x v="7"/>
  </r>
  <r>
    <s v="13.351.393-0"/>
    <s v="JOSE ESTEBAN JARA ALCAINO"/>
    <x v="3"/>
    <s v="Factura Electrónica"/>
    <n v="645"/>
    <n v="4"/>
    <s v="11/05/2026"/>
    <s v="11/05/2026"/>
    <x v="0"/>
    <s v="0-30"/>
    <s v="Normal"/>
    <s v="Contado"/>
    <x v="8"/>
  </r>
  <r>
    <s v="15.631.913-9"/>
    <s v="BENJAMIN ESTEBAN REYES BUSTAMANTE"/>
    <x v="3"/>
    <s v="Factura Electrónica"/>
    <n v="631"/>
    <n v="-5"/>
    <s v="05/05/2026"/>
    <s v="20/05/2026"/>
    <x v="0"/>
    <s v="0-30"/>
    <s v="Normal"/>
    <s v="Crédito"/>
    <x v="9"/>
  </r>
  <r>
    <s v="16.247.441-3"/>
    <s v="ROMINA DEL PILAR MACKENNA RIOS"/>
    <x v="4"/>
    <s v="Factura Electrónica"/>
    <n v="614"/>
    <n v="23"/>
    <s v="22/04/2026"/>
    <s v="22/04/2026"/>
    <x v="4"/>
    <s v="0-30"/>
    <s v="Normal"/>
    <s v="Contado"/>
    <x v="10"/>
  </r>
  <r>
    <s v="17.272.914-2"/>
    <s v="LEONARDO ENRIQUE OYARCE GENERAL"/>
    <x v="3"/>
    <s v="Factura Electrónica"/>
    <n v="525"/>
    <n v="18"/>
    <s v="24/02/2026"/>
    <s v="27/04/2026"/>
    <x v="4"/>
    <s v="0-30"/>
    <s v="Normal"/>
    <s v="Crédito"/>
    <x v="11"/>
  </r>
  <r>
    <s v="17.504.838-3"/>
    <s v="ALUDI ALEJANDRA REYES PEREZ"/>
    <x v="5"/>
    <s v="Factura Electrónica"/>
    <n v="593"/>
    <n v="15"/>
    <s v="10/04/2026"/>
    <s v="30/04/2026"/>
    <x v="4"/>
    <s v="0-30"/>
    <s v="Normal"/>
    <s v="Crédito"/>
    <x v="12"/>
  </r>
  <r>
    <s v="18.919.219-3"/>
    <s v="FRANCO STEPHANO MASFERRER AGUIRRE"/>
    <x v="6"/>
    <s v="Factura Electrónica"/>
    <n v="633"/>
    <n v="10"/>
    <s v="05/05/2026"/>
    <s v="05/05/2026"/>
    <x v="0"/>
    <s v="0-30"/>
    <s v="Normal"/>
    <s v="Contado"/>
    <x v="13"/>
  </r>
  <r>
    <s v="5.280.371-3"/>
    <s v="JUAN FRANCISCO VARGAS MANCILLA"/>
    <x v="7"/>
    <s v="Factura Electrónica"/>
    <n v="453"/>
    <n v="55"/>
    <s v="20/01/2026"/>
    <s v="21/03/2026"/>
    <x v="1"/>
    <s v="31-60"/>
    <s v="Alerta"/>
    <s v="Crédito"/>
    <x v="14"/>
  </r>
  <r>
    <s v="6.725.491-0"/>
    <s v="JOSE CRISTOBAL GONZALEZ CORREA"/>
    <x v="5"/>
    <s v="Factura Electrónica"/>
    <n v="494"/>
    <n v="64"/>
    <s v="10/02/2026"/>
    <s v="12/03/2026"/>
    <x v="1"/>
    <s v="61-90"/>
    <s v="Riesgo"/>
    <s v="Crédito"/>
    <x v="15"/>
  </r>
  <r>
    <s v="7.036.820-K"/>
    <s v="CARLOS GUILLERMO SOUPER URRA"/>
    <x v="0"/>
    <s v="Factura Electrónica"/>
    <n v="394"/>
    <n v="-14"/>
    <s v="31/12/2025"/>
    <s v="29/05/2026"/>
    <x v="0"/>
    <s v="0-30"/>
    <s v="Normal"/>
    <s v="Crédito"/>
    <x v="16"/>
  </r>
  <r>
    <s v="7.036.820-K"/>
    <s v="CARLOS GUILLERMO SOUPER URRA"/>
    <x v="0"/>
    <s v="Factura Electrónica"/>
    <n v="469"/>
    <n v="-15"/>
    <s v="26/01/2026"/>
    <s v="30/05/2026"/>
    <x v="0"/>
    <s v="0-30"/>
    <s v="Normal"/>
    <s v="Crédito"/>
    <x v="17"/>
  </r>
  <r>
    <s v="76.044.123-6"/>
    <s v="AGRICOLA EL TOQUI LIMITADA"/>
    <x v="5"/>
    <s v="Factura Electrónica"/>
    <n v="611"/>
    <n v="-15"/>
    <s v="15/04/2026"/>
    <s v="30/05/2026"/>
    <x v="0"/>
    <s v="0-30"/>
    <s v="Normal"/>
    <s v="Crédito"/>
    <x v="18"/>
  </r>
  <r>
    <s v="76.044.123-6"/>
    <s v="AGRICOLA EL TOQUI LIMITADA"/>
    <x v="5"/>
    <s v="Factura Electrónica"/>
    <n v="610"/>
    <n v="-15"/>
    <s v="15/04/2026"/>
    <s v="30/05/2026"/>
    <x v="0"/>
    <s v="0-30"/>
    <s v="Normal"/>
    <s v="Crédito"/>
    <x v="19"/>
  </r>
  <r>
    <s v="76.044.123-6"/>
    <s v="AGRICOLA EL TOQUI LIMITADA"/>
    <x v="5"/>
    <s v="Factura Electrónica"/>
    <n v="572"/>
    <n v="-15"/>
    <s v="20/03/2026"/>
    <s v="30/05/2026"/>
    <x v="0"/>
    <s v="0-30"/>
    <s v="Normal"/>
    <s v="Crédito"/>
    <x v="20"/>
  </r>
  <r>
    <s v="76.060.025-3"/>
    <s v="SOCIEDAD COMERCIAL APIFRUT LIMITADA"/>
    <x v="3"/>
    <s v="Factura Electrónica"/>
    <n v="663"/>
    <n v="1"/>
    <s v="14/05/2026"/>
    <s v="14/05/2026"/>
    <x v="0"/>
    <s v="0-30"/>
    <s v="Normal"/>
    <s v="Contado"/>
    <x v="21"/>
  </r>
  <r>
    <s v="76.073.818-2"/>
    <s v="AGRICOLA LA ITALIANA LTDA"/>
    <x v="0"/>
    <s v="Factura Electrónica"/>
    <n v="502"/>
    <n v="-26"/>
    <s v="10/02/2026"/>
    <s v="10/06/2026"/>
    <x v="3"/>
    <s v="0-30"/>
    <s v="Normal"/>
    <s v="Crédito"/>
    <x v="22"/>
  </r>
  <r>
    <s v="76.104.169-K"/>
    <s v="AGRICOLA RIBERA LIMITADA"/>
    <x v="2"/>
    <s v="Factura Electrónica"/>
    <n v="425"/>
    <n v="120"/>
    <s v="13/01/2026"/>
    <s v="15/01/2026"/>
    <x v="5"/>
    <s v="+90"/>
    <s v="Crítico"/>
    <s v="Crédito"/>
    <x v="23"/>
  </r>
  <r>
    <s v="76.412.827-3"/>
    <s v="FRUTICOLA RIO BLANCO SPA"/>
    <x v="0"/>
    <s v="Factura Electrónica"/>
    <n v="598"/>
    <n v="15"/>
    <s v="12/04/2026"/>
    <s v="30/04/2026"/>
    <x v="4"/>
    <s v="0-30"/>
    <s v="Normal"/>
    <s v="Crédito"/>
    <x v="24"/>
  </r>
  <r>
    <s v="76.412.827-3"/>
    <s v="FRUTICOLA RIO BLANCO SPA"/>
    <x v="0"/>
    <s v="Factura Electrónica"/>
    <n v="599"/>
    <n v="15"/>
    <s v="12/04/2026"/>
    <s v="30/04/2026"/>
    <x v="4"/>
    <s v="0-30"/>
    <s v="Normal"/>
    <s v="Crédito"/>
    <x v="25"/>
  </r>
  <r>
    <s v="76.428.021-0"/>
    <s v="SOCIEDAD AGRICOLA TIERRA DE BACO LIMITADA"/>
    <x v="2"/>
    <s v="Factura Electrónica"/>
    <n v="439"/>
    <n v="59"/>
    <s v="05/01/2026"/>
    <s v="17/03/2026"/>
    <x v="1"/>
    <s v="31-60"/>
    <s v="Alerta"/>
    <s v="Crédito"/>
    <x v="26"/>
  </r>
  <r>
    <s v="76.428.021-0"/>
    <s v="SOCIEDAD AGRICOLA TIERRA DE BACO LIMITADA"/>
    <x v="5"/>
    <s v="Factura Electrónica"/>
    <n v="440"/>
    <n v="47"/>
    <s v="05/01/2026"/>
    <s v="29/03/2026"/>
    <x v="1"/>
    <s v="31-60"/>
    <s v="Alerta"/>
    <s v="Crédito"/>
    <x v="27"/>
  </r>
  <r>
    <s v="76.428.021-0"/>
    <s v="SOCIEDAD AGRICOLA TIERRA DE BACO LIMITADA"/>
    <x v="5"/>
    <s v="Factura Electrónica"/>
    <n v="438"/>
    <n v="39"/>
    <s v="06/01/2026"/>
    <s v="06/04/2026"/>
    <x v="4"/>
    <s v="31-60"/>
    <s v="Alerta"/>
    <s v="Crédito"/>
    <x v="28"/>
  </r>
  <r>
    <s v="76.428.021-0"/>
    <s v="SOCIEDAD AGRICOLA TIERRA DE BACO LIMITADA"/>
    <x v="5"/>
    <s v="Factura Electrónica"/>
    <n v="437"/>
    <n v="37"/>
    <s v="08/01/2026"/>
    <s v="08/04/2026"/>
    <x v="4"/>
    <s v="31-60"/>
    <s v="Alerta"/>
    <s v="Crédito"/>
    <x v="29"/>
  </r>
  <r>
    <s v="76.428.021-0"/>
    <s v="SOCIEDAD AGRICOLA TIERRA DE BACO LIMITADA"/>
    <x v="2"/>
    <s v="Factura Electrónica"/>
    <n v="436"/>
    <n v="36"/>
    <s v="12/01/2026"/>
    <s v="09/04/2026"/>
    <x v="4"/>
    <s v="31-60"/>
    <s v="Alerta"/>
    <s v="Crédito"/>
    <x v="30"/>
  </r>
  <r>
    <s v="76.428.021-0"/>
    <s v="SOCIEDAD AGRICOLA TIERRA DE BACO LIMITADA"/>
    <x v="5"/>
    <s v="Factura Electrónica"/>
    <n v="562"/>
    <n v="-31"/>
    <s v="17/03/2026"/>
    <s v="15/06/2026"/>
    <x v="3"/>
    <s v="0-30"/>
    <s v="Normal"/>
    <s v="Crédito"/>
    <x v="31"/>
  </r>
  <r>
    <s v="76.428.021-0"/>
    <s v="SOCIEDAD AGRICOLA TIERRA DE BACO LIMITADA"/>
    <x v="5"/>
    <s v="Factura Electrónica"/>
    <n v="566"/>
    <n v="-36"/>
    <s v="18/03/2026"/>
    <s v="20/06/2026"/>
    <x v="3"/>
    <s v="0-30"/>
    <s v="Normal"/>
    <s v="Crédito"/>
    <x v="32"/>
  </r>
  <r>
    <s v="76.442.085-3"/>
    <s v="AGRICOLA TUNICHE LIMITADA"/>
    <x v="5"/>
    <s v="Factura Electrónica"/>
    <n v="545"/>
    <n v="56"/>
    <s v="05/03/2026"/>
    <s v="20/03/2026"/>
    <x v="1"/>
    <s v="31-60"/>
    <s v="Alerta"/>
    <s v="Crédito"/>
    <x v="33"/>
  </r>
  <r>
    <s v="76.552.164-5"/>
    <s v="ANGELA MARIA DIAZ SCHMIDT AGRICOLA E.I.R.L."/>
    <x v="8"/>
    <s v="Factura Electrónica"/>
    <n v="654"/>
    <n v="-15"/>
    <s v="13/05/2026"/>
    <s v="30/05/2026"/>
    <x v="0"/>
    <s v="0-30"/>
    <s v="Normal"/>
    <s v="Crédito"/>
    <x v="34"/>
  </r>
  <r>
    <s v="76.593.447-8"/>
    <s v="AGRICOLA EDITH MARGARITA VASQUEZ OROZCO SPA"/>
    <x v="9"/>
    <s v="Factura Electrónica"/>
    <n v="604"/>
    <n v="-21"/>
    <s v="13/04/2026"/>
    <s v="05/06/2026"/>
    <x v="3"/>
    <s v="0-30"/>
    <s v="Normal"/>
    <s v="Crédito"/>
    <x v="35"/>
  </r>
  <r>
    <s v="76.756.815-0"/>
    <s v="AGRICOLA SANTA INES DE MALLOA LIMITADA"/>
    <x v="0"/>
    <s v="Factura Electrónica"/>
    <n v="443"/>
    <n v="0"/>
    <s v="16/01/2026"/>
    <s v="15/05/2026"/>
    <x v="0"/>
    <s v="0-30"/>
    <s v="Normal"/>
    <s v="Crédito"/>
    <x v="36"/>
  </r>
  <r>
    <s v="76.824.920-2"/>
    <s v="SOC AGRIC ENTRE PABLOS LTDA"/>
    <x v="3"/>
    <s v="Factura Electrónica"/>
    <n v="658"/>
    <n v="-15"/>
    <s v="14/05/2026"/>
    <s v="30/05/2026"/>
    <x v="0"/>
    <s v="0-30"/>
    <s v="Normal"/>
    <s v="Crédito"/>
    <x v="37"/>
  </r>
  <r>
    <s v="76.826.270-5"/>
    <s v="INVERSIONES DON FORTUNATO LTDA"/>
    <x v="3"/>
    <s v="Factura Electrónica"/>
    <n v="619"/>
    <n v="21"/>
    <s v="24/04/2026"/>
    <s v="24/04/2026"/>
    <x v="4"/>
    <s v="0-30"/>
    <s v="Normal"/>
    <s v="Contado"/>
    <x v="38"/>
  </r>
  <r>
    <s v="76.987.554-9"/>
    <s v="AGRICOLA LAS MERCEDES SPA"/>
    <x v="0"/>
    <s v="Factura Electrónica"/>
    <n v="662"/>
    <n v="1"/>
    <s v="14/05/2026"/>
    <s v="14/05/2026"/>
    <x v="0"/>
    <s v="0-30"/>
    <s v="Normal"/>
    <s v="Contado"/>
    <x v="39"/>
  </r>
  <r>
    <s v="77.112.646-4"/>
    <s v="AGRICOLA LAS VERTIENTES S.A."/>
    <x v="5"/>
    <s v="Factura Electrónica"/>
    <n v="491"/>
    <n v="-7"/>
    <s v="04/02/2026"/>
    <s v="22/05/2026"/>
    <x v="0"/>
    <s v="0-30"/>
    <s v="Normal"/>
    <s v="Crédito"/>
    <x v="40"/>
  </r>
  <r>
    <s v="77.112.646-4"/>
    <s v="AGRICOLA LAS VERTIENTES S.A."/>
    <x v="5"/>
    <s v="Factura Electrónica"/>
    <n v="492"/>
    <n v="-7"/>
    <s v="04/02/2026"/>
    <s v="22/05/2026"/>
    <x v="0"/>
    <s v="0-30"/>
    <s v="Normal"/>
    <s v="Crédito"/>
    <x v="41"/>
  </r>
  <r>
    <s v="77.135.740-7"/>
    <s v="RAUL JOFRE Y COMPAQIA LIMITADA"/>
    <x v="5"/>
    <s v="Factura Electrónica"/>
    <n v="535"/>
    <n v="-12"/>
    <s v="02/03/2026"/>
    <s v="27/05/2026"/>
    <x v="0"/>
    <s v="0-30"/>
    <s v="Normal"/>
    <s v="Crédito"/>
    <x v="42"/>
  </r>
  <r>
    <s v="77.135.740-7"/>
    <s v="RAUL JOFRE Y COMPAQIA LIMITADA"/>
    <x v="5"/>
    <s v="Factura Electrónica"/>
    <n v="616"/>
    <n v="-46"/>
    <s v="23/04/2026"/>
    <s v="30/06/2026"/>
    <x v="3"/>
    <s v="0-30"/>
    <s v="Normal"/>
    <s v="Crédito"/>
    <x v="43"/>
  </r>
  <r>
    <s v="77.235.502-5"/>
    <s v="AGRICOLA LOS CUATRO R LIMITADA"/>
    <x v="3"/>
    <s v="Factura Electrónica"/>
    <n v="660"/>
    <n v="-15"/>
    <s v="14/05/2026"/>
    <s v="30/05/2026"/>
    <x v="0"/>
    <s v="0-30"/>
    <s v="Normal"/>
    <s v="Crédito"/>
    <x v="44"/>
  </r>
  <r>
    <s v="77.317.590-K"/>
    <s v="SOCIEDAD AGRICOLA SAN FRANCISCO LTDA"/>
    <x v="5"/>
    <s v="Factura Electrónica"/>
    <n v="477"/>
    <n v="-46"/>
    <s v="29/01/2026"/>
    <s v="30/06/2026"/>
    <x v="3"/>
    <s v="0-30"/>
    <s v="Normal"/>
    <s v="Crédito"/>
    <x v="45"/>
  </r>
  <r>
    <s v="77.582.414-K"/>
    <s v="AGROINSUMOS KULLIN"/>
    <x v="0"/>
    <s v="Factura Electrónica"/>
    <n v="416"/>
    <n v="113"/>
    <s v="12/01/2026"/>
    <s v="22/01/2026"/>
    <x v="5"/>
    <s v="+90"/>
    <s v="Crítico"/>
    <s v="Crédito"/>
    <x v="46"/>
  </r>
  <r>
    <s v="77.582.414-K"/>
    <s v="AGROINSUMOS KULLIN"/>
    <x v="0"/>
    <s v="Factura Electrónica"/>
    <n v="415"/>
    <n v="113"/>
    <s v="12/01/2026"/>
    <s v="22/01/2026"/>
    <x v="5"/>
    <s v="+90"/>
    <s v="Crítico"/>
    <s v="Crédito"/>
    <x v="47"/>
  </r>
  <r>
    <s v="77.582.414-K"/>
    <s v="AGROINSUMOS KULLIN"/>
    <x v="0"/>
    <s v="Factura Electrónica"/>
    <n v="414"/>
    <n v="113"/>
    <s v="12/01/2026"/>
    <s v="22/01/2026"/>
    <x v="5"/>
    <s v="+90"/>
    <s v="Crítico"/>
    <s v="Crédito"/>
    <x v="48"/>
  </r>
  <r>
    <s v="77.598.960-2"/>
    <s v="AGROCOMERCIAL Y GANADERA LOMA LARGA LIMITADA"/>
    <x v="0"/>
    <s v="Factura Electrónica"/>
    <n v="354"/>
    <n v="100"/>
    <s v="15/12/2025"/>
    <s v="04/02/2026"/>
    <x v="2"/>
    <s v="+90"/>
    <s v="Crítico"/>
    <s v="Crédito"/>
    <x v="49"/>
  </r>
  <r>
    <s v="77.598.960-2"/>
    <s v="AGROCOMERCIAL Y GANADERA LOMA LARGA LIMITADA"/>
    <x v="0"/>
    <s v="Factura Electrónica"/>
    <n v="341"/>
    <n v="94"/>
    <s v="11/12/2025"/>
    <s v="10/02/2026"/>
    <x v="2"/>
    <s v="+90"/>
    <s v="Crítico"/>
    <s v="Crédito"/>
    <x v="50"/>
  </r>
  <r>
    <s v="77.598.960-2"/>
    <s v="AGROCOMERCIAL Y GANADERA LOMA LARGA LIMITADA"/>
    <x v="0"/>
    <s v="Factura Electrónica"/>
    <n v="354"/>
    <n v="72"/>
    <s v="15/12/2025"/>
    <s v="04/03/2026"/>
    <x v="1"/>
    <s v="61-90"/>
    <s v="Riesgo"/>
    <s v="Crédito"/>
    <x v="49"/>
  </r>
  <r>
    <s v="77.598.960-2"/>
    <s v="AGROCOMERCIAL Y GANADERA LOMA LARGA LIMITADA"/>
    <x v="8"/>
    <s v="Factura Electrónica"/>
    <n v="403"/>
    <n v="70"/>
    <s v="07/01/2026"/>
    <s v="06/03/2026"/>
    <x v="1"/>
    <s v="61-90"/>
    <s v="Riesgo"/>
    <s v="Crédito"/>
    <x v="51"/>
  </r>
  <r>
    <s v="77.598.960-2"/>
    <s v="AGROCOMERCIAL Y GANADERA LOMA LARGA LIMITADA"/>
    <x v="0"/>
    <s v="Factura Electrónica"/>
    <n v="341"/>
    <n v="66"/>
    <s v="11/12/2025"/>
    <s v="10/03/2026"/>
    <x v="1"/>
    <s v="61-90"/>
    <s v="Riesgo"/>
    <s v="Crédito"/>
    <x v="52"/>
  </r>
  <r>
    <s v="77.598.960-2"/>
    <s v="AGROCOMERCIAL Y GANADERA LOMA LARGA LIMITADA"/>
    <x v="8"/>
    <s v="Factura Electrónica"/>
    <n v="403"/>
    <n v="39"/>
    <s v="07/01/2026"/>
    <s v="06/04/2026"/>
    <x v="4"/>
    <s v="31-60"/>
    <s v="Alerta"/>
    <s v="Crédito"/>
    <x v="51"/>
  </r>
  <r>
    <s v="77.598.960-2"/>
    <s v="AGROCOMERCIAL Y GANADERA LOMA LARGA LIMITADA"/>
    <x v="8"/>
    <s v="Factura Electrónica"/>
    <n v="403"/>
    <n v="9"/>
    <s v="07/01/2026"/>
    <s v="06/05/2026"/>
    <x v="0"/>
    <s v="0-30"/>
    <s v="Normal"/>
    <s v="Crédito"/>
    <x v="53"/>
  </r>
  <r>
    <s v="77.755.591-K"/>
    <s v="JARDIN PURA VIDA SPA"/>
    <x v="6"/>
    <s v="Factura Electrónica"/>
    <n v="647"/>
    <n v="3"/>
    <s v="12/05/2026"/>
    <s v="12/05/2026"/>
    <x v="0"/>
    <s v="0-30"/>
    <s v="Normal"/>
    <s v="Contado"/>
    <x v="54"/>
  </r>
  <r>
    <s v="77.758.114-7"/>
    <s v="SOCIEDAD AGRÍCOLA COMERCIAL SIEMBRA SPA"/>
    <x v="5"/>
    <s v="Factura Electrónica"/>
    <n v="480"/>
    <n v="46"/>
    <s v="29/01/2026"/>
    <s v="30/03/2026"/>
    <x v="1"/>
    <s v="31-60"/>
    <s v="Alerta"/>
    <s v="Crédito"/>
    <x v="55"/>
  </r>
  <r>
    <s v="77.758.114-7"/>
    <s v="SOCIEDAD AGRÍCOLA COMERCIAL SIEMBRA SPA"/>
    <x v="5"/>
    <s v="Factura Electrónica"/>
    <n v="479"/>
    <n v="15"/>
    <s v="29/01/2026"/>
    <s v="30/04/2026"/>
    <x v="4"/>
    <s v="0-30"/>
    <s v="Normal"/>
    <s v="Crédito"/>
    <x v="56"/>
  </r>
  <r>
    <s v="77.758.114-7"/>
    <s v="SOCIEDAD AGRÍCOLA COMERCIAL SIEMBRA SPA"/>
    <x v="5"/>
    <s v="Factura Electrónica"/>
    <n v="518"/>
    <n v="-15"/>
    <s v="23/02/2026"/>
    <s v="30/05/2026"/>
    <x v="0"/>
    <s v="0-30"/>
    <s v="Normal"/>
    <s v="Crédito"/>
    <x v="39"/>
  </r>
  <r>
    <s v="78.109.329-7"/>
    <s v="SOCIEDAD COMERCIAL HIERBA BUENA LIMITADA"/>
    <x v="6"/>
    <s v="Factura Electrónica"/>
    <n v="626"/>
    <n v="11"/>
    <s v="04/05/2026"/>
    <s v="04/05/2026"/>
    <x v="0"/>
    <s v="0-30"/>
    <s v="Normal"/>
    <s v="Contado"/>
    <x v="57"/>
  </r>
  <r>
    <s v="78.109.329-7"/>
    <s v="SOCIEDAD COMERCIAL HIERBA BUENA LIMITADA"/>
    <x v="6"/>
    <s v="Factura Electrónica"/>
    <n v="634"/>
    <n v="10"/>
    <s v="05/05/2026"/>
    <s v="05/05/2026"/>
    <x v="0"/>
    <s v="0-30"/>
    <s v="Normal"/>
    <s v="Contado"/>
    <x v="58"/>
  </r>
  <r>
    <s v="78.109.329-7"/>
    <s v="SOCIEDAD COMERCIAL HIERBA BUENA LIMITADA"/>
    <x v="6"/>
    <s v="Factura Electrónica"/>
    <n v="638"/>
    <n v="9"/>
    <s v="06/05/2026"/>
    <s v="06/05/2026"/>
    <x v="0"/>
    <s v="0-30"/>
    <s v="Normal"/>
    <s v="Contado"/>
    <x v="59"/>
  </r>
  <r>
    <s v="78.333.172-1"/>
    <s v="JARDIN VALENTINA FERNANDEZ EIRL"/>
    <x v="6"/>
    <s v="Factura Electrónica"/>
    <n v="636"/>
    <n v="10"/>
    <s v="05/05/2026"/>
    <s v="05/05/2026"/>
    <x v="0"/>
    <s v="0-30"/>
    <s v="Normal"/>
    <s v="Contado"/>
    <x v="60"/>
  </r>
  <r>
    <s v="78.542.250-3"/>
    <s v="INVERSIONES ALFARO E INFANTE LTDA"/>
    <x v="3"/>
    <s v="Factura Electrónica"/>
    <n v="554"/>
    <n v="65"/>
    <s v="11/03/2026"/>
    <s v="11/03/2026"/>
    <x v="1"/>
    <s v="61-90"/>
    <s v="Riesgo"/>
    <s v="Contado"/>
    <x v="61"/>
  </r>
  <r>
    <s v="79.673.320-9"/>
    <s v="SOC AGRICOLA PALO ALTO LIMITADA"/>
    <x v="0"/>
    <s v="Factura Electrónica"/>
    <n v="608"/>
    <n v="15"/>
    <s v="15/04/2026"/>
    <s v="30/04/2026"/>
    <x v="4"/>
    <s v="0-30"/>
    <s v="Normal"/>
    <s v="Crédito"/>
    <x v="62"/>
  </r>
  <r>
    <s v="81.669.200-8"/>
    <s v="PONTIFICIA UNIVERSIDAD CATOLICA DE VALPARAISO"/>
    <x v="3"/>
    <s v="Factura Electrónica"/>
    <n v="650"/>
    <n v="-31"/>
    <s v="12/05/2026"/>
    <s v="15/06/2026"/>
    <x v="3"/>
    <s v="0-30"/>
    <s v="Normal"/>
    <s v="Crédito"/>
    <x v="63"/>
  </r>
  <r>
    <s v="9.501.614-6"/>
    <s v="JUAN ENRIQUE VARGAS ALZAMORA"/>
    <x v="3"/>
    <s v="Factura Electrónica"/>
    <n v="602"/>
    <n v="34"/>
    <s v="12/04/2026"/>
    <s v="11/04/2026"/>
    <x v="4"/>
    <s v="31-60"/>
    <s v="Alerta"/>
    <s v="Crédito"/>
    <x v="64"/>
  </r>
  <r>
    <s v="99.591.310-0"/>
    <s v="AGRICOLA LA FLORIDA S A"/>
    <x v="3"/>
    <s v="Factura Electrónica"/>
    <n v="661"/>
    <n v="-5"/>
    <s v="14/05/2026"/>
    <s v="20/05/2026"/>
    <x v="0"/>
    <s v="0-30"/>
    <s v="Normal"/>
    <s v="Crédito"/>
    <x v="65"/>
  </r>
  <r>
    <m/>
    <m/>
    <x v="10"/>
    <m/>
    <m/>
    <m/>
    <m/>
    <m/>
    <x v="6"/>
    <m/>
    <m/>
    <m/>
    <x v="66"/>
  </r>
  <r>
    <m/>
    <m/>
    <x v="10"/>
    <m/>
    <m/>
    <m/>
    <m/>
    <m/>
    <x v="6"/>
    <m/>
    <m/>
    <m/>
    <x v="6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75E5E3-1EA1-4E12-ABB9-372E5B40C3E9}" name="TablaDinámica1" cacheId="17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2:H14" firstHeaderRow="1" firstDataRow="2" firstDataCol="1"/>
  <pivotFields count="13">
    <pivotField showAll="0"/>
    <pivotField showAll="0"/>
    <pivotField axis="axisRow" showAll="0">
      <items count="12">
        <item x="9"/>
        <item x="3"/>
        <item x="8"/>
        <item x="1"/>
        <item x="2"/>
        <item x="7"/>
        <item x="0"/>
        <item x="6"/>
        <item x="5"/>
        <item x="4"/>
        <item x="10"/>
        <item t="default"/>
      </items>
    </pivotField>
    <pivotField showAll="0"/>
    <pivotField showAll="0"/>
    <pivotField showAll="0"/>
    <pivotField showAll="0"/>
    <pivotField showAll="0"/>
    <pivotField axis="axisCol" showAll="0">
      <items count="8">
        <item x="5"/>
        <item x="2"/>
        <item x="1"/>
        <item x="4"/>
        <item x="0"/>
        <item x="3"/>
        <item h="1" x="6"/>
        <item t="default"/>
      </items>
    </pivotField>
    <pivotField showAll="0"/>
    <pivotField showAll="0"/>
    <pivotField showAll="0"/>
    <pivotField dataField="1" showAll="0">
      <items count="68">
        <item x="0"/>
        <item x="55"/>
        <item x="58"/>
        <item x="10"/>
        <item x="60"/>
        <item x="59"/>
        <item x="47"/>
        <item x="54"/>
        <item x="61"/>
        <item x="33"/>
        <item x="14"/>
        <item x="15"/>
        <item x="4"/>
        <item x="12"/>
        <item x="39"/>
        <item x="63"/>
        <item x="43"/>
        <item x="57"/>
        <item x="48"/>
        <item x="11"/>
        <item x="22"/>
        <item x="3"/>
        <item x="1"/>
        <item x="38"/>
        <item x="13"/>
        <item x="2"/>
        <item x="35"/>
        <item x="56"/>
        <item x="46"/>
        <item x="42"/>
        <item x="25"/>
        <item x="65"/>
        <item x="24"/>
        <item x="53"/>
        <item x="51"/>
        <item x="62"/>
        <item x="31"/>
        <item x="50"/>
        <item x="52"/>
        <item x="36"/>
        <item x="5"/>
        <item x="32"/>
        <item x="29"/>
        <item x="16"/>
        <item x="64"/>
        <item x="18"/>
        <item x="20"/>
        <item x="23"/>
        <item x="45"/>
        <item x="30"/>
        <item x="40"/>
        <item x="28"/>
        <item x="17"/>
        <item x="27"/>
        <item x="49"/>
        <item x="26"/>
        <item x="41"/>
        <item x="19"/>
        <item x="6"/>
        <item x="34"/>
        <item x="9"/>
        <item x="37"/>
        <item x="8"/>
        <item x="21"/>
        <item x="7"/>
        <item x="44"/>
        <item x="66"/>
        <item t="default"/>
      </items>
    </pivotField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8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a de Total Doc" fld="12" baseField="0" baseItem="0" numFmtId="3"/>
  </dataFields>
  <formats count="17">
    <format dxfId="19">
      <pivotArea outline="0" collapsedLevelsAreSubtotals="1" fieldPosition="0"/>
    </format>
    <format dxfId="18">
      <pivotArea outline="0" collapsedLevelsAreSubtotals="1" fieldPosition="0"/>
    </format>
    <format dxfId="17">
      <pivotArea type="origin" dataOnly="0" labelOnly="1" outline="0" fieldPosition="0"/>
    </format>
    <format dxfId="16">
      <pivotArea field="8" type="button" dataOnly="0" labelOnly="1" outline="0" axis="axisCol" fieldPosition="0"/>
    </format>
    <format dxfId="15">
      <pivotArea type="topRight" dataOnly="0" labelOnly="1" outline="0" fieldPosition="0"/>
    </format>
    <format dxfId="14">
      <pivotArea field="2" type="button" dataOnly="0" labelOnly="1" outline="0" axis="axisRow" fieldPosition="0"/>
    </format>
    <format dxfId="13">
      <pivotArea dataOnly="0" labelOnly="1" fieldPosition="0">
        <references count="1">
          <reference field="8" count="0"/>
        </references>
      </pivotArea>
    </format>
    <format dxfId="12">
      <pivotArea dataOnly="0" labelOnly="1" grandCol="1" outline="0" fieldPosition="0"/>
    </format>
    <format dxfId="11">
      <pivotArea type="topRight" dataOnly="0" labelOnly="1" outline="0" offset="F1" fieldPosition="0"/>
    </format>
    <format dxfId="10">
      <pivotArea dataOnly="0" labelOnly="1" grandCol="1" outline="0" fieldPosition="0"/>
    </format>
    <format dxfId="9">
      <pivotArea type="topRight" dataOnly="0" labelOnly="1" outline="0" offset="D1" fieldPosition="0"/>
    </format>
    <format dxfId="8">
      <pivotArea dataOnly="0" labelOnly="1" fieldPosition="0">
        <references count="1">
          <reference field="8" count="1">
            <x v="4"/>
          </reference>
        </references>
      </pivotArea>
    </format>
    <format dxfId="7">
      <pivotArea type="topRight" dataOnly="0" labelOnly="1" outline="0" offset="B1" fieldPosition="0"/>
    </format>
    <format dxfId="6">
      <pivotArea dataOnly="0" labelOnly="1" fieldPosition="0">
        <references count="1">
          <reference field="8" count="1">
            <x v="2"/>
          </reference>
        </references>
      </pivotArea>
    </format>
    <format dxfId="5">
      <pivotArea field="8" type="button" dataOnly="0" labelOnly="1" outline="0" axis="axisCol" fieldPosition="0"/>
    </format>
    <format dxfId="4">
      <pivotArea dataOnly="0" labelOnly="1" fieldPosition="0">
        <references count="1">
          <reference field="8" count="1">
            <x v="0"/>
          </reference>
        </references>
      </pivotArea>
    </format>
    <format dxfId="3">
      <pivotArea dataOnly="0" labelOnly="1" grandRow="1" outline="0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07997-B9F6-4407-B043-7132D660C94D}">
  <dimension ref="A2:H14"/>
  <sheetViews>
    <sheetView workbookViewId="0">
      <selection activeCell="D19" sqref="D19"/>
    </sheetView>
  </sheetViews>
  <sheetFormatPr baseColWidth="10" defaultRowHeight="15.6" x14ac:dyDescent="0.3"/>
  <cols>
    <col min="1" max="1" width="20.3984375" bestFit="1" customWidth="1"/>
    <col min="2" max="2" width="21.296875" bestFit="1" customWidth="1"/>
    <col min="3" max="3" width="8.8984375" bestFit="1" customWidth="1"/>
    <col min="4" max="7" width="9.8984375" bestFit="1" customWidth="1"/>
    <col min="8" max="8" width="12" bestFit="1" customWidth="1"/>
    <col min="9" max="9" width="7.8984375" bestFit="1" customWidth="1"/>
    <col min="10" max="10" width="12.19921875" bestFit="1" customWidth="1"/>
    <col min="11" max="11" width="8.09765625" bestFit="1" customWidth="1"/>
    <col min="12" max="20" width="6.8984375" bestFit="1" customWidth="1"/>
    <col min="21" max="23" width="7.8984375" bestFit="1" customWidth="1"/>
    <col min="24" max="24" width="11" bestFit="1" customWidth="1"/>
    <col min="25" max="25" width="6.796875" bestFit="1" customWidth="1"/>
    <col min="26" max="33" width="6.8984375" bestFit="1" customWidth="1"/>
    <col min="34" max="37" width="7.8984375" bestFit="1" customWidth="1"/>
    <col min="38" max="38" width="9.69921875" bestFit="1" customWidth="1"/>
    <col min="39" max="39" width="7.5" bestFit="1" customWidth="1"/>
    <col min="40" max="42" width="5.8984375" bestFit="1" customWidth="1"/>
    <col min="43" max="51" width="6.8984375" bestFit="1" customWidth="1"/>
    <col min="52" max="64" width="7.8984375" bestFit="1" customWidth="1"/>
    <col min="65" max="65" width="8.8984375" bestFit="1" customWidth="1"/>
    <col min="66" max="66" width="10.3984375" bestFit="1" customWidth="1"/>
    <col min="67" max="67" width="7.19921875" bestFit="1" customWidth="1"/>
    <col min="68" max="72" width="6.8984375" bestFit="1" customWidth="1"/>
    <col min="73" max="74" width="7.8984375" bestFit="1" customWidth="1"/>
    <col min="75" max="75" width="10.09765625" bestFit="1" customWidth="1"/>
    <col min="76" max="76" width="11.8984375" bestFit="1" customWidth="1"/>
  </cols>
  <sheetData>
    <row r="2" spans="1:8" x14ac:dyDescent="0.3">
      <c r="A2" s="10" t="s">
        <v>54</v>
      </c>
      <c r="B2" s="16" t="s">
        <v>77</v>
      </c>
      <c r="C2" s="11"/>
      <c r="D2" s="14"/>
      <c r="E2" s="11"/>
      <c r="F2" s="14"/>
      <c r="G2" s="11"/>
      <c r="H2" s="14"/>
    </row>
    <row r="3" spans="1:8" x14ac:dyDescent="0.3">
      <c r="A3" s="12" t="s">
        <v>78</v>
      </c>
      <c r="B3" s="15" t="s">
        <v>174</v>
      </c>
      <c r="C3" s="13" t="s">
        <v>175</v>
      </c>
      <c r="D3" s="15" t="s">
        <v>176</v>
      </c>
      <c r="E3" s="13" t="s">
        <v>133</v>
      </c>
      <c r="F3" s="15" t="s">
        <v>178</v>
      </c>
      <c r="G3" s="13" t="s">
        <v>177</v>
      </c>
      <c r="H3" s="15" t="s">
        <v>53</v>
      </c>
    </row>
    <row r="4" spans="1:8" x14ac:dyDescent="0.3">
      <c r="A4" s="7" t="s">
        <v>163</v>
      </c>
      <c r="B4" s="9"/>
      <c r="C4" s="9"/>
      <c r="D4" s="9"/>
      <c r="E4" s="9"/>
      <c r="F4" s="9"/>
      <c r="G4" s="9">
        <v>433413</v>
      </c>
      <c r="H4" s="9">
        <v>433413</v>
      </c>
    </row>
    <row r="5" spans="1:8" x14ac:dyDescent="0.3">
      <c r="A5" s="7" t="s">
        <v>15</v>
      </c>
      <c r="B5" s="8"/>
      <c r="C5" s="8"/>
      <c r="D5" s="8">
        <v>126140</v>
      </c>
      <c r="E5" s="8">
        <v>1765960</v>
      </c>
      <c r="F5" s="8">
        <v>39950918</v>
      </c>
      <c r="G5" s="8">
        <v>232050</v>
      </c>
      <c r="H5" s="8">
        <v>42075068</v>
      </c>
    </row>
    <row r="6" spans="1:8" x14ac:dyDescent="0.3">
      <c r="A6" s="7" t="s">
        <v>162</v>
      </c>
      <c r="B6" s="8"/>
      <c r="C6" s="8"/>
      <c r="D6" s="8">
        <v>820000</v>
      </c>
      <c r="E6" s="8">
        <v>820000</v>
      </c>
      <c r="F6" s="8">
        <v>5435740</v>
      </c>
      <c r="G6" s="8"/>
      <c r="H6" s="8">
        <v>7075740</v>
      </c>
    </row>
    <row r="7" spans="1:8" x14ac:dyDescent="0.3">
      <c r="A7" s="7" t="s">
        <v>45</v>
      </c>
      <c r="B7" s="8"/>
      <c r="C7" s="8"/>
      <c r="D7" s="8">
        <v>1147043</v>
      </c>
      <c r="E7" s="8"/>
      <c r="F7" s="8"/>
      <c r="G7" s="8"/>
      <c r="H7" s="8">
        <v>1147043</v>
      </c>
    </row>
    <row r="8" spans="1:8" x14ac:dyDescent="0.3">
      <c r="A8" s="7" t="s">
        <v>8</v>
      </c>
      <c r="B8" s="8">
        <v>1473696</v>
      </c>
      <c r="C8" s="8">
        <v>182047</v>
      </c>
      <c r="D8" s="8">
        <v>2915500</v>
      </c>
      <c r="E8" s="8">
        <v>1874250</v>
      </c>
      <c r="F8" s="8"/>
      <c r="G8" s="8"/>
      <c r="H8" s="8">
        <v>6445493</v>
      </c>
    </row>
    <row r="9" spans="1:8" x14ac:dyDescent="0.3">
      <c r="A9" s="7" t="s">
        <v>20</v>
      </c>
      <c r="B9" s="8"/>
      <c r="C9" s="8"/>
      <c r="D9" s="8">
        <v>170259</v>
      </c>
      <c r="E9" s="8"/>
      <c r="F9" s="8"/>
      <c r="G9" s="8"/>
      <c r="H9" s="8">
        <v>170259</v>
      </c>
    </row>
    <row r="10" spans="1:8" x14ac:dyDescent="0.3">
      <c r="A10" s="7" t="s">
        <v>29</v>
      </c>
      <c r="B10" s="8">
        <v>921215</v>
      </c>
      <c r="C10" s="8">
        <v>3754844</v>
      </c>
      <c r="D10" s="8">
        <v>3754852</v>
      </c>
      <c r="E10" s="8">
        <v>2216970</v>
      </c>
      <c r="F10" s="8">
        <v>4728960</v>
      </c>
      <c r="G10" s="8">
        <v>10148915</v>
      </c>
      <c r="H10" s="8">
        <v>25525756</v>
      </c>
    </row>
    <row r="11" spans="1:8" x14ac:dyDescent="0.3">
      <c r="A11" s="7" t="s">
        <v>129</v>
      </c>
      <c r="B11" s="8"/>
      <c r="C11" s="8"/>
      <c r="D11" s="8"/>
      <c r="E11" s="8"/>
      <c r="F11" s="8">
        <v>1069910</v>
      </c>
      <c r="G11" s="8"/>
      <c r="H11" s="8">
        <v>1069910</v>
      </c>
    </row>
    <row r="12" spans="1:8" x14ac:dyDescent="0.3">
      <c r="A12" s="7" t="s">
        <v>18</v>
      </c>
      <c r="B12" s="8"/>
      <c r="C12" s="8"/>
      <c r="D12" s="8">
        <v>3112410</v>
      </c>
      <c r="E12" s="8">
        <v>4019939</v>
      </c>
      <c r="F12" s="8">
        <v>12024485</v>
      </c>
      <c r="G12" s="8">
        <v>3521885</v>
      </c>
      <c r="H12" s="8">
        <v>22678719</v>
      </c>
    </row>
    <row r="13" spans="1:8" x14ac:dyDescent="0.3">
      <c r="A13" s="7" t="s">
        <v>61</v>
      </c>
      <c r="B13" s="8"/>
      <c r="C13" s="8"/>
      <c r="D13" s="8"/>
      <c r="E13" s="8">
        <v>85976</v>
      </c>
      <c r="F13" s="8"/>
      <c r="G13" s="8"/>
      <c r="H13" s="8">
        <v>85976</v>
      </c>
    </row>
    <row r="14" spans="1:8" x14ac:dyDescent="0.3">
      <c r="A14" s="17" t="s">
        <v>53</v>
      </c>
      <c r="B14" s="8">
        <v>2394911</v>
      </c>
      <c r="C14" s="8">
        <v>3936891</v>
      </c>
      <c r="D14" s="8">
        <v>12046204</v>
      </c>
      <c r="E14" s="8">
        <v>10783095</v>
      </c>
      <c r="F14" s="8">
        <v>63210013</v>
      </c>
      <c r="G14" s="8">
        <v>14336263</v>
      </c>
      <c r="H14" s="8">
        <v>106707377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5"/>
  <sheetViews>
    <sheetView tabSelected="1" zoomScale="80" zoomScaleNormal="80" workbookViewId="0">
      <pane ySplit="1" topLeftCell="A2" activePane="bottomLeft" state="frozen"/>
      <selection activeCell="B1" sqref="B1"/>
      <selection pane="bottomLeft" activeCell="F16" sqref="F16"/>
    </sheetView>
  </sheetViews>
  <sheetFormatPr baseColWidth="10" defaultRowHeight="15.6" x14ac:dyDescent="0.3"/>
  <cols>
    <col min="1" max="1" width="12.69921875" customWidth="1"/>
    <col min="2" max="2" width="46.296875" customWidth="1"/>
    <col min="3" max="3" width="22.59765625" customWidth="1"/>
    <col min="4" max="4" width="18.19921875" customWidth="1"/>
    <col min="5" max="5" width="7.69921875" bestFit="1" customWidth="1"/>
    <col min="6" max="6" width="12.8984375" customWidth="1"/>
    <col min="7" max="7" width="14.19921875" customWidth="1"/>
    <col min="8" max="8" width="16.796875" bestFit="1" customWidth="1"/>
    <col min="9" max="9" width="11.19921875" customWidth="1"/>
    <col min="11" max="11" width="12.8984375" customWidth="1"/>
    <col min="12" max="12" width="10.8984375" customWidth="1"/>
    <col min="13" max="13" width="11.796875" customWidth="1"/>
  </cols>
  <sheetData>
    <row r="1" spans="1:13" ht="16.2" thickBot="1" x14ac:dyDescent="0.35">
      <c r="F1" s="4">
        <f ca="1">TODAY()</f>
        <v>46159</v>
      </c>
      <c r="K1" s="6"/>
    </row>
    <row r="2" spans="1:13" ht="16.2" thickBot="1" x14ac:dyDescent="0.35">
      <c r="A2" s="3" t="s">
        <v>0</v>
      </c>
      <c r="B2" s="3" t="s">
        <v>1</v>
      </c>
      <c r="C2" s="2" t="s">
        <v>2</v>
      </c>
      <c r="D2" s="3" t="s">
        <v>3</v>
      </c>
      <c r="E2" s="2" t="s">
        <v>4</v>
      </c>
      <c r="F2" s="2" t="s">
        <v>51</v>
      </c>
      <c r="G2" s="3" t="s">
        <v>50</v>
      </c>
      <c r="H2" s="2" t="s">
        <v>49</v>
      </c>
      <c r="I2" s="3" t="s">
        <v>52</v>
      </c>
      <c r="J2" s="3" t="s">
        <v>55</v>
      </c>
      <c r="K2" s="2" t="s">
        <v>56</v>
      </c>
      <c r="L2" s="3" t="s">
        <v>48</v>
      </c>
      <c r="M2" s="3" t="s">
        <v>5</v>
      </c>
    </row>
    <row r="3" spans="1:13" x14ac:dyDescent="0.3">
      <c r="A3" t="s">
        <v>119</v>
      </c>
      <c r="B3" t="s">
        <v>120</v>
      </c>
      <c r="C3" t="s">
        <v>29</v>
      </c>
      <c r="D3" t="s">
        <v>9</v>
      </c>
      <c r="E3">
        <v>629</v>
      </c>
      <c r="F3" s="5">
        <f ca="1">F1-H3</f>
        <v>12</v>
      </c>
      <c r="G3" t="s">
        <v>110</v>
      </c>
      <c r="H3" t="s">
        <v>110</v>
      </c>
      <c r="I3" t="str">
        <f>PROPER(TEXT(H3,"mmmm"))</f>
        <v>Mayo</v>
      </c>
      <c r="J3" t="str">
        <f t="shared" ref="J3:J31" ca="1" si="0">IF(F3="","",IF(F3&lt;=30,"0-30",IF(F3&lt;=60,"31-60",IF(F3&lt;=90,"61-90","+90"))))</f>
        <v>0-30</v>
      </c>
      <c r="K3" t="str">
        <f ca="1">IF(F3="","",IF(F3&lt;=30,"Normal",IF(F3&lt;=60,"Alerta",IF(F3&lt;=90,"Riesgo","Crítico"))))</f>
        <v>Normal</v>
      </c>
      <c r="L3" t="s">
        <v>22</v>
      </c>
      <c r="M3" s="1">
        <v>16560</v>
      </c>
    </row>
    <row r="4" spans="1:13" x14ac:dyDescent="0.3">
      <c r="A4" t="s">
        <v>6</v>
      </c>
      <c r="B4" t="s">
        <v>7</v>
      </c>
      <c r="C4" t="s">
        <v>8</v>
      </c>
      <c r="D4" t="s">
        <v>9</v>
      </c>
      <c r="E4">
        <v>272</v>
      </c>
      <c r="F4" s="5">
        <f ca="1">F1-H4</f>
        <v>91</v>
      </c>
      <c r="G4" t="s">
        <v>10</v>
      </c>
      <c r="H4" t="s">
        <v>11</v>
      </c>
      <c r="I4" t="str">
        <f t="shared" ref="I4:I61" si="1">PROPER(TEXT(H4,"mmmm"))</f>
        <v>Febrero</v>
      </c>
      <c r="J4" t="str">
        <f t="shared" ca="1" si="0"/>
        <v>+90</v>
      </c>
      <c r="K4" t="str">
        <f t="shared" ref="K4:K31" ca="1" si="2">IF(F4="","",IF(F4&lt;=30,"Normal",IF(F4&lt;=60,"Alerta",IF(F4&lt;=90,"Riesgo","Crítico"))))</f>
        <v>Crítico</v>
      </c>
      <c r="L4" t="s">
        <v>12</v>
      </c>
      <c r="M4" s="1">
        <v>182047</v>
      </c>
    </row>
    <row r="5" spans="1:13" x14ac:dyDescent="0.3">
      <c r="A5" t="s">
        <v>134</v>
      </c>
      <c r="B5" t="s">
        <v>135</v>
      </c>
      <c r="C5" t="s">
        <v>15</v>
      </c>
      <c r="D5" t="s">
        <v>9</v>
      </c>
      <c r="E5">
        <v>659</v>
      </c>
      <c r="F5" s="5">
        <f ca="1">F1-H5</f>
        <v>3</v>
      </c>
      <c r="G5" t="s">
        <v>118</v>
      </c>
      <c r="H5" t="s">
        <v>118</v>
      </c>
      <c r="I5" t="str">
        <f t="shared" si="1"/>
        <v>Mayo</v>
      </c>
      <c r="J5" t="str">
        <f t="shared" ca="1" si="0"/>
        <v>0-30</v>
      </c>
      <c r="K5" t="str">
        <f t="shared" ca="1" si="2"/>
        <v>Normal</v>
      </c>
      <c r="L5" t="s">
        <v>22</v>
      </c>
      <c r="M5" s="1">
        <v>953190</v>
      </c>
    </row>
    <row r="6" spans="1:13" x14ac:dyDescent="0.3">
      <c r="A6" t="s">
        <v>121</v>
      </c>
      <c r="B6" t="s">
        <v>122</v>
      </c>
      <c r="C6" t="s">
        <v>15</v>
      </c>
      <c r="D6" t="s">
        <v>9</v>
      </c>
      <c r="E6">
        <v>652</v>
      </c>
      <c r="F6" s="5">
        <f ca="1">F1-H6</f>
        <v>4</v>
      </c>
      <c r="G6" t="s">
        <v>164</v>
      </c>
      <c r="H6" t="s">
        <v>164</v>
      </c>
      <c r="I6" t="str">
        <f t="shared" si="1"/>
        <v>Mayo</v>
      </c>
      <c r="J6" t="str">
        <f t="shared" ca="1" si="0"/>
        <v>0-30</v>
      </c>
      <c r="K6" t="str">
        <f t="shared" ca="1" si="2"/>
        <v>Normal</v>
      </c>
      <c r="L6" t="s">
        <v>22</v>
      </c>
      <c r="M6" s="1">
        <v>3668770</v>
      </c>
    </row>
    <row r="7" spans="1:13" x14ac:dyDescent="0.3">
      <c r="A7" t="s">
        <v>136</v>
      </c>
      <c r="B7" t="s">
        <v>137</v>
      </c>
      <c r="C7" t="s">
        <v>29</v>
      </c>
      <c r="D7" t="s">
        <v>9</v>
      </c>
      <c r="E7">
        <v>207</v>
      </c>
      <c r="F7" s="5">
        <f ca="1">F1-H7</f>
        <v>-44</v>
      </c>
      <c r="G7" t="s">
        <v>165</v>
      </c>
      <c r="H7" t="s">
        <v>166</v>
      </c>
      <c r="I7" t="str">
        <f t="shared" si="1"/>
        <v>Junio</v>
      </c>
      <c r="J7" t="str">
        <f t="shared" ca="1" si="0"/>
        <v>0-30</v>
      </c>
      <c r="K7" t="str">
        <f t="shared" ca="1" si="2"/>
        <v>Normal</v>
      </c>
      <c r="L7" t="s">
        <v>12</v>
      </c>
      <c r="M7" s="1">
        <v>9791915</v>
      </c>
    </row>
    <row r="8" spans="1:13" x14ac:dyDescent="0.3">
      <c r="A8" t="s">
        <v>138</v>
      </c>
      <c r="B8" t="s">
        <v>139</v>
      </c>
      <c r="C8" t="s">
        <v>15</v>
      </c>
      <c r="D8" t="s">
        <v>9</v>
      </c>
      <c r="E8">
        <v>645</v>
      </c>
      <c r="F8" s="5">
        <f ca="1">F1-H8</f>
        <v>6</v>
      </c>
      <c r="G8" t="s">
        <v>117</v>
      </c>
      <c r="H8" t="s">
        <v>117</v>
      </c>
      <c r="I8" t="str">
        <f t="shared" si="1"/>
        <v>Mayo</v>
      </c>
      <c r="J8" t="str">
        <f ca="1">IF(F8="","",IF(F8&lt;=30,"0-30",IF(F8&lt;=60,"31-60",IF(F8&lt;=90,"61-90","+90"))))</f>
        <v>0-30</v>
      </c>
      <c r="K8" t="str">
        <f t="shared" ca="1" si="2"/>
        <v>Normal</v>
      </c>
      <c r="L8" t="s">
        <v>22</v>
      </c>
      <c r="M8" s="1">
        <v>6349245</v>
      </c>
    </row>
    <row r="9" spans="1:13" x14ac:dyDescent="0.3">
      <c r="A9" t="s">
        <v>123</v>
      </c>
      <c r="B9" t="s">
        <v>124</v>
      </c>
      <c r="C9" t="s">
        <v>15</v>
      </c>
      <c r="D9" t="s">
        <v>9</v>
      </c>
      <c r="E9">
        <v>631</v>
      </c>
      <c r="F9" s="5">
        <f ca="1">F1-H9</f>
        <v>-3</v>
      </c>
      <c r="G9" t="s">
        <v>110</v>
      </c>
      <c r="H9" t="s">
        <v>131</v>
      </c>
      <c r="I9" t="str">
        <f t="shared" si="1"/>
        <v>Mayo</v>
      </c>
      <c r="J9" t="str">
        <f t="shared" ca="1" si="0"/>
        <v>0-30</v>
      </c>
      <c r="K9" t="str">
        <f t="shared" ca="1" si="2"/>
        <v>Normal</v>
      </c>
      <c r="L9" t="s">
        <v>12</v>
      </c>
      <c r="M9" s="1">
        <v>5092605</v>
      </c>
    </row>
    <row r="10" spans="1:13" x14ac:dyDescent="0.3">
      <c r="A10" t="s">
        <v>79</v>
      </c>
      <c r="B10" t="s">
        <v>80</v>
      </c>
      <c r="C10" t="s">
        <v>61</v>
      </c>
      <c r="D10" t="s">
        <v>9</v>
      </c>
      <c r="E10">
        <v>614</v>
      </c>
      <c r="F10" s="5">
        <f ca="1">F1-H10</f>
        <v>25</v>
      </c>
      <c r="G10" t="s">
        <v>85</v>
      </c>
      <c r="H10" t="s">
        <v>85</v>
      </c>
      <c r="I10" t="str">
        <f t="shared" si="1"/>
        <v>Abril</v>
      </c>
      <c r="J10" t="str">
        <f t="shared" ca="1" si="0"/>
        <v>0-30</v>
      </c>
      <c r="K10" t="str">
        <f ca="1">IF(F10="","",IF(F10&lt;=30,"Normal",IF(F10&lt;=60,"Alerta",IF(F10&lt;=90,"Riesgo","Crítico"))))</f>
        <v>Normal</v>
      </c>
      <c r="L10" t="s">
        <v>22</v>
      </c>
      <c r="M10" s="1">
        <v>85976</v>
      </c>
    </row>
    <row r="11" spans="1:13" x14ac:dyDescent="0.3">
      <c r="A11" t="s">
        <v>13</v>
      </c>
      <c r="B11" t="s">
        <v>14</v>
      </c>
      <c r="C11" t="s">
        <v>15</v>
      </c>
      <c r="D11" t="s">
        <v>9</v>
      </c>
      <c r="E11">
        <v>525</v>
      </c>
      <c r="F11" s="5">
        <f ca="1">F1-H11</f>
        <v>20</v>
      </c>
      <c r="G11" t="s">
        <v>16</v>
      </c>
      <c r="H11" t="s">
        <v>17</v>
      </c>
      <c r="I11" t="str">
        <f t="shared" si="1"/>
        <v>Abril</v>
      </c>
      <c r="J11" t="str">
        <f t="shared" ca="1" si="0"/>
        <v>0-30</v>
      </c>
      <c r="K11" t="str">
        <f t="shared" ca="1" si="2"/>
        <v>Normal</v>
      </c>
      <c r="L11" t="s">
        <v>12</v>
      </c>
      <c r="M11" s="1">
        <v>314160</v>
      </c>
    </row>
    <row r="12" spans="1:13" x14ac:dyDescent="0.3">
      <c r="A12" t="s">
        <v>81</v>
      </c>
      <c r="B12" t="s">
        <v>82</v>
      </c>
      <c r="C12" t="s">
        <v>20</v>
      </c>
      <c r="D12" t="s">
        <v>9</v>
      </c>
      <c r="E12">
        <v>453</v>
      </c>
      <c r="F12" s="5">
        <f ca="1">F1-H12</f>
        <v>57</v>
      </c>
      <c r="G12" t="s">
        <v>21</v>
      </c>
      <c r="H12" t="s">
        <v>86</v>
      </c>
      <c r="I12" t="str">
        <f t="shared" si="1"/>
        <v>Marzo</v>
      </c>
      <c r="J12" t="str">
        <f t="shared" ca="1" si="0"/>
        <v>31-60</v>
      </c>
      <c r="K12" t="str">
        <f t="shared" ca="1" si="2"/>
        <v>Alerta</v>
      </c>
      <c r="L12" t="s">
        <v>12</v>
      </c>
      <c r="M12" s="1">
        <v>170259</v>
      </c>
    </row>
    <row r="13" spans="1:13" x14ac:dyDescent="0.3">
      <c r="A13" t="s">
        <v>23</v>
      </c>
      <c r="B13" t="s">
        <v>24</v>
      </c>
      <c r="C13" t="s">
        <v>18</v>
      </c>
      <c r="D13" t="s">
        <v>9</v>
      </c>
      <c r="E13">
        <v>494</v>
      </c>
      <c r="F13" s="5">
        <f ca="1">F1-H13</f>
        <v>66</v>
      </c>
      <c r="G13" t="s">
        <v>25</v>
      </c>
      <c r="H13" t="s">
        <v>26</v>
      </c>
      <c r="I13" t="str">
        <f t="shared" si="1"/>
        <v>Marzo</v>
      </c>
      <c r="J13" t="str">
        <f t="shared" ca="1" si="0"/>
        <v>61-90</v>
      </c>
      <c r="K13" t="str">
        <f t="shared" ca="1" si="2"/>
        <v>Riesgo</v>
      </c>
      <c r="L13" t="s">
        <v>12</v>
      </c>
      <c r="M13" s="1">
        <v>170789</v>
      </c>
    </row>
    <row r="14" spans="1:13" x14ac:dyDescent="0.3">
      <c r="A14" t="s">
        <v>98</v>
      </c>
      <c r="B14" t="s">
        <v>99</v>
      </c>
      <c r="C14" t="s">
        <v>29</v>
      </c>
      <c r="D14" t="s">
        <v>9</v>
      </c>
      <c r="E14">
        <v>394</v>
      </c>
      <c r="F14" s="5">
        <f ca="1">F1-H14</f>
        <v>-12</v>
      </c>
      <c r="G14" t="s">
        <v>106</v>
      </c>
      <c r="H14" t="s">
        <v>107</v>
      </c>
      <c r="I14" t="str">
        <f t="shared" si="1"/>
        <v>Mayo</v>
      </c>
      <c r="J14" t="str">
        <f t="shared" ca="1" si="0"/>
        <v>0-30</v>
      </c>
      <c r="K14" t="str">
        <f t="shared" ca="1" si="2"/>
        <v>Normal</v>
      </c>
      <c r="L14" t="s">
        <v>12</v>
      </c>
      <c r="M14" s="1">
        <v>1051960</v>
      </c>
    </row>
    <row r="15" spans="1:13" x14ac:dyDescent="0.3">
      <c r="A15" t="s">
        <v>98</v>
      </c>
      <c r="B15" t="s">
        <v>99</v>
      </c>
      <c r="C15" t="s">
        <v>29</v>
      </c>
      <c r="D15" t="s">
        <v>9</v>
      </c>
      <c r="E15">
        <v>469</v>
      </c>
      <c r="F15" s="5">
        <f ca="1">F1-H15</f>
        <v>-13</v>
      </c>
      <c r="G15" t="s">
        <v>108</v>
      </c>
      <c r="H15" t="s">
        <v>109</v>
      </c>
      <c r="I15" t="str">
        <f t="shared" si="1"/>
        <v>Mayo</v>
      </c>
      <c r="J15" t="str">
        <f t="shared" ca="1" si="0"/>
        <v>0-30</v>
      </c>
      <c r="K15" t="str">
        <f t="shared" ca="1" si="2"/>
        <v>Normal</v>
      </c>
      <c r="L15" t="s">
        <v>12</v>
      </c>
      <c r="M15" s="1">
        <v>2560880</v>
      </c>
    </row>
    <row r="16" spans="1:13" x14ac:dyDescent="0.3">
      <c r="A16" t="s">
        <v>100</v>
      </c>
      <c r="B16" t="s">
        <v>101</v>
      </c>
      <c r="C16" t="s">
        <v>18</v>
      </c>
      <c r="D16" t="s">
        <v>9</v>
      </c>
      <c r="E16">
        <v>611</v>
      </c>
      <c r="F16" s="5">
        <f ca="1">F1-H16</f>
        <v>-13</v>
      </c>
      <c r="G16" t="s">
        <v>97</v>
      </c>
      <c r="H16" t="s">
        <v>109</v>
      </c>
      <c r="I16" t="str">
        <f t="shared" si="1"/>
        <v>Mayo</v>
      </c>
      <c r="J16" t="str">
        <f t="shared" ca="1" si="0"/>
        <v>0-30</v>
      </c>
      <c r="K16" t="str">
        <f t="shared" ca="1" si="2"/>
        <v>Normal</v>
      </c>
      <c r="L16" t="s">
        <v>12</v>
      </c>
      <c r="M16" s="1">
        <v>1205518</v>
      </c>
    </row>
    <row r="17" spans="1:13" x14ac:dyDescent="0.3">
      <c r="A17" t="s">
        <v>100</v>
      </c>
      <c r="B17" t="s">
        <v>101</v>
      </c>
      <c r="C17" t="s">
        <v>18</v>
      </c>
      <c r="D17" t="s">
        <v>9</v>
      </c>
      <c r="E17">
        <v>610</v>
      </c>
      <c r="F17" s="5">
        <f ca="1">F1-H17</f>
        <v>-13</v>
      </c>
      <c r="G17" t="s">
        <v>97</v>
      </c>
      <c r="H17" t="s">
        <v>109</v>
      </c>
      <c r="I17" t="str">
        <f t="shared" si="1"/>
        <v>Mayo</v>
      </c>
      <c r="J17" t="str">
        <f t="shared" ca="1" si="0"/>
        <v>0-30</v>
      </c>
      <c r="K17" t="str">
        <f t="shared" ca="1" si="2"/>
        <v>Normal</v>
      </c>
      <c r="L17" t="s">
        <v>12</v>
      </c>
      <c r="M17" s="1">
        <v>3652318</v>
      </c>
    </row>
    <row r="18" spans="1:13" x14ac:dyDescent="0.3">
      <c r="A18" t="s">
        <v>100</v>
      </c>
      <c r="B18" t="s">
        <v>101</v>
      </c>
      <c r="C18" t="s">
        <v>18</v>
      </c>
      <c r="D18" t="s">
        <v>9</v>
      </c>
      <c r="E18">
        <v>572</v>
      </c>
      <c r="F18" s="5">
        <f ca="1">F1-H18</f>
        <v>-13</v>
      </c>
      <c r="G18" t="s">
        <v>39</v>
      </c>
      <c r="H18" t="s">
        <v>109</v>
      </c>
      <c r="I18" t="str">
        <f t="shared" si="1"/>
        <v>Mayo</v>
      </c>
      <c r="J18" t="str">
        <f t="shared" ca="1" si="0"/>
        <v>0-30</v>
      </c>
      <c r="K18" t="str">
        <f t="shared" ca="1" si="2"/>
        <v>Normal</v>
      </c>
      <c r="L18" t="s">
        <v>12</v>
      </c>
      <c r="M18" s="1">
        <v>1256640</v>
      </c>
    </row>
    <row r="19" spans="1:13" x14ac:dyDescent="0.3">
      <c r="A19" t="s">
        <v>140</v>
      </c>
      <c r="B19" t="s">
        <v>141</v>
      </c>
      <c r="C19" t="s">
        <v>15</v>
      </c>
      <c r="D19" t="s">
        <v>9</v>
      </c>
      <c r="E19">
        <v>663</v>
      </c>
      <c r="F19" s="5">
        <f ca="1">F1-H19</f>
        <v>3</v>
      </c>
      <c r="G19" t="s">
        <v>118</v>
      </c>
      <c r="H19" t="s">
        <v>118</v>
      </c>
      <c r="I19" t="str">
        <f t="shared" si="1"/>
        <v>Mayo</v>
      </c>
      <c r="J19" t="str">
        <f t="shared" ca="1" si="0"/>
        <v>0-30</v>
      </c>
      <c r="K19" t="str">
        <f t="shared" ca="1" si="2"/>
        <v>Normal</v>
      </c>
      <c r="L19" t="s">
        <v>22</v>
      </c>
      <c r="M19" s="1">
        <v>6374830</v>
      </c>
    </row>
    <row r="20" spans="1:13" x14ac:dyDescent="0.3">
      <c r="A20" t="s">
        <v>142</v>
      </c>
      <c r="B20" t="s">
        <v>143</v>
      </c>
      <c r="C20" t="s">
        <v>29</v>
      </c>
      <c r="D20" t="s">
        <v>9</v>
      </c>
      <c r="E20">
        <v>502</v>
      </c>
      <c r="F20" s="5">
        <f ca="1">F1-H20</f>
        <v>-24</v>
      </c>
      <c r="G20" t="s">
        <v>25</v>
      </c>
      <c r="H20" t="s">
        <v>167</v>
      </c>
      <c r="I20" t="str">
        <f t="shared" si="1"/>
        <v>Junio</v>
      </c>
      <c r="J20" t="str">
        <f t="shared" ca="1" si="0"/>
        <v>0-30</v>
      </c>
      <c r="K20" t="str">
        <f t="shared" ca="1" si="2"/>
        <v>Normal</v>
      </c>
      <c r="L20" t="s">
        <v>12</v>
      </c>
      <c r="M20" s="1">
        <v>357000</v>
      </c>
    </row>
    <row r="21" spans="1:13" x14ac:dyDescent="0.3">
      <c r="A21" t="s">
        <v>30</v>
      </c>
      <c r="B21" t="s">
        <v>31</v>
      </c>
      <c r="C21" t="s">
        <v>8</v>
      </c>
      <c r="D21" t="s">
        <v>9</v>
      </c>
      <c r="E21">
        <v>425</v>
      </c>
      <c r="F21" s="5">
        <f ca="1">F1-H21</f>
        <v>122</v>
      </c>
      <c r="G21" t="s">
        <v>32</v>
      </c>
      <c r="H21" t="s">
        <v>33</v>
      </c>
      <c r="I21" t="str">
        <f t="shared" si="1"/>
        <v>Enero</v>
      </c>
      <c r="J21" t="str">
        <f t="shared" ca="1" si="0"/>
        <v>+90</v>
      </c>
      <c r="K21" t="str">
        <f t="shared" ca="1" si="2"/>
        <v>Crítico</v>
      </c>
      <c r="L21" t="s">
        <v>12</v>
      </c>
      <c r="M21" s="1">
        <v>1473696</v>
      </c>
    </row>
    <row r="22" spans="1:13" x14ac:dyDescent="0.3">
      <c r="A22" t="s">
        <v>88</v>
      </c>
      <c r="B22" t="s">
        <v>89</v>
      </c>
      <c r="C22" t="s">
        <v>29</v>
      </c>
      <c r="D22" t="s">
        <v>9</v>
      </c>
      <c r="E22">
        <v>598</v>
      </c>
      <c r="F22" s="5">
        <f ca="1">F1-H22</f>
        <v>17</v>
      </c>
      <c r="G22" t="s">
        <v>63</v>
      </c>
      <c r="H22" t="s">
        <v>94</v>
      </c>
      <c r="I22" t="str">
        <f t="shared" si="1"/>
        <v>Abril</v>
      </c>
      <c r="J22" t="str">
        <f t="shared" ca="1" si="0"/>
        <v>0-30</v>
      </c>
      <c r="K22" t="str">
        <f t="shared" ca="1" si="2"/>
        <v>Normal</v>
      </c>
      <c r="L22" t="s">
        <v>12</v>
      </c>
      <c r="M22" s="1">
        <v>773500</v>
      </c>
    </row>
    <row r="23" spans="1:13" x14ac:dyDescent="0.3">
      <c r="A23" t="s">
        <v>88</v>
      </c>
      <c r="B23" t="s">
        <v>89</v>
      </c>
      <c r="C23" t="s">
        <v>29</v>
      </c>
      <c r="D23" t="s">
        <v>9</v>
      </c>
      <c r="E23">
        <v>599</v>
      </c>
      <c r="F23" s="5">
        <f ca="1">F1-H23</f>
        <v>17</v>
      </c>
      <c r="G23" t="s">
        <v>63</v>
      </c>
      <c r="H23" t="s">
        <v>94</v>
      </c>
      <c r="I23" t="str">
        <f t="shared" si="1"/>
        <v>Abril</v>
      </c>
      <c r="J23" t="str">
        <f t="shared" ca="1" si="0"/>
        <v>0-30</v>
      </c>
      <c r="K23" t="str">
        <f t="shared" ca="1" si="2"/>
        <v>Normal</v>
      </c>
      <c r="L23" t="s">
        <v>12</v>
      </c>
      <c r="M23" s="1">
        <v>618800</v>
      </c>
    </row>
    <row r="24" spans="1:13" x14ac:dyDescent="0.3">
      <c r="A24" t="s">
        <v>57</v>
      </c>
      <c r="B24" t="s">
        <v>58</v>
      </c>
      <c r="C24" t="s">
        <v>8</v>
      </c>
      <c r="D24" t="s">
        <v>9</v>
      </c>
      <c r="E24">
        <v>439</v>
      </c>
      <c r="F24" s="5">
        <f ca="1">F1-H24</f>
        <v>61</v>
      </c>
      <c r="G24" t="s">
        <v>65</v>
      </c>
      <c r="H24" t="s">
        <v>62</v>
      </c>
      <c r="I24" t="str">
        <f t="shared" si="1"/>
        <v>Marzo</v>
      </c>
      <c r="J24" t="str">
        <f t="shared" ca="1" si="0"/>
        <v>61-90</v>
      </c>
      <c r="K24" t="str">
        <f t="shared" ca="1" si="2"/>
        <v>Riesgo</v>
      </c>
      <c r="L24" t="s">
        <v>12</v>
      </c>
      <c r="M24" s="1">
        <v>2915500</v>
      </c>
    </row>
    <row r="25" spans="1:13" x14ac:dyDescent="0.3">
      <c r="A25" t="s">
        <v>57</v>
      </c>
      <c r="B25" t="s">
        <v>58</v>
      </c>
      <c r="C25" t="s">
        <v>18</v>
      </c>
      <c r="D25" t="s">
        <v>9</v>
      </c>
      <c r="E25">
        <v>440</v>
      </c>
      <c r="F25" s="5">
        <f ca="1">F1-H25</f>
        <v>49</v>
      </c>
      <c r="G25" t="s">
        <v>65</v>
      </c>
      <c r="H25" t="s">
        <v>66</v>
      </c>
      <c r="I25" t="str">
        <f t="shared" si="1"/>
        <v>Marzo</v>
      </c>
      <c r="J25" t="str">
        <f t="shared" ca="1" si="0"/>
        <v>31-60</v>
      </c>
      <c r="K25" t="str">
        <f t="shared" ca="1" si="2"/>
        <v>Alerta</v>
      </c>
      <c r="L25" t="s">
        <v>12</v>
      </c>
      <c r="M25" s="1">
        <v>2707250</v>
      </c>
    </row>
    <row r="26" spans="1:13" ht="16.8" customHeight="1" x14ac:dyDescent="0.3">
      <c r="A26" t="s">
        <v>57</v>
      </c>
      <c r="B26" t="s">
        <v>58</v>
      </c>
      <c r="C26" t="s">
        <v>18</v>
      </c>
      <c r="D26" t="s">
        <v>9</v>
      </c>
      <c r="E26">
        <v>438</v>
      </c>
      <c r="F26" s="5">
        <f ca="1">F1-H26</f>
        <v>41</v>
      </c>
      <c r="G26" t="s">
        <v>67</v>
      </c>
      <c r="H26" t="s">
        <v>35</v>
      </c>
      <c r="I26" t="str">
        <f t="shared" si="1"/>
        <v>Abril</v>
      </c>
      <c r="J26" t="str">
        <f t="shared" ca="1" si="0"/>
        <v>31-60</v>
      </c>
      <c r="K26" t="str">
        <f t="shared" ca="1" si="2"/>
        <v>Alerta</v>
      </c>
      <c r="L26" t="s">
        <v>12</v>
      </c>
      <c r="M26" s="1">
        <v>2290750</v>
      </c>
    </row>
    <row r="27" spans="1:13" ht="14.4" customHeight="1" x14ac:dyDescent="0.3">
      <c r="A27" t="s">
        <v>57</v>
      </c>
      <c r="B27" t="s">
        <v>58</v>
      </c>
      <c r="C27" t="s">
        <v>18</v>
      </c>
      <c r="D27" t="s">
        <v>9</v>
      </c>
      <c r="E27">
        <v>437</v>
      </c>
      <c r="F27" s="5">
        <f ca="1">F1-H27</f>
        <v>39</v>
      </c>
      <c r="G27" t="s">
        <v>68</v>
      </c>
      <c r="H27" t="s">
        <v>69</v>
      </c>
      <c r="I27" t="str">
        <f t="shared" si="1"/>
        <v>Abril</v>
      </c>
      <c r="J27" t="str">
        <f t="shared" ca="1" si="0"/>
        <v>31-60</v>
      </c>
      <c r="K27" t="str">
        <f t="shared" ca="1" si="2"/>
        <v>Alerta</v>
      </c>
      <c r="L27" t="s">
        <v>12</v>
      </c>
      <c r="M27" s="1">
        <v>1041250</v>
      </c>
    </row>
    <row r="28" spans="1:13" x14ac:dyDescent="0.3">
      <c r="A28" t="s">
        <v>57</v>
      </c>
      <c r="B28" t="s">
        <v>58</v>
      </c>
      <c r="C28" t="s">
        <v>8</v>
      </c>
      <c r="D28" t="s">
        <v>9</v>
      </c>
      <c r="E28">
        <v>436</v>
      </c>
      <c r="F28" s="5">
        <f ca="1">F1-H28</f>
        <v>38</v>
      </c>
      <c r="G28" t="s">
        <v>36</v>
      </c>
      <c r="H28" t="s">
        <v>70</v>
      </c>
      <c r="I28" t="str">
        <f t="shared" si="1"/>
        <v>Abril</v>
      </c>
      <c r="J28" t="str">
        <f t="shared" ca="1" si="0"/>
        <v>31-60</v>
      </c>
      <c r="K28" t="str">
        <f t="shared" ca="1" si="2"/>
        <v>Alerta</v>
      </c>
      <c r="L28" t="s">
        <v>12</v>
      </c>
      <c r="M28" s="1">
        <v>1874250</v>
      </c>
    </row>
    <row r="29" spans="1:13" x14ac:dyDescent="0.3">
      <c r="A29" t="s">
        <v>57</v>
      </c>
      <c r="B29" t="s">
        <v>58</v>
      </c>
      <c r="C29" t="s">
        <v>18</v>
      </c>
      <c r="D29" t="s">
        <v>9</v>
      </c>
      <c r="E29">
        <v>562</v>
      </c>
      <c r="F29" s="5">
        <f ca="1">F1-H29</f>
        <v>-29</v>
      </c>
      <c r="G29" t="s">
        <v>62</v>
      </c>
      <c r="H29" t="s">
        <v>168</v>
      </c>
      <c r="I29" t="str">
        <f t="shared" si="1"/>
        <v>Junio</v>
      </c>
      <c r="J29" t="str">
        <f t="shared" ca="1" si="0"/>
        <v>0-30</v>
      </c>
      <c r="K29" t="str">
        <f t="shared" ca="1" si="2"/>
        <v>Normal</v>
      </c>
      <c r="L29" t="s">
        <v>12</v>
      </c>
      <c r="M29" s="1">
        <v>833000</v>
      </c>
    </row>
    <row r="30" spans="1:13" x14ac:dyDescent="0.3">
      <c r="A30" t="s">
        <v>57</v>
      </c>
      <c r="B30" t="s">
        <v>58</v>
      </c>
      <c r="C30" t="s">
        <v>18</v>
      </c>
      <c r="D30" t="s">
        <v>9</v>
      </c>
      <c r="E30">
        <v>566</v>
      </c>
      <c r="F30" s="5">
        <f ca="1">F1-H30</f>
        <v>-34</v>
      </c>
      <c r="G30" t="s">
        <v>169</v>
      </c>
      <c r="H30" t="s">
        <v>170</v>
      </c>
      <c r="I30" t="str">
        <f t="shared" si="1"/>
        <v>Junio</v>
      </c>
      <c r="J30" t="str">
        <f t="shared" ca="1" si="0"/>
        <v>0-30</v>
      </c>
      <c r="K30" t="str">
        <f t="shared" ca="1" si="2"/>
        <v>Normal</v>
      </c>
      <c r="L30" t="s">
        <v>12</v>
      </c>
      <c r="M30" s="1">
        <v>957950</v>
      </c>
    </row>
    <row r="31" spans="1:13" x14ac:dyDescent="0.3">
      <c r="A31" t="s">
        <v>37</v>
      </c>
      <c r="B31" t="s">
        <v>38</v>
      </c>
      <c r="C31" t="s">
        <v>18</v>
      </c>
      <c r="D31" t="s">
        <v>9</v>
      </c>
      <c r="E31">
        <v>545</v>
      </c>
      <c r="F31" s="5">
        <f ca="1">F1-H31</f>
        <v>58</v>
      </c>
      <c r="G31" t="s">
        <v>19</v>
      </c>
      <c r="H31" t="s">
        <v>39</v>
      </c>
      <c r="I31" t="str">
        <f t="shared" si="1"/>
        <v>Marzo</v>
      </c>
      <c r="J31" t="str">
        <f t="shared" ca="1" si="0"/>
        <v>31-60</v>
      </c>
      <c r="K31" t="str">
        <f t="shared" ca="1" si="2"/>
        <v>Alerta</v>
      </c>
      <c r="L31" t="s">
        <v>12</v>
      </c>
      <c r="M31" s="1">
        <v>162316</v>
      </c>
    </row>
    <row r="32" spans="1:13" x14ac:dyDescent="0.3">
      <c r="A32" t="s">
        <v>144</v>
      </c>
      <c r="B32" t="s">
        <v>145</v>
      </c>
      <c r="C32" t="s">
        <v>162</v>
      </c>
      <c r="D32" t="s">
        <v>9</v>
      </c>
      <c r="E32">
        <v>654</v>
      </c>
      <c r="F32" s="5">
        <f ca="1">F1-H32</f>
        <v>-13</v>
      </c>
      <c r="G32" t="s">
        <v>164</v>
      </c>
      <c r="H32" t="s">
        <v>109</v>
      </c>
      <c r="I32" t="str">
        <f t="shared" si="1"/>
        <v>Mayo</v>
      </c>
      <c r="J32" t="str">
        <f t="shared" ref="J32:J49" ca="1" si="3">IF(F32="","",IF(F32&lt;=30,"0-30",IF(F32&lt;=60,"31-60",IF(F32&lt;=90,"61-90","+90"))))</f>
        <v>0-30</v>
      </c>
      <c r="K32" t="str">
        <f t="shared" ref="K32:K36" ca="1" si="4">IF(F32="","",IF(F32&lt;=30,"Normal",IF(F32&lt;=60,"Alerta",IF(F32&lt;=90,"Riesgo","Crítico"))))</f>
        <v>Normal</v>
      </c>
      <c r="L32" t="s">
        <v>12</v>
      </c>
      <c r="M32" s="1">
        <v>4619580</v>
      </c>
    </row>
    <row r="33" spans="1:13" x14ac:dyDescent="0.3">
      <c r="A33" t="s">
        <v>146</v>
      </c>
      <c r="B33" t="s">
        <v>147</v>
      </c>
      <c r="C33" t="s">
        <v>163</v>
      </c>
      <c r="D33" t="s">
        <v>9</v>
      </c>
      <c r="E33">
        <v>604</v>
      </c>
      <c r="F33" s="5">
        <f ca="1">F1-H33</f>
        <v>-19</v>
      </c>
      <c r="G33" t="s">
        <v>171</v>
      </c>
      <c r="H33" t="s">
        <v>172</v>
      </c>
      <c r="I33" t="str">
        <f t="shared" si="1"/>
        <v>Junio</v>
      </c>
      <c r="J33" t="str">
        <f t="shared" ca="1" si="3"/>
        <v>0-30</v>
      </c>
      <c r="K33" t="str">
        <f t="shared" ca="1" si="4"/>
        <v>Normal</v>
      </c>
      <c r="L33" t="s">
        <v>12</v>
      </c>
      <c r="M33" s="1">
        <v>433413</v>
      </c>
    </row>
    <row r="34" spans="1:13" x14ac:dyDescent="0.3">
      <c r="A34" t="s">
        <v>102</v>
      </c>
      <c r="B34" t="s">
        <v>103</v>
      </c>
      <c r="C34" t="s">
        <v>29</v>
      </c>
      <c r="D34" t="s">
        <v>9</v>
      </c>
      <c r="E34">
        <v>443</v>
      </c>
      <c r="F34" s="5">
        <f ca="1">F1-H34</f>
        <v>2</v>
      </c>
      <c r="G34" t="s">
        <v>111</v>
      </c>
      <c r="H34" t="s">
        <v>112</v>
      </c>
      <c r="I34" t="str">
        <f t="shared" si="1"/>
        <v>Mayo</v>
      </c>
      <c r="J34" t="str">
        <f t="shared" ca="1" si="3"/>
        <v>0-30</v>
      </c>
      <c r="K34" t="str">
        <f t="shared" ca="1" si="4"/>
        <v>Normal</v>
      </c>
      <c r="L34" t="s">
        <v>12</v>
      </c>
      <c r="M34" s="1">
        <v>892500</v>
      </c>
    </row>
    <row r="35" spans="1:13" x14ac:dyDescent="0.3">
      <c r="A35" t="s">
        <v>148</v>
      </c>
      <c r="B35" t="s">
        <v>149</v>
      </c>
      <c r="C35" t="s">
        <v>15</v>
      </c>
      <c r="D35" t="s">
        <v>9</v>
      </c>
      <c r="E35">
        <v>658</v>
      </c>
      <c r="F35" s="5">
        <f ca="1">F1-H35</f>
        <v>-13</v>
      </c>
      <c r="G35" t="s">
        <v>118</v>
      </c>
      <c r="H35" t="s">
        <v>109</v>
      </c>
      <c r="I35" t="str">
        <f t="shared" si="1"/>
        <v>Mayo</v>
      </c>
      <c r="J35" t="str">
        <f t="shared" ca="1" si="3"/>
        <v>0-30</v>
      </c>
      <c r="K35" t="str">
        <f t="shared" ca="1" si="4"/>
        <v>Normal</v>
      </c>
      <c r="L35" t="s">
        <v>12</v>
      </c>
      <c r="M35" s="1">
        <v>5389510</v>
      </c>
    </row>
    <row r="36" spans="1:13" x14ac:dyDescent="0.3">
      <c r="A36" t="s">
        <v>83</v>
      </c>
      <c r="B36" t="s">
        <v>84</v>
      </c>
      <c r="C36" t="s">
        <v>15</v>
      </c>
      <c r="D36" t="s">
        <v>9</v>
      </c>
      <c r="E36">
        <v>619</v>
      </c>
      <c r="F36" s="5">
        <f ca="1">F1-H36</f>
        <v>23</v>
      </c>
      <c r="G36" t="s">
        <v>64</v>
      </c>
      <c r="H36" t="s">
        <v>64</v>
      </c>
      <c r="I36" t="str">
        <f t="shared" si="1"/>
        <v>Abril</v>
      </c>
      <c r="J36" t="str">
        <f t="shared" ca="1" si="3"/>
        <v>0-30</v>
      </c>
      <c r="K36" t="str">
        <f t="shared" ca="1" si="4"/>
        <v>Normal</v>
      </c>
      <c r="L36" t="s">
        <v>22</v>
      </c>
      <c r="M36" s="1">
        <v>380800</v>
      </c>
    </row>
    <row r="37" spans="1:13" x14ac:dyDescent="0.3">
      <c r="A37" t="s">
        <v>150</v>
      </c>
      <c r="B37" t="s">
        <v>151</v>
      </c>
      <c r="C37" t="s">
        <v>29</v>
      </c>
      <c r="D37" t="s">
        <v>9</v>
      </c>
      <c r="E37">
        <v>662</v>
      </c>
      <c r="F37" s="5">
        <f ca="1">F1-H37</f>
        <v>3</v>
      </c>
      <c r="G37" t="s">
        <v>118</v>
      </c>
      <c r="H37" t="s">
        <v>118</v>
      </c>
      <c r="I37" t="str">
        <f t="shared" si="1"/>
        <v>Mayo</v>
      </c>
      <c r="J37" t="str">
        <f t="shared" ca="1" si="3"/>
        <v>0-30</v>
      </c>
      <c r="K37" t="str">
        <f t="shared" ref="K37:K49" ca="1" si="5">IF(F37="","",IF(F37&lt;=30,"Normal",IF(F37&lt;=60,"Alerta",IF(F37&lt;=90,"Riesgo","Crítico"))))</f>
        <v>Normal</v>
      </c>
      <c r="L37" t="s">
        <v>22</v>
      </c>
      <c r="M37" s="1">
        <v>207060</v>
      </c>
    </row>
    <row r="38" spans="1:13" x14ac:dyDescent="0.3">
      <c r="A38" t="s">
        <v>104</v>
      </c>
      <c r="B38" t="s">
        <v>105</v>
      </c>
      <c r="C38" t="s">
        <v>18</v>
      </c>
      <c r="D38" t="s">
        <v>9</v>
      </c>
      <c r="E38">
        <v>491</v>
      </c>
      <c r="F38" s="5">
        <f ca="1">F1-H38</f>
        <v>-5</v>
      </c>
      <c r="G38" t="s">
        <v>73</v>
      </c>
      <c r="H38" t="s">
        <v>113</v>
      </c>
      <c r="I38" t="str">
        <f t="shared" si="1"/>
        <v>Mayo</v>
      </c>
      <c r="J38" t="str">
        <f t="shared" ca="1" si="3"/>
        <v>0-30</v>
      </c>
      <c r="K38" t="str">
        <f t="shared" ca="1" si="5"/>
        <v>Normal</v>
      </c>
      <c r="L38" t="s">
        <v>12</v>
      </c>
      <c r="M38" s="1">
        <v>1975160</v>
      </c>
    </row>
    <row r="39" spans="1:13" x14ac:dyDescent="0.3">
      <c r="A39" t="s">
        <v>104</v>
      </c>
      <c r="B39" t="s">
        <v>105</v>
      </c>
      <c r="C39" t="s">
        <v>18</v>
      </c>
      <c r="D39" t="s">
        <v>9</v>
      </c>
      <c r="E39">
        <v>492</v>
      </c>
      <c r="F39" s="5">
        <f ca="1">F1-H39</f>
        <v>-5</v>
      </c>
      <c r="G39" t="s">
        <v>73</v>
      </c>
      <c r="H39" t="s">
        <v>113</v>
      </c>
      <c r="I39" t="str">
        <f t="shared" si="1"/>
        <v>Mayo</v>
      </c>
      <c r="J39" t="str">
        <f t="shared" ca="1" si="3"/>
        <v>0-30</v>
      </c>
      <c r="K39" t="str">
        <f t="shared" ca="1" si="5"/>
        <v>Normal</v>
      </c>
      <c r="L39" t="s">
        <v>12</v>
      </c>
      <c r="M39" s="1">
        <v>3163353</v>
      </c>
    </row>
    <row r="40" spans="1:13" x14ac:dyDescent="0.3">
      <c r="A40" t="s">
        <v>40</v>
      </c>
      <c r="B40" t="s">
        <v>41</v>
      </c>
      <c r="C40" t="s">
        <v>18</v>
      </c>
      <c r="D40" t="s">
        <v>9</v>
      </c>
      <c r="E40">
        <v>535</v>
      </c>
      <c r="F40" s="5">
        <f ca="1">F1-H40</f>
        <v>-10</v>
      </c>
      <c r="G40" t="s">
        <v>114</v>
      </c>
      <c r="H40" t="s">
        <v>115</v>
      </c>
      <c r="I40" t="str">
        <f t="shared" si="1"/>
        <v>Mayo</v>
      </c>
      <c r="J40" t="str">
        <f t="shared" ca="1" si="3"/>
        <v>0-30</v>
      </c>
      <c r="K40" t="str">
        <f t="shared" ca="1" si="5"/>
        <v>Normal</v>
      </c>
      <c r="L40" t="s">
        <v>12</v>
      </c>
      <c r="M40" s="1">
        <v>564436</v>
      </c>
    </row>
    <row r="41" spans="1:13" x14ac:dyDescent="0.3">
      <c r="A41" t="s">
        <v>40</v>
      </c>
      <c r="B41" t="s">
        <v>41</v>
      </c>
      <c r="C41" t="s">
        <v>18</v>
      </c>
      <c r="D41" t="s">
        <v>9</v>
      </c>
      <c r="E41">
        <v>616</v>
      </c>
      <c r="F41" s="5">
        <f ca="1">F1-H41</f>
        <v>-44</v>
      </c>
      <c r="G41" t="s">
        <v>87</v>
      </c>
      <c r="H41" t="s">
        <v>166</v>
      </c>
      <c r="I41" t="str">
        <f t="shared" si="1"/>
        <v>Junio</v>
      </c>
      <c r="J41" t="str">
        <f t="shared" ca="1" si="3"/>
        <v>0-30</v>
      </c>
      <c r="K41" t="str">
        <f t="shared" ca="1" si="5"/>
        <v>Normal</v>
      </c>
      <c r="L41" t="s">
        <v>12</v>
      </c>
      <c r="M41" s="1">
        <v>239996</v>
      </c>
    </row>
    <row r="42" spans="1:13" x14ac:dyDescent="0.3">
      <c r="A42" t="s">
        <v>152</v>
      </c>
      <c r="B42" t="s">
        <v>153</v>
      </c>
      <c r="C42" t="s">
        <v>15</v>
      </c>
      <c r="D42" t="s">
        <v>9</v>
      </c>
      <c r="E42">
        <v>660</v>
      </c>
      <c r="F42" s="5">
        <f ca="1">F1-H42</f>
        <v>-13</v>
      </c>
      <c r="G42" t="s">
        <v>118</v>
      </c>
      <c r="H42" t="s">
        <v>109</v>
      </c>
      <c r="I42" t="str">
        <f t="shared" si="1"/>
        <v>Mayo</v>
      </c>
      <c r="J42" t="str">
        <f t="shared" ca="1" si="3"/>
        <v>0-30</v>
      </c>
      <c r="K42" t="str">
        <f t="shared" ca="1" si="5"/>
        <v>Normal</v>
      </c>
      <c r="L42" t="s">
        <v>12</v>
      </c>
      <c r="M42" s="1">
        <v>11439470</v>
      </c>
    </row>
    <row r="43" spans="1:13" x14ac:dyDescent="0.3">
      <c r="A43" t="s">
        <v>154</v>
      </c>
      <c r="B43" t="s">
        <v>155</v>
      </c>
      <c r="C43" t="s">
        <v>18</v>
      </c>
      <c r="D43" t="s">
        <v>9</v>
      </c>
      <c r="E43">
        <v>477</v>
      </c>
      <c r="F43" s="5">
        <f ca="1">F1-H43</f>
        <v>-44</v>
      </c>
      <c r="G43" t="s">
        <v>96</v>
      </c>
      <c r="H43" t="s">
        <v>166</v>
      </c>
      <c r="I43" t="str">
        <f t="shared" si="1"/>
        <v>Junio</v>
      </c>
      <c r="J43" t="str">
        <f t="shared" ca="1" si="3"/>
        <v>0-30</v>
      </c>
      <c r="K43" t="str">
        <f t="shared" ca="1" si="5"/>
        <v>Normal</v>
      </c>
      <c r="L43" t="s">
        <v>12</v>
      </c>
      <c r="M43" s="1">
        <v>1490939</v>
      </c>
    </row>
    <row r="44" spans="1:13" x14ac:dyDescent="0.3">
      <c r="A44" t="s">
        <v>42</v>
      </c>
      <c r="B44" t="s">
        <v>43</v>
      </c>
      <c r="C44" t="s">
        <v>29</v>
      </c>
      <c r="D44" t="s">
        <v>9</v>
      </c>
      <c r="E44">
        <v>416</v>
      </c>
      <c r="F44" s="5">
        <f ca="1">F1-H44</f>
        <v>115</v>
      </c>
      <c r="G44" t="s">
        <v>36</v>
      </c>
      <c r="H44" t="s">
        <v>44</v>
      </c>
      <c r="I44" t="str">
        <f t="shared" si="1"/>
        <v>Enero</v>
      </c>
      <c r="J44" t="str">
        <f t="shared" ca="1" si="3"/>
        <v>+90</v>
      </c>
      <c r="K44" t="str">
        <f t="shared" ca="1" si="5"/>
        <v>Crítico</v>
      </c>
      <c r="L44" t="s">
        <v>12</v>
      </c>
      <c r="M44" s="1">
        <v>499300</v>
      </c>
    </row>
    <row r="45" spans="1:13" x14ac:dyDescent="0.3">
      <c r="A45" t="s">
        <v>42</v>
      </c>
      <c r="B45" t="s">
        <v>43</v>
      </c>
      <c r="C45" t="s">
        <v>29</v>
      </c>
      <c r="D45" t="s">
        <v>9</v>
      </c>
      <c r="E45">
        <v>415</v>
      </c>
      <c r="F45" s="5">
        <f ca="1">F1-H45</f>
        <v>115</v>
      </c>
      <c r="G45" t="s">
        <v>36</v>
      </c>
      <c r="H45" t="s">
        <v>44</v>
      </c>
      <c r="I45" t="str">
        <f t="shared" si="1"/>
        <v>Enero</v>
      </c>
      <c r="J45" t="str">
        <f t="shared" ca="1" si="3"/>
        <v>+90</v>
      </c>
      <c r="K45" t="str">
        <f t="shared" ca="1" si="5"/>
        <v>Crítico</v>
      </c>
      <c r="L45" t="s">
        <v>12</v>
      </c>
      <c r="M45" s="1">
        <v>111206</v>
      </c>
    </row>
    <row r="46" spans="1:13" x14ac:dyDescent="0.3">
      <c r="A46" t="s">
        <v>42</v>
      </c>
      <c r="B46" t="s">
        <v>43</v>
      </c>
      <c r="C46" t="s">
        <v>29</v>
      </c>
      <c r="D46" t="s">
        <v>9</v>
      </c>
      <c r="E46">
        <v>414</v>
      </c>
      <c r="F46" s="5">
        <f ca="1">F1-H46</f>
        <v>115</v>
      </c>
      <c r="G46" t="s">
        <v>36</v>
      </c>
      <c r="H46" t="s">
        <v>44</v>
      </c>
      <c r="I46" t="str">
        <f t="shared" si="1"/>
        <v>Enero</v>
      </c>
      <c r="J46" t="str">
        <f t="shared" ca="1" si="3"/>
        <v>+90</v>
      </c>
      <c r="K46" t="str">
        <f t="shared" ca="1" si="5"/>
        <v>Crítico</v>
      </c>
      <c r="L46" t="s">
        <v>12</v>
      </c>
      <c r="M46" s="1">
        <v>310709</v>
      </c>
    </row>
    <row r="47" spans="1:13" x14ac:dyDescent="0.3">
      <c r="A47" t="s">
        <v>59</v>
      </c>
      <c r="B47" t="s">
        <v>60</v>
      </c>
      <c r="C47" t="s">
        <v>130</v>
      </c>
      <c r="D47" t="s">
        <v>9</v>
      </c>
      <c r="E47">
        <v>354</v>
      </c>
      <c r="F47" s="5">
        <f ca="1">F1-H47</f>
        <v>102</v>
      </c>
      <c r="G47" t="s">
        <v>71</v>
      </c>
      <c r="H47" t="s">
        <v>73</v>
      </c>
      <c r="I47" t="str">
        <f t="shared" si="1"/>
        <v>Febrero</v>
      </c>
      <c r="J47" t="str">
        <f t="shared" ca="1" si="3"/>
        <v>+90</v>
      </c>
      <c r="K47" t="str">
        <f t="shared" ca="1" si="5"/>
        <v>Crítico</v>
      </c>
      <c r="L47" t="s">
        <v>12</v>
      </c>
      <c r="M47" s="1">
        <v>2891224</v>
      </c>
    </row>
    <row r="48" spans="1:13" x14ac:dyDescent="0.3">
      <c r="A48" t="s">
        <v>59</v>
      </c>
      <c r="B48" t="s">
        <v>60</v>
      </c>
      <c r="C48" t="s">
        <v>130</v>
      </c>
      <c r="D48" t="s">
        <v>9</v>
      </c>
      <c r="E48">
        <v>341</v>
      </c>
      <c r="F48" s="5">
        <f ca="1">F1-H48</f>
        <v>96</v>
      </c>
      <c r="G48" t="s">
        <v>72</v>
      </c>
      <c r="H48" t="s">
        <v>25</v>
      </c>
      <c r="I48" t="str">
        <f t="shared" si="1"/>
        <v>Febrero</v>
      </c>
      <c r="J48" t="str">
        <f t="shared" ca="1" si="3"/>
        <v>+90</v>
      </c>
      <c r="K48" t="str">
        <f t="shared" ca="1" si="5"/>
        <v>Crítico</v>
      </c>
      <c r="L48" t="s">
        <v>12</v>
      </c>
      <c r="M48" s="1">
        <v>863620</v>
      </c>
    </row>
    <row r="49" spans="1:13" x14ac:dyDescent="0.3">
      <c r="A49" t="s">
        <v>59</v>
      </c>
      <c r="B49" t="s">
        <v>60</v>
      </c>
      <c r="C49" t="s">
        <v>130</v>
      </c>
      <c r="D49" t="s">
        <v>9</v>
      </c>
      <c r="E49">
        <v>354</v>
      </c>
      <c r="F49" s="5">
        <f ca="1">F1-H49</f>
        <v>74</v>
      </c>
      <c r="G49" t="s">
        <v>71</v>
      </c>
      <c r="H49" t="s">
        <v>27</v>
      </c>
      <c r="I49" t="str">
        <f t="shared" si="1"/>
        <v>Marzo</v>
      </c>
      <c r="J49" t="str">
        <f t="shared" ca="1" si="3"/>
        <v>61-90</v>
      </c>
      <c r="K49" t="str">
        <f t="shared" ca="1" si="5"/>
        <v>Riesgo</v>
      </c>
      <c r="L49" t="s">
        <v>12</v>
      </c>
      <c r="M49" s="1">
        <v>2891224</v>
      </c>
    </row>
    <row r="50" spans="1:13" x14ac:dyDescent="0.3">
      <c r="A50" t="s">
        <v>59</v>
      </c>
      <c r="B50" t="s">
        <v>60</v>
      </c>
      <c r="C50" t="s">
        <v>130</v>
      </c>
      <c r="D50" t="s">
        <v>9</v>
      </c>
      <c r="E50">
        <v>403</v>
      </c>
      <c r="F50" s="5">
        <f ca="1">F1-H50</f>
        <v>72</v>
      </c>
      <c r="G50" t="s">
        <v>74</v>
      </c>
      <c r="H50" t="s">
        <v>75</v>
      </c>
      <c r="I50" t="str">
        <f t="shared" si="1"/>
        <v>Marzo</v>
      </c>
      <c r="J50" t="str">
        <f t="shared" ref="J50:J52" ca="1" si="6">IF(F50="","",IF(F50&lt;=30,"0-30",IF(F50&lt;=60,"31-60",IF(F50&lt;=90,"61-90","+90"))))</f>
        <v>61-90</v>
      </c>
      <c r="K50" t="str">
        <f t="shared" ref="K50:K52" ca="1" si="7">IF(F50="","",IF(F50&lt;=30,"Normal",IF(F50&lt;=60,"Alerta",IF(F50&lt;=90,"Riesgo","Crítico"))))</f>
        <v>Riesgo</v>
      </c>
      <c r="L50" t="s">
        <v>12</v>
      </c>
      <c r="M50" s="1">
        <v>820000</v>
      </c>
    </row>
    <row r="51" spans="1:13" x14ac:dyDescent="0.3">
      <c r="A51" t="s">
        <v>59</v>
      </c>
      <c r="B51" t="s">
        <v>60</v>
      </c>
      <c r="C51" t="s">
        <v>130</v>
      </c>
      <c r="D51" t="s">
        <v>9</v>
      </c>
      <c r="E51">
        <v>341</v>
      </c>
      <c r="F51" s="1">
        <f ca="1">F1-H51</f>
        <v>68</v>
      </c>
      <c r="G51" t="s">
        <v>72</v>
      </c>
      <c r="H51" t="s">
        <v>28</v>
      </c>
      <c r="I51" t="str">
        <f t="shared" si="1"/>
        <v>Marzo</v>
      </c>
      <c r="J51" t="str">
        <f t="shared" ca="1" si="6"/>
        <v>61-90</v>
      </c>
      <c r="K51" t="str">
        <f t="shared" ca="1" si="7"/>
        <v>Riesgo</v>
      </c>
      <c r="L51" t="s">
        <v>12</v>
      </c>
      <c r="M51" s="1">
        <v>863628</v>
      </c>
    </row>
    <row r="52" spans="1:13" x14ac:dyDescent="0.3">
      <c r="A52" t="s">
        <v>59</v>
      </c>
      <c r="B52" t="s">
        <v>60</v>
      </c>
      <c r="C52" t="s">
        <v>130</v>
      </c>
      <c r="D52" t="s">
        <v>9</v>
      </c>
      <c r="E52">
        <v>403</v>
      </c>
      <c r="F52" s="1">
        <f ca="1">F1-H52</f>
        <v>41</v>
      </c>
      <c r="G52" t="s">
        <v>74</v>
      </c>
      <c r="H52" t="s">
        <v>35</v>
      </c>
      <c r="I52" t="str">
        <f t="shared" si="1"/>
        <v>Abril</v>
      </c>
      <c r="J52" t="str">
        <f t="shared" ca="1" si="6"/>
        <v>31-60</v>
      </c>
      <c r="K52" t="str">
        <f t="shared" ca="1" si="7"/>
        <v>Alerta</v>
      </c>
      <c r="L52" t="s">
        <v>12</v>
      </c>
      <c r="M52" s="1">
        <v>820000</v>
      </c>
    </row>
    <row r="53" spans="1:13" x14ac:dyDescent="0.3">
      <c r="A53" t="s">
        <v>59</v>
      </c>
      <c r="B53" t="s">
        <v>60</v>
      </c>
      <c r="C53" t="s">
        <v>130</v>
      </c>
      <c r="D53" t="s">
        <v>9</v>
      </c>
      <c r="E53">
        <v>403</v>
      </c>
      <c r="F53" s="5">
        <f ca="1">F1-H53</f>
        <v>11</v>
      </c>
      <c r="G53" t="s">
        <v>74</v>
      </c>
      <c r="H53" t="s">
        <v>116</v>
      </c>
      <c r="I53" t="str">
        <f t="shared" si="1"/>
        <v>Mayo</v>
      </c>
      <c r="J53" t="str">
        <f t="shared" ref="J53:J65" ca="1" si="8">IF(F53="","",IF(F53&lt;=30,"0-30",IF(F53&lt;=60,"31-60",IF(F53&lt;=90,"61-90","+90"))))</f>
        <v>0-30</v>
      </c>
      <c r="K53" t="str">
        <f t="shared" ref="K53:K65" ca="1" si="9">IF(F53="","",IF(F53&lt;=30,"Normal",IF(F53&lt;=60,"Alerta",IF(F53&lt;=90,"Riesgo","Crítico"))))</f>
        <v>Normal</v>
      </c>
      <c r="L53" t="s">
        <v>12</v>
      </c>
      <c r="M53" s="1">
        <v>816160</v>
      </c>
    </row>
    <row r="54" spans="1:13" x14ac:dyDescent="0.3">
      <c r="A54" t="s">
        <v>156</v>
      </c>
      <c r="B54" t="s">
        <v>157</v>
      </c>
      <c r="C54" t="s">
        <v>129</v>
      </c>
      <c r="D54" t="s">
        <v>9</v>
      </c>
      <c r="E54">
        <v>647</v>
      </c>
      <c r="F54" s="5">
        <f ca="1">F1-H54</f>
        <v>5</v>
      </c>
      <c r="G54" t="s">
        <v>173</v>
      </c>
      <c r="H54" t="s">
        <v>173</v>
      </c>
      <c r="I54" t="str">
        <f t="shared" si="1"/>
        <v>Mayo</v>
      </c>
      <c r="J54" t="str">
        <f t="shared" ca="1" si="8"/>
        <v>0-30</v>
      </c>
      <c r="K54" t="str">
        <f t="shared" ca="1" si="9"/>
        <v>Normal</v>
      </c>
      <c r="L54" t="s">
        <v>22</v>
      </c>
      <c r="M54" s="1">
        <v>114789</v>
      </c>
    </row>
    <row r="55" spans="1:13" x14ac:dyDescent="0.3">
      <c r="A55" t="s">
        <v>90</v>
      </c>
      <c r="B55" t="s">
        <v>91</v>
      </c>
      <c r="C55" t="s">
        <v>18</v>
      </c>
      <c r="D55" t="s">
        <v>9</v>
      </c>
      <c r="E55">
        <v>480</v>
      </c>
      <c r="F55" s="5">
        <f ca="1">F1-H55</f>
        <v>48</v>
      </c>
      <c r="G55" t="s">
        <v>96</v>
      </c>
      <c r="H55" t="s">
        <v>34</v>
      </c>
      <c r="I55" t="str">
        <f t="shared" si="1"/>
        <v>Marzo</v>
      </c>
      <c r="J55" t="str">
        <f t="shared" ca="1" si="8"/>
        <v>31-60</v>
      </c>
      <c r="K55" t="str">
        <f t="shared" ca="1" si="9"/>
        <v>Alerta</v>
      </c>
      <c r="L55" t="s">
        <v>12</v>
      </c>
      <c r="M55" s="1">
        <v>72055</v>
      </c>
    </row>
    <row r="56" spans="1:13" x14ac:dyDescent="0.3">
      <c r="A56" t="s">
        <v>90</v>
      </c>
      <c r="B56" t="s">
        <v>91</v>
      </c>
      <c r="C56" t="s">
        <v>18</v>
      </c>
      <c r="D56" t="s">
        <v>9</v>
      </c>
      <c r="E56">
        <v>479</v>
      </c>
      <c r="F56" s="5">
        <f ca="1">F1-H56</f>
        <v>17</v>
      </c>
      <c r="G56" t="s">
        <v>96</v>
      </c>
      <c r="H56" t="s">
        <v>94</v>
      </c>
      <c r="I56" t="str">
        <f t="shared" si="1"/>
        <v>Abril</v>
      </c>
      <c r="J56" t="str">
        <f t="shared" ca="1" si="8"/>
        <v>0-30</v>
      </c>
      <c r="K56" t="str">
        <f t="shared" ca="1" si="9"/>
        <v>Normal</v>
      </c>
      <c r="L56" t="s">
        <v>12</v>
      </c>
      <c r="M56" s="1">
        <v>495944</v>
      </c>
    </row>
    <row r="57" spans="1:13" x14ac:dyDescent="0.3">
      <c r="A57" t="s">
        <v>90</v>
      </c>
      <c r="B57" t="s">
        <v>91</v>
      </c>
      <c r="C57" t="s">
        <v>18</v>
      </c>
      <c r="D57" t="s">
        <v>9</v>
      </c>
      <c r="E57">
        <v>518</v>
      </c>
      <c r="F57" s="5">
        <f ca="1">F1-H57</f>
        <v>-13</v>
      </c>
      <c r="G57" t="s">
        <v>95</v>
      </c>
      <c r="H57" t="s">
        <v>109</v>
      </c>
      <c r="I57" t="str">
        <f t="shared" si="1"/>
        <v>Mayo</v>
      </c>
      <c r="J57" t="str">
        <f t="shared" ca="1" si="8"/>
        <v>0-30</v>
      </c>
      <c r="K57" t="str">
        <f t="shared" ca="1" si="9"/>
        <v>Normal</v>
      </c>
      <c r="L57" t="s">
        <v>12</v>
      </c>
      <c r="M57" s="1">
        <v>207060</v>
      </c>
    </row>
    <row r="58" spans="1:13" x14ac:dyDescent="0.3">
      <c r="A58" t="s">
        <v>125</v>
      </c>
      <c r="B58" t="s">
        <v>126</v>
      </c>
      <c r="C58" t="s">
        <v>129</v>
      </c>
      <c r="D58" t="s">
        <v>9</v>
      </c>
      <c r="E58">
        <v>626</v>
      </c>
      <c r="F58" s="5">
        <f ca="1">F1-H58</f>
        <v>13</v>
      </c>
      <c r="G58" t="s">
        <v>132</v>
      </c>
      <c r="H58" t="s">
        <v>132</v>
      </c>
      <c r="I58" t="str">
        <f t="shared" si="1"/>
        <v>Mayo</v>
      </c>
      <c r="J58" t="str">
        <f t="shared" ca="1" si="8"/>
        <v>0-30</v>
      </c>
      <c r="K58" t="str">
        <f t="shared" ca="1" si="9"/>
        <v>Normal</v>
      </c>
      <c r="L58" t="s">
        <v>22</v>
      </c>
      <c r="M58" s="1">
        <v>308297</v>
      </c>
    </row>
    <row r="59" spans="1:13" x14ac:dyDescent="0.3">
      <c r="A59" t="s">
        <v>125</v>
      </c>
      <c r="B59" t="s">
        <v>126</v>
      </c>
      <c r="C59" t="s">
        <v>129</v>
      </c>
      <c r="D59" t="s">
        <v>9</v>
      </c>
      <c r="E59">
        <v>634</v>
      </c>
      <c r="F59" s="5">
        <f ca="1">F1-H59</f>
        <v>12</v>
      </c>
      <c r="G59" t="s">
        <v>110</v>
      </c>
      <c r="H59" t="s">
        <v>110</v>
      </c>
      <c r="I59" t="str">
        <f t="shared" si="1"/>
        <v>Mayo</v>
      </c>
      <c r="J59" t="str">
        <f t="shared" ca="1" si="8"/>
        <v>0-30</v>
      </c>
      <c r="K59" t="str">
        <f t="shared" ca="1" si="9"/>
        <v>Normal</v>
      </c>
      <c r="L59" t="s">
        <v>22</v>
      </c>
      <c r="M59" s="1">
        <v>72356</v>
      </c>
    </row>
    <row r="60" spans="1:13" x14ac:dyDescent="0.3">
      <c r="A60" t="s">
        <v>125</v>
      </c>
      <c r="B60" t="s">
        <v>126</v>
      </c>
      <c r="C60" t="s">
        <v>129</v>
      </c>
      <c r="D60" t="s">
        <v>9</v>
      </c>
      <c r="E60">
        <v>638</v>
      </c>
      <c r="F60" s="5">
        <f ca="1">F1-H60</f>
        <v>11</v>
      </c>
      <c r="G60" t="s">
        <v>116</v>
      </c>
      <c r="H60" t="s">
        <v>116</v>
      </c>
      <c r="I60" t="str">
        <f t="shared" si="1"/>
        <v>Mayo</v>
      </c>
      <c r="J60" t="str">
        <f t="shared" ca="1" si="8"/>
        <v>0-30</v>
      </c>
      <c r="K60" t="str">
        <f t="shared" ca="1" si="9"/>
        <v>Normal</v>
      </c>
      <c r="L60" t="s">
        <v>22</v>
      </c>
      <c r="M60" s="1">
        <v>99990</v>
      </c>
    </row>
    <row r="61" spans="1:13" x14ac:dyDescent="0.3">
      <c r="A61" t="s">
        <v>127</v>
      </c>
      <c r="B61" t="s">
        <v>128</v>
      </c>
      <c r="C61" t="s">
        <v>129</v>
      </c>
      <c r="D61" t="s">
        <v>9</v>
      </c>
      <c r="E61">
        <v>636</v>
      </c>
      <c r="F61" s="5">
        <f ca="1">F1-H61</f>
        <v>12</v>
      </c>
      <c r="G61" t="s">
        <v>110</v>
      </c>
      <c r="H61" t="s">
        <v>110</v>
      </c>
      <c r="I61" t="str">
        <f t="shared" si="1"/>
        <v>Mayo</v>
      </c>
      <c r="J61" t="str">
        <f t="shared" ca="1" si="8"/>
        <v>0-30</v>
      </c>
      <c r="K61" t="str">
        <f t="shared" ca="1" si="9"/>
        <v>Normal</v>
      </c>
      <c r="L61" t="s">
        <v>22</v>
      </c>
      <c r="M61" s="1">
        <v>87044</v>
      </c>
    </row>
    <row r="62" spans="1:13" x14ac:dyDescent="0.3">
      <c r="A62" t="s">
        <v>92</v>
      </c>
      <c r="B62" t="s">
        <v>93</v>
      </c>
      <c r="C62" t="s">
        <v>29</v>
      </c>
      <c r="D62" t="s">
        <v>9</v>
      </c>
      <c r="E62">
        <v>608</v>
      </c>
      <c r="F62" s="5">
        <f ca="1">F1-H62</f>
        <v>17</v>
      </c>
      <c r="G62" t="s">
        <v>97</v>
      </c>
      <c r="H62" t="s">
        <v>94</v>
      </c>
      <c r="I62" t="str">
        <f t="shared" ref="I62:I65" si="10">PROPER(TEXT(H62,"mmmm"))</f>
        <v>Abril</v>
      </c>
      <c r="J62" t="str">
        <f t="shared" ca="1" si="8"/>
        <v>0-30</v>
      </c>
      <c r="K62" t="str">
        <f t="shared" ca="1" si="9"/>
        <v>Normal</v>
      </c>
      <c r="L62" t="s">
        <v>12</v>
      </c>
      <c r="M62" s="1">
        <v>824670</v>
      </c>
    </row>
    <row r="63" spans="1:13" x14ac:dyDescent="0.3">
      <c r="A63" t="s">
        <v>158</v>
      </c>
      <c r="B63" t="s">
        <v>159</v>
      </c>
      <c r="C63" t="s">
        <v>15</v>
      </c>
      <c r="D63" t="s">
        <v>9</v>
      </c>
      <c r="E63">
        <v>650</v>
      </c>
      <c r="F63" s="5">
        <f ca="1">F1-H63</f>
        <v>-29</v>
      </c>
      <c r="G63" t="s">
        <v>173</v>
      </c>
      <c r="H63" t="s">
        <v>168</v>
      </c>
      <c r="I63" t="str">
        <f t="shared" si="10"/>
        <v>Junio</v>
      </c>
      <c r="J63" t="str">
        <f t="shared" ca="1" si="8"/>
        <v>0-30</v>
      </c>
      <c r="K63" t="str">
        <f t="shared" ca="1" si="9"/>
        <v>Normal</v>
      </c>
      <c r="L63" t="s">
        <v>12</v>
      </c>
      <c r="M63" s="1">
        <v>232050</v>
      </c>
    </row>
    <row r="64" spans="1:13" x14ac:dyDescent="0.3">
      <c r="A64" t="s">
        <v>46</v>
      </c>
      <c r="B64" t="s">
        <v>47</v>
      </c>
      <c r="C64" t="s">
        <v>15</v>
      </c>
      <c r="D64" t="s">
        <v>9</v>
      </c>
      <c r="E64">
        <v>602</v>
      </c>
      <c r="F64" s="5">
        <f ca="1">F1-H64</f>
        <v>36</v>
      </c>
      <c r="G64" t="s">
        <v>63</v>
      </c>
      <c r="H64" t="s">
        <v>76</v>
      </c>
      <c r="I64" t="str">
        <f t="shared" si="10"/>
        <v>Abril</v>
      </c>
      <c r="J64" t="str">
        <f t="shared" ca="1" si="8"/>
        <v>31-60</v>
      </c>
      <c r="K64" t="str">
        <f t="shared" ca="1" si="9"/>
        <v>Alerta</v>
      </c>
      <c r="L64" t="s">
        <v>12</v>
      </c>
      <c r="M64" s="1">
        <v>1071000</v>
      </c>
    </row>
    <row r="65" spans="1:13" x14ac:dyDescent="0.3">
      <c r="A65" t="s">
        <v>160</v>
      </c>
      <c r="B65" t="s">
        <v>161</v>
      </c>
      <c r="C65" t="s">
        <v>15</v>
      </c>
      <c r="D65" t="s">
        <v>9</v>
      </c>
      <c r="E65">
        <v>661</v>
      </c>
      <c r="F65" s="5">
        <f ca="1">F1-H65</f>
        <v>-3</v>
      </c>
      <c r="G65" t="s">
        <v>118</v>
      </c>
      <c r="H65" t="s">
        <v>131</v>
      </c>
      <c r="I65" t="str">
        <f t="shared" si="10"/>
        <v>Mayo</v>
      </c>
      <c r="J65" t="str">
        <f t="shared" ca="1" si="8"/>
        <v>0-30</v>
      </c>
      <c r="K65" t="str">
        <f t="shared" ca="1" si="9"/>
        <v>Normal</v>
      </c>
      <c r="L65" t="s">
        <v>12</v>
      </c>
      <c r="M65" s="1">
        <v>683298</v>
      </c>
    </row>
  </sheetData>
  <autoFilter ref="A2:M65" xr:uid="{00000000-0009-0000-0000-000001000000}"/>
  <conditionalFormatting sqref="K1:K1048576">
    <cfRule type="containsText" dxfId="2" priority="1" operator="containsText" text="normal">
      <formula>NOT(ISERROR(SEARCH("normal",K1)))</formula>
    </cfRule>
    <cfRule type="containsText" dxfId="1" priority="2" operator="containsText" text="alerta">
      <formula>NOT(ISERROR(SEARCH("alerta",K1)))</formula>
    </cfRule>
  </conditionalFormatting>
  <conditionalFormatting sqref="K3:K65">
    <cfRule type="containsText" dxfId="0" priority="3" operator="containsText" text="riesgo">
      <formula>NOT(ISERROR(SEARCH("riesgo",K3)))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Detalle</vt:lpstr>
      <vt:lpstr>Detalle Mora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Agroveca Chile</dc:creator>
  <cp:lastModifiedBy>Agroveca Chile</cp:lastModifiedBy>
  <dcterms:created xsi:type="dcterms:W3CDTF">2026-03-15T15:45:31Z</dcterms:created>
  <dcterms:modified xsi:type="dcterms:W3CDTF">2026-05-18T02:25:55Z</dcterms:modified>
</cp:coreProperties>
</file>