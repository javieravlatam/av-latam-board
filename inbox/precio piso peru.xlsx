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avieralmeida/Desktop/avboard/inbox/"/>
    </mc:Choice>
  </mc:AlternateContent>
  <xr:revisionPtr revIDLastSave="0" documentId="13_ncr:1_{B1EB019D-5365-E045-AEE8-F1FD2AB97AA8}" xr6:coauthVersionLast="47" xr6:coauthVersionMax="47" xr10:uidLastSave="{00000000-0000-0000-0000-000000000000}"/>
  <bookViews>
    <workbookView xWindow="30780" yWindow="600" windowWidth="34440" windowHeight="21000" tabRatio="500" activeTab="1" xr2:uid="{00000000-000D-0000-FFFF-FFFF00000000}"/>
  </bookViews>
  <sheets>
    <sheet name="Pricing Piso Peru" sheetId="1" r:id="rId1"/>
    <sheet name="precios piso peru " sheetId="2" r:id="rId2"/>
  </sheets>
  <definedNames>
    <definedName name="_xlnm._FilterDatabase" localSheetId="0" hidden="1">'Pricing Piso Peru'!$A$5:$N$109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5" i="2"/>
  <c r="D108" i="2"/>
  <c r="C108" i="2"/>
  <c r="B108" i="2"/>
  <c r="D107" i="2"/>
  <c r="C107" i="2"/>
  <c r="B107" i="2"/>
  <c r="D106" i="2"/>
  <c r="C106" i="2"/>
  <c r="B106" i="2"/>
  <c r="D105" i="2"/>
  <c r="C105" i="2"/>
  <c r="B105" i="2"/>
  <c r="D104" i="2"/>
  <c r="C104" i="2"/>
  <c r="B104" i="2"/>
  <c r="D103" i="2"/>
  <c r="C103" i="2"/>
  <c r="B103" i="2"/>
  <c r="D102" i="2"/>
  <c r="C102" i="2"/>
  <c r="B102" i="2"/>
  <c r="D101" i="2"/>
  <c r="C101" i="2"/>
  <c r="B101" i="2"/>
  <c r="D100" i="2"/>
  <c r="C100" i="2"/>
  <c r="B100" i="2"/>
  <c r="D99" i="2"/>
  <c r="C99" i="2"/>
  <c r="B99" i="2"/>
  <c r="D98" i="2"/>
  <c r="C98" i="2"/>
  <c r="B98" i="2"/>
  <c r="D97" i="2"/>
  <c r="C97" i="2"/>
  <c r="B97" i="2"/>
  <c r="D96" i="2"/>
  <c r="C96" i="2"/>
  <c r="B96" i="2"/>
  <c r="D95" i="2"/>
  <c r="C95" i="2"/>
  <c r="B95" i="2"/>
  <c r="D94" i="2"/>
  <c r="C94" i="2"/>
  <c r="B94" i="2"/>
  <c r="D93" i="2"/>
  <c r="C93" i="2"/>
  <c r="B93" i="2"/>
  <c r="D92" i="2"/>
  <c r="C92" i="2"/>
  <c r="B92" i="2"/>
  <c r="D91" i="2"/>
  <c r="C91" i="2"/>
  <c r="B91" i="2"/>
  <c r="D90" i="2"/>
  <c r="C90" i="2"/>
  <c r="B90" i="2"/>
  <c r="D89" i="2"/>
  <c r="C89" i="2"/>
  <c r="B89" i="2"/>
  <c r="D88" i="2"/>
  <c r="C88" i="2"/>
  <c r="B88" i="2"/>
  <c r="D87" i="2"/>
  <c r="C87" i="2"/>
  <c r="B87" i="2"/>
  <c r="D86" i="2"/>
  <c r="C86" i="2"/>
  <c r="B86" i="2"/>
  <c r="D85" i="2"/>
  <c r="C85" i="2"/>
  <c r="B85" i="2"/>
  <c r="D84" i="2"/>
  <c r="C84" i="2"/>
  <c r="B84" i="2"/>
  <c r="D83" i="2"/>
  <c r="C83" i="2"/>
  <c r="B83" i="2"/>
  <c r="D82" i="2"/>
  <c r="C82" i="2"/>
  <c r="B82" i="2"/>
  <c r="D81" i="2"/>
  <c r="C81" i="2"/>
  <c r="B81" i="2"/>
  <c r="D80" i="2"/>
  <c r="C80" i="2"/>
  <c r="B80" i="2"/>
  <c r="D79" i="2"/>
  <c r="C79" i="2"/>
  <c r="B79" i="2"/>
  <c r="D78" i="2"/>
  <c r="C78" i="2"/>
  <c r="B78" i="2"/>
  <c r="D77" i="2"/>
  <c r="C77" i="2"/>
  <c r="B77" i="2"/>
  <c r="D76" i="2"/>
  <c r="C76" i="2"/>
  <c r="B76" i="2"/>
  <c r="D75" i="2"/>
  <c r="C75" i="2"/>
  <c r="B75" i="2"/>
  <c r="D74" i="2"/>
  <c r="C74" i="2"/>
  <c r="B74" i="2"/>
  <c r="D73" i="2"/>
  <c r="C73" i="2"/>
  <c r="B73" i="2"/>
  <c r="D72" i="2"/>
  <c r="C72" i="2"/>
  <c r="B72" i="2"/>
  <c r="D71" i="2"/>
  <c r="C71" i="2"/>
  <c r="B71" i="2"/>
  <c r="D70" i="2"/>
  <c r="C70" i="2"/>
  <c r="B70" i="2"/>
  <c r="D69" i="2"/>
  <c r="C69" i="2"/>
  <c r="B69" i="2"/>
  <c r="D68" i="2"/>
  <c r="C68" i="2"/>
  <c r="B68" i="2"/>
  <c r="D67" i="2"/>
  <c r="C67" i="2"/>
  <c r="B67" i="2"/>
  <c r="D66" i="2"/>
  <c r="C66" i="2"/>
  <c r="B66" i="2"/>
  <c r="D65" i="2"/>
  <c r="C65" i="2"/>
  <c r="B65" i="2"/>
  <c r="D64" i="2"/>
  <c r="C64" i="2"/>
  <c r="B64" i="2"/>
  <c r="D63" i="2"/>
  <c r="C63" i="2"/>
  <c r="B63" i="2"/>
  <c r="D62" i="2"/>
  <c r="C62" i="2"/>
  <c r="B62" i="2"/>
  <c r="D61" i="2"/>
  <c r="C61" i="2"/>
  <c r="B61" i="2"/>
  <c r="D60" i="2"/>
  <c r="C60" i="2"/>
  <c r="B60" i="2"/>
  <c r="D59" i="2"/>
  <c r="C59" i="2"/>
  <c r="B59" i="2"/>
  <c r="D58" i="2"/>
  <c r="C58" i="2"/>
  <c r="B58" i="2"/>
  <c r="D57" i="2"/>
  <c r="C57" i="2"/>
  <c r="B57" i="2"/>
  <c r="D56" i="2"/>
  <c r="C56" i="2"/>
  <c r="B56" i="2"/>
  <c r="D55" i="2"/>
  <c r="C55" i="2"/>
  <c r="B55" i="2"/>
  <c r="D54" i="2"/>
  <c r="C54" i="2"/>
  <c r="B54" i="2"/>
  <c r="D53" i="2"/>
  <c r="C53" i="2"/>
  <c r="B53" i="2"/>
  <c r="D52" i="2"/>
  <c r="C52" i="2"/>
  <c r="B52" i="2"/>
  <c r="D51" i="2"/>
  <c r="C51" i="2"/>
  <c r="B51" i="2"/>
  <c r="D50" i="2"/>
  <c r="C50" i="2"/>
  <c r="B50" i="2"/>
  <c r="D49" i="2"/>
  <c r="C49" i="2"/>
  <c r="B49" i="2"/>
  <c r="D48" i="2"/>
  <c r="C48" i="2"/>
  <c r="B48" i="2"/>
  <c r="D47" i="2"/>
  <c r="C47" i="2"/>
  <c r="B47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C42" i="2"/>
  <c r="B42" i="2"/>
  <c r="D41" i="2"/>
  <c r="C41" i="2"/>
  <c r="B41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D29" i="2"/>
  <c r="C29" i="2"/>
  <c r="B29" i="2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M109" i="1"/>
  <c r="L109" i="1"/>
  <c r="G109" i="1"/>
  <c r="E109" i="1"/>
  <c r="J109" i="1" s="1"/>
  <c r="M108" i="1"/>
  <c r="L108" i="1"/>
  <c r="G108" i="1"/>
  <c r="F108" i="1"/>
  <c r="K108" i="1" s="1"/>
  <c r="E108" i="1"/>
  <c r="J108" i="1" s="1"/>
  <c r="M107" i="1"/>
  <c r="L107" i="1"/>
  <c r="G107" i="1"/>
  <c r="E107" i="1"/>
  <c r="J107" i="1" s="1"/>
  <c r="M106" i="1"/>
  <c r="L106" i="1"/>
  <c r="G106" i="1"/>
  <c r="E106" i="1"/>
  <c r="J106" i="1" s="1"/>
  <c r="M105" i="1"/>
  <c r="L105" i="1"/>
  <c r="J105" i="1"/>
  <c r="G105" i="1"/>
  <c r="F105" i="1"/>
  <c r="K105" i="1" s="1"/>
  <c r="E105" i="1"/>
  <c r="M104" i="1"/>
  <c r="L104" i="1"/>
  <c r="J104" i="1"/>
  <c r="G104" i="1"/>
  <c r="E104" i="1"/>
  <c r="F104" i="1" s="1"/>
  <c r="K104" i="1" s="1"/>
  <c r="M103" i="1"/>
  <c r="L103" i="1"/>
  <c r="J103" i="1"/>
  <c r="G103" i="1"/>
  <c r="F103" i="1"/>
  <c r="K103" i="1" s="1"/>
  <c r="E103" i="1"/>
  <c r="M102" i="1"/>
  <c r="L102" i="1"/>
  <c r="G102" i="1"/>
  <c r="E102" i="1"/>
  <c r="J102" i="1" s="1"/>
  <c r="M101" i="1"/>
  <c r="L101" i="1"/>
  <c r="G101" i="1"/>
  <c r="E101" i="1"/>
  <c r="J101" i="1" s="1"/>
  <c r="M100" i="1"/>
  <c r="L100" i="1"/>
  <c r="G100" i="1"/>
  <c r="F100" i="1"/>
  <c r="K100" i="1" s="1"/>
  <c r="E100" i="1"/>
  <c r="J100" i="1" s="1"/>
  <c r="M99" i="1"/>
  <c r="L99" i="1"/>
  <c r="G99" i="1"/>
  <c r="E99" i="1"/>
  <c r="J99" i="1" s="1"/>
  <c r="M98" i="1"/>
  <c r="L98" i="1"/>
  <c r="G98" i="1"/>
  <c r="E98" i="1"/>
  <c r="J98" i="1" s="1"/>
  <c r="M97" i="1"/>
  <c r="L97" i="1"/>
  <c r="J97" i="1"/>
  <c r="G97" i="1"/>
  <c r="F97" i="1"/>
  <c r="K97" i="1" s="1"/>
  <c r="E97" i="1"/>
  <c r="M96" i="1"/>
  <c r="L96" i="1"/>
  <c r="J96" i="1"/>
  <c r="G96" i="1"/>
  <c r="E96" i="1"/>
  <c r="F96" i="1" s="1"/>
  <c r="K96" i="1" s="1"/>
  <c r="M95" i="1"/>
  <c r="L95" i="1"/>
  <c r="J95" i="1"/>
  <c r="G95" i="1"/>
  <c r="F95" i="1"/>
  <c r="K95" i="1" s="1"/>
  <c r="E95" i="1"/>
  <c r="M94" i="1"/>
  <c r="L94" i="1"/>
  <c r="G94" i="1"/>
  <c r="E94" i="1"/>
  <c r="J94" i="1" s="1"/>
  <c r="M93" i="1"/>
  <c r="L93" i="1"/>
  <c r="G93" i="1"/>
  <c r="E93" i="1"/>
  <c r="J93" i="1" s="1"/>
  <c r="M92" i="1"/>
  <c r="L92" i="1"/>
  <c r="G92" i="1"/>
  <c r="F92" i="1"/>
  <c r="K92" i="1" s="1"/>
  <c r="E92" i="1"/>
  <c r="J92" i="1" s="1"/>
  <c r="M91" i="1"/>
  <c r="L91" i="1"/>
  <c r="G91" i="1"/>
  <c r="E91" i="1"/>
  <c r="J91" i="1" s="1"/>
  <c r="M90" i="1"/>
  <c r="L90" i="1"/>
  <c r="G90" i="1"/>
  <c r="E90" i="1"/>
  <c r="J90" i="1" s="1"/>
  <c r="M89" i="1"/>
  <c r="L89" i="1"/>
  <c r="J89" i="1"/>
  <c r="G89" i="1"/>
  <c r="F89" i="1"/>
  <c r="K89" i="1" s="1"/>
  <c r="E89" i="1"/>
  <c r="M88" i="1"/>
  <c r="L88" i="1"/>
  <c r="J88" i="1"/>
  <c r="G88" i="1"/>
  <c r="E88" i="1"/>
  <c r="F88" i="1" s="1"/>
  <c r="K88" i="1" s="1"/>
  <c r="M87" i="1"/>
  <c r="L87" i="1"/>
  <c r="J87" i="1"/>
  <c r="G87" i="1"/>
  <c r="F87" i="1"/>
  <c r="K87" i="1" s="1"/>
  <c r="E87" i="1"/>
  <c r="M86" i="1"/>
  <c r="L86" i="1"/>
  <c r="G86" i="1"/>
  <c r="E86" i="1"/>
  <c r="J86" i="1" s="1"/>
  <c r="M85" i="1"/>
  <c r="L85" i="1"/>
  <c r="G85" i="1"/>
  <c r="E85" i="1"/>
  <c r="J85" i="1" s="1"/>
  <c r="M84" i="1"/>
  <c r="L84" i="1"/>
  <c r="G84" i="1"/>
  <c r="F84" i="1"/>
  <c r="K84" i="1" s="1"/>
  <c r="E84" i="1"/>
  <c r="J84" i="1" s="1"/>
  <c r="M83" i="1"/>
  <c r="L83" i="1"/>
  <c r="G83" i="1"/>
  <c r="E83" i="1"/>
  <c r="J83" i="1" s="1"/>
  <c r="M82" i="1"/>
  <c r="L82" i="1"/>
  <c r="G82" i="1"/>
  <c r="E82" i="1"/>
  <c r="J82" i="1" s="1"/>
  <c r="M81" i="1"/>
  <c r="L81" i="1"/>
  <c r="J81" i="1"/>
  <c r="G81" i="1"/>
  <c r="F81" i="1"/>
  <c r="K81" i="1" s="1"/>
  <c r="E81" i="1"/>
  <c r="M80" i="1"/>
  <c r="L80" i="1"/>
  <c r="J80" i="1"/>
  <c r="G80" i="1"/>
  <c r="E80" i="1"/>
  <c r="F80" i="1" s="1"/>
  <c r="K80" i="1" s="1"/>
  <c r="M79" i="1"/>
  <c r="L79" i="1"/>
  <c r="J79" i="1"/>
  <c r="G79" i="1"/>
  <c r="F79" i="1"/>
  <c r="K79" i="1" s="1"/>
  <c r="E79" i="1"/>
  <c r="M78" i="1"/>
  <c r="L78" i="1"/>
  <c r="G78" i="1"/>
  <c r="E78" i="1"/>
  <c r="J78" i="1" s="1"/>
  <c r="M77" i="1"/>
  <c r="L77" i="1"/>
  <c r="G77" i="1"/>
  <c r="E77" i="1"/>
  <c r="J77" i="1" s="1"/>
  <c r="M76" i="1"/>
  <c r="L76" i="1"/>
  <c r="G76" i="1"/>
  <c r="F76" i="1"/>
  <c r="K76" i="1" s="1"/>
  <c r="E76" i="1"/>
  <c r="J76" i="1" s="1"/>
  <c r="M75" i="1"/>
  <c r="L75" i="1"/>
  <c r="G75" i="1"/>
  <c r="E75" i="1"/>
  <c r="J75" i="1" s="1"/>
  <c r="M74" i="1"/>
  <c r="L74" i="1"/>
  <c r="G74" i="1"/>
  <c r="E74" i="1"/>
  <c r="J74" i="1" s="1"/>
  <c r="M73" i="1"/>
  <c r="L73" i="1"/>
  <c r="K73" i="1"/>
  <c r="J73" i="1"/>
  <c r="G73" i="1"/>
  <c r="F73" i="1"/>
  <c r="E73" i="1"/>
  <c r="M72" i="1"/>
  <c r="L72" i="1"/>
  <c r="J72" i="1"/>
  <c r="G72" i="1"/>
  <c r="E72" i="1"/>
  <c r="F72" i="1" s="1"/>
  <c r="K72" i="1" s="1"/>
  <c r="M71" i="1"/>
  <c r="L71" i="1"/>
  <c r="J71" i="1"/>
  <c r="G71" i="1"/>
  <c r="F71" i="1"/>
  <c r="K71" i="1" s="1"/>
  <c r="E71" i="1"/>
  <c r="M70" i="1"/>
  <c r="L70" i="1"/>
  <c r="G70" i="1"/>
  <c r="E70" i="1"/>
  <c r="J70" i="1" s="1"/>
  <c r="M69" i="1"/>
  <c r="L69" i="1"/>
  <c r="G69" i="1"/>
  <c r="E69" i="1"/>
  <c r="J69" i="1" s="1"/>
  <c r="M68" i="1"/>
  <c r="L68" i="1"/>
  <c r="G68" i="1"/>
  <c r="F68" i="1"/>
  <c r="K68" i="1" s="1"/>
  <c r="E68" i="1"/>
  <c r="J68" i="1" s="1"/>
  <c r="M67" i="1"/>
  <c r="L67" i="1"/>
  <c r="G67" i="1"/>
  <c r="E67" i="1"/>
  <c r="J67" i="1" s="1"/>
  <c r="M66" i="1"/>
  <c r="L66" i="1"/>
  <c r="G66" i="1"/>
  <c r="E66" i="1"/>
  <c r="J66" i="1" s="1"/>
  <c r="M65" i="1"/>
  <c r="L65" i="1"/>
  <c r="K65" i="1"/>
  <c r="J65" i="1"/>
  <c r="G65" i="1"/>
  <c r="F65" i="1"/>
  <c r="E65" i="1"/>
  <c r="M64" i="1"/>
  <c r="L64" i="1"/>
  <c r="J64" i="1"/>
  <c r="G64" i="1"/>
  <c r="E64" i="1"/>
  <c r="F64" i="1" s="1"/>
  <c r="K64" i="1" s="1"/>
  <c r="M63" i="1"/>
  <c r="L63" i="1"/>
  <c r="J63" i="1"/>
  <c r="G63" i="1"/>
  <c r="F63" i="1"/>
  <c r="K63" i="1" s="1"/>
  <c r="E63" i="1"/>
  <c r="M62" i="1"/>
  <c r="L62" i="1"/>
  <c r="G62" i="1"/>
  <c r="E62" i="1"/>
  <c r="J62" i="1" s="1"/>
  <c r="M61" i="1"/>
  <c r="L61" i="1"/>
  <c r="G61" i="1"/>
  <c r="E61" i="1"/>
  <c r="J61" i="1" s="1"/>
  <c r="M60" i="1"/>
  <c r="L60" i="1"/>
  <c r="G60" i="1"/>
  <c r="F60" i="1"/>
  <c r="K60" i="1" s="1"/>
  <c r="E60" i="1"/>
  <c r="J60" i="1" s="1"/>
  <c r="M59" i="1"/>
  <c r="L59" i="1"/>
  <c r="G59" i="1"/>
  <c r="E59" i="1"/>
  <c r="J59" i="1" s="1"/>
  <c r="M58" i="1"/>
  <c r="L58" i="1"/>
  <c r="G58" i="1"/>
  <c r="E58" i="1"/>
  <c r="J58" i="1" s="1"/>
  <c r="M57" i="1"/>
  <c r="L57" i="1"/>
  <c r="K57" i="1"/>
  <c r="J57" i="1"/>
  <c r="G57" i="1"/>
  <c r="F57" i="1"/>
  <c r="E57" i="1"/>
  <c r="M56" i="1"/>
  <c r="L56" i="1"/>
  <c r="J56" i="1"/>
  <c r="G56" i="1"/>
  <c r="E56" i="1"/>
  <c r="F56" i="1" s="1"/>
  <c r="K56" i="1" s="1"/>
  <c r="M55" i="1"/>
  <c r="L55" i="1"/>
  <c r="J55" i="1"/>
  <c r="G55" i="1"/>
  <c r="F55" i="1"/>
  <c r="K55" i="1" s="1"/>
  <c r="E55" i="1"/>
  <c r="M54" i="1"/>
  <c r="L54" i="1"/>
  <c r="G54" i="1"/>
  <c r="E54" i="1"/>
  <c r="J54" i="1" s="1"/>
  <c r="M53" i="1"/>
  <c r="L53" i="1"/>
  <c r="G53" i="1"/>
  <c r="E53" i="1"/>
  <c r="J53" i="1" s="1"/>
  <c r="M52" i="1"/>
  <c r="L52" i="1"/>
  <c r="G52" i="1"/>
  <c r="F52" i="1"/>
  <c r="K52" i="1" s="1"/>
  <c r="E52" i="1"/>
  <c r="J52" i="1" s="1"/>
  <c r="M51" i="1"/>
  <c r="L51" i="1"/>
  <c r="G51" i="1"/>
  <c r="E51" i="1"/>
  <c r="J51" i="1" s="1"/>
  <c r="M50" i="1"/>
  <c r="L50" i="1"/>
  <c r="G50" i="1"/>
  <c r="E50" i="1"/>
  <c r="J50" i="1" s="1"/>
  <c r="M49" i="1"/>
  <c r="L49" i="1"/>
  <c r="J49" i="1"/>
  <c r="G49" i="1"/>
  <c r="F49" i="1"/>
  <c r="K49" i="1" s="1"/>
  <c r="E49" i="1"/>
  <c r="M48" i="1"/>
  <c r="L48" i="1"/>
  <c r="J48" i="1"/>
  <c r="G48" i="1"/>
  <c r="E48" i="1"/>
  <c r="F48" i="1" s="1"/>
  <c r="K48" i="1" s="1"/>
  <c r="M47" i="1"/>
  <c r="L47" i="1"/>
  <c r="J47" i="1"/>
  <c r="G47" i="1"/>
  <c r="F47" i="1"/>
  <c r="K47" i="1" s="1"/>
  <c r="E47" i="1"/>
  <c r="M46" i="1"/>
  <c r="L46" i="1"/>
  <c r="G46" i="1"/>
  <c r="E46" i="1"/>
  <c r="J46" i="1" s="1"/>
  <c r="M45" i="1"/>
  <c r="L45" i="1"/>
  <c r="G45" i="1"/>
  <c r="E45" i="1"/>
  <c r="J45" i="1" s="1"/>
  <c r="M44" i="1"/>
  <c r="L44" i="1"/>
  <c r="G44" i="1"/>
  <c r="F44" i="1"/>
  <c r="K44" i="1" s="1"/>
  <c r="E44" i="1"/>
  <c r="J44" i="1" s="1"/>
  <c r="M43" i="1"/>
  <c r="L43" i="1"/>
  <c r="G43" i="1"/>
  <c r="E43" i="1"/>
  <c r="F43" i="1" s="1"/>
  <c r="K43" i="1" s="1"/>
  <c r="M42" i="1"/>
  <c r="L42" i="1"/>
  <c r="G42" i="1"/>
  <c r="E42" i="1"/>
  <c r="J42" i="1" s="1"/>
  <c r="M41" i="1"/>
  <c r="L41" i="1"/>
  <c r="J41" i="1"/>
  <c r="G41" i="1"/>
  <c r="F41" i="1"/>
  <c r="K41" i="1" s="1"/>
  <c r="E41" i="1"/>
  <c r="M40" i="1"/>
  <c r="L40" i="1"/>
  <c r="J40" i="1"/>
  <c r="G40" i="1"/>
  <c r="E40" i="1"/>
  <c r="F40" i="1" s="1"/>
  <c r="K40" i="1" s="1"/>
  <c r="M39" i="1"/>
  <c r="L39" i="1"/>
  <c r="J39" i="1"/>
  <c r="G39" i="1"/>
  <c r="F39" i="1"/>
  <c r="K39" i="1" s="1"/>
  <c r="E39" i="1"/>
  <c r="M38" i="1"/>
  <c r="L38" i="1"/>
  <c r="G38" i="1"/>
  <c r="E38" i="1"/>
  <c r="J38" i="1" s="1"/>
  <c r="M37" i="1"/>
  <c r="L37" i="1"/>
  <c r="G37" i="1"/>
  <c r="E37" i="1"/>
  <c r="J37" i="1" s="1"/>
  <c r="M36" i="1"/>
  <c r="L36" i="1"/>
  <c r="G36" i="1"/>
  <c r="F36" i="1"/>
  <c r="K36" i="1" s="1"/>
  <c r="E36" i="1"/>
  <c r="J36" i="1" s="1"/>
  <c r="M35" i="1"/>
  <c r="L35" i="1"/>
  <c r="G35" i="1"/>
  <c r="E35" i="1"/>
  <c r="F35" i="1" s="1"/>
  <c r="K35" i="1" s="1"/>
  <c r="M34" i="1"/>
  <c r="L34" i="1"/>
  <c r="G34" i="1"/>
  <c r="E34" i="1"/>
  <c r="J34" i="1" s="1"/>
  <c r="M33" i="1"/>
  <c r="L33" i="1"/>
  <c r="J33" i="1"/>
  <c r="G33" i="1"/>
  <c r="F33" i="1"/>
  <c r="K33" i="1" s="1"/>
  <c r="E33" i="1"/>
  <c r="M32" i="1"/>
  <c r="L32" i="1"/>
  <c r="J32" i="1"/>
  <c r="G32" i="1"/>
  <c r="E32" i="1"/>
  <c r="F32" i="1" s="1"/>
  <c r="K32" i="1" s="1"/>
  <c r="M31" i="1"/>
  <c r="L31" i="1"/>
  <c r="J31" i="1"/>
  <c r="G31" i="1"/>
  <c r="F31" i="1"/>
  <c r="K31" i="1" s="1"/>
  <c r="E31" i="1"/>
  <c r="M30" i="1"/>
  <c r="L30" i="1"/>
  <c r="G30" i="1"/>
  <c r="E30" i="1"/>
  <c r="J30" i="1" s="1"/>
  <c r="M29" i="1"/>
  <c r="L29" i="1"/>
  <c r="G29" i="1"/>
  <c r="E29" i="1"/>
  <c r="J29" i="1" s="1"/>
  <c r="M28" i="1"/>
  <c r="L28" i="1"/>
  <c r="G28" i="1"/>
  <c r="F28" i="1"/>
  <c r="K28" i="1" s="1"/>
  <c r="E28" i="1"/>
  <c r="J28" i="1" s="1"/>
  <c r="M27" i="1"/>
  <c r="L27" i="1"/>
  <c r="G27" i="1"/>
  <c r="E27" i="1"/>
  <c r="F27" i="1" s="1"/>
  <c r="K27" i="1" s="1"/>
  <c r="M26" i="1"/>
  <c r="L26" i="1"/>
  <c r="G26" i="1"/>
  <c r="E26" i="1"/>
  <c r="J26" i="1" s="1"/>
  <c r="M25" i="1"/>
  <c r="L25" i="1"/>
  <c r="J25" i="1"/>
  <c r="G25" i="1"/>
  <c r="F25" i="1"/>
  <c r="K25" i="1" s="1"/>
  <c r="E25" i="1"/>
  <c r="M24" i="1"/>
  <c r="L24" i="1"/>
  <c r="J24" i="1"/>
  <c r="G24" i="1"/>
  <c r="E24" i="1"/>
  <c r="F24" i="1" s="1"/>
  <c r="K24" i="1" s="1"/>
  <c r="M23" i="1"/>
  <c r="L23" i="1"/>
  <c r="J23" i="1"/>
  <c r="G23" i="1"/>
  <c r="F23" i="1"/>
  <c r="K23" i="1" s="1"/>
  <c r="E23" i="1"/>
  <c r="M22" i="1"/>
  <c r="L22" i="1"/>
  <c r="G22" i="1"/>
  <c r="E22" i="1"/>
  <c r="J22" i="1" s="1"/>
  <c r="M21" i="1"/>
  <c r="L21" i="1"/>
  <c r="G21" i="1"/>
  <c r="E21" i="1"/>
  <c r="J21" i="1" s="1"/>
  <c r="M20" i="1"/>
  <c r="L20" i="1"/>
  <c r="G20" i="1"/>
  <c r="F20" i="1"/>
  <c r="K20" i="1" s="1"/>
  <c r="E20" i="1"/>
  <c r="J20" i="1" s="1"/>
  <c r="M19" i="1"/>
  <c r="L19" i="1"/>
  <c r="G19" i="1"/>
  <c r="E19" i="1"/>
  <c r="J19" i="1" s="1"/>
  <c r="M18" i="1"/>
  <c r="L18" i="1"/>
  <c r="G18" i="1"/>
  <c r="E18" i="1"/>
  <c r="J18" i="1" s="1"/>
  <c r="M17" i="1"/>
  <c r="L17" i="1"/>
  <c r="J17" i="1"/>
  <c r="G17" i="1"/>
  <c r="F17" i="1"/>
  <c r="K17" i="1" s="1"/>
  <c r="E17" i="1"/>
  <c r="M16" i="1"/>
  <c r="L16" i="1"/>
  <c r="J16" i="1"/>
  <c r="G16" i="1"/>
  <c r="E16" i="1"/>
  <c r="F16" i="1" s="1"/>
  <c r="K16" i="1" s="1"/>
  <c r="M15" i="1"/>
  <c r="L15" i="1"/>
  <c r="J15" i="1"/>
  <c r="G15" i="1"/>
  <c r="F15" i="1"/>
  <c r="K15" i="1" s="1"/>
  <c r="E15" i="1"/>
  <c r="M14" i="1"/>
  <c r="L14" i="1"/>
  <c r="G14" i="1"/>
  <c r="E14" i="1"/>
  <c r="J14" i="1" s="1"/>
  <c r="M13" i="1"/>
  <c r="L13" i="1"/>
  <c r="G13" i="1"/>
  <c r="E13" i="1"/>
  <c r="J13" i="1" s="1"/>
  <c r="M12" i="1"/>
  <c r="L12" i="1"/>
  <c r="G12" i="1"/>
  <c r="F12" i="1"/>
  <c r="K12" i="1" s="1"/>
  <c r="E12" i="1"/>
  <c r="J12" i="1" s="1"/>
  <c r="M11" i="1"/>
  <c r="L11" i="1"/>
  <c r="G11" i="1"/>
  <c r="E11" i="1"/>
  <c r="F11" i="1" s="1"/>
  <c r="K11" i="1" s="1"/>
  <c r="M10" i="1"/>
  <c r="L10" i="1"/>
  <c r="G10" i="1"/>
  <c r="E10" i="1"/>
  <c r="J10" i="1" s="1"/>
  <c r="M9" i="1"/>
  <c r="L9" i="1"/>
  <c r="K9" i="1"/>
  <c r="J9" i="1"/>
  <c r="G9" i="1"/>
  <c r="F9" i="1"/>
  <c r="E9" i="1"/>
  <c r="M8" i="1"/>
  <c r="L8" i="1"/>
  <c r="J8" i="1"/>
  <c r="G8" i="1"/>
  <c r="E8" i="1"/>
  <c r="F8" i="1" s="1"/>
  <c r="K8" i="1" s="1"/>
  <c r="M7" i="1"/>
  <c r="L7" i="1"/>
  <c r="J7" i="1"/>
  <c r="G7" i="1"/>
  <c r="F7" i="1"/>
  <c r="K7" i="1" s="1"/>
  <c r="E7" i="1"/>
  <c r="M6" i="1"/>
  <c r="L6" i="1"/>
  <c r="G6" i="1"/>
  <c r="E6" i="1"/>
  <c r="J6" i="1" s="1"/>
  <c r="F6" i="1" l="1"/>
  <c r="K6" i="1" s="1"/>
  <c r="F14" i="1"/>
  <c r="K14" i="1" s="1"/>
  <c r="F22" i="1"/>
  <c r="K22" i="1" s="1"/>
  <c r="F30" i="1"/>
  <c r="K30" i="1" s="1"/>
  <c r="F38" i="1"/>
  <c r="K38" i="1" s="1"/>
  <c r="F46" i="1"/>
  <c r="K46" i="1" s="1"/>
  <c r="F54" i="1"/>
  <c r="K54" i="1" s="1"/>
  <c r="F62" i="1"/>
  <c r="K62" i="1" s="1"/>
  <c r="F70" i="1"/>
  <c r="K70" i="1" s="1"/>
  <c r="F78" i="1"/>
  <c r="K78" i="1" s="1"/>
  <c r="F86" i="1"/>
  <c r="K86" i="1" s="1"/>
  <c r="F94" i="1"/>
  <c r="K94" i="1" s="1"/>
  <c r="F102" i="1"/>
  <c r="K102" i="1" s="1"/>
  <c r="F13" i="1"/>
  <c r="K13" i="1" s="1"/>
  <c r="F21" i="1"/>
  <c r="K21" i="1" s="1"/>
  <c r="F29" i="1"/>
  <c r="K29" i="1" s="1"/>
  <c r="F37" i="1"/>
  <c r="K37" i="1" s="1"/>
  <c r="F45" i="1"/>
  <c r="K45" i="1" s="1"/>
  <c r="F53" i="1"/>
  <c r="K53" i="1" s="1"/>
  <c r="F61" i="1"/>
  <c r="K61" i="1" s="1"/>
  <c r="F69" i="1"/>
  <c r="K69" i="1" s="1"/>
  <c r="F77" i="1"/>
  <c r="K77" i="1" s="1"/>
  <c r="F85" i="1"/>
  <c r="K85" i="1" s="1"/>
  <c r="F93" i="1"/>
  <c r="K93" i="1" s="1"/>
  <c r="F101" i="1"/>
  <c r="K101" i="1" s="1"/>
  <c r="F109" i="1"/>
  <c r="K109" i="1" s="1"/>
  <c r="F10" i="1"/>
  <c r="K10" i="1" s="1"/>
  <c r="F18" i="1"/>
  <c r="K18" i="1" s="1"/>
  <c r="F26" i="1"/>
  <c r="K26" i="1" s="1"/>
  <c r="F34" i="1"/>
  <c r="K34" i="1" s="1"/>
  <c r="F42" i="1"/>
  <c r="K42" i="1" s="1"/>
  <c r="F50" i="1"/>
  <c r="K50" i="1" s="1"/>
  <c r="F58" i="1"/>
  <c r="K58" i="1" s="1"/>
  <c r="F66" i="1"/>
  <c r="K66" i="1" s="1"/>
  <c r="F74" i="1"/>
  <c r="K74" i="1" s="1"/>
  <c r="F82" i="1"/>
  <c r="K82" i="1" s="1"/>
  <c r="F90" i="1"/>
  <c r="K90" i="1" s="1"/>
  <c r="F98" i="1"/>
  <c r="K98" i="1" s="1"/>
  <c r="F106" i="1"/>
  <c r="K106" i="1" s="1"/>
  <c r="F51" i="1"/>
  <c r="K51" i="1" s="1"/>
  <c r="F59" i="1"/>
  <c r="K59" i="1" s="1"/>
  <c r="F67" i="1"/>
  <c r="K67" i="1" s="1"/>
  <c r="F75" i="1"/>
  <c r="K75" i="1" s="1"/>
  <c r="F83" i="1"/>
  <c r="K83" i="1" s="1"/>
  <c r="F91" i="1"/>
  <c r="K91" i="1" s="1"/>
  <c r="F99" i="1"/>
  <c r="K99" i="1" s="1"/>
  <c r="F107" i="1"/>
  <c r="K107" i="1" s="1"/>
  <c r="J11" i="1"/>
  <c r="J27" i="1"/>
  <c r="J35" i="1"/>
  <c r="J43" i="1"/>
  <c r="F19" i="1"/>
  <c r="K19" i="1" s="1"/>
</calcChain>
</file>

<file path=xl/sharedStrings.xml><?xml version="1.0" encoding="utf-8"?>
<sst xmlns="http://schemas.openxmlformats.org/spreadsheetml/2006/main" count="233" uniqueCount="52">
  <si>
    <t>TABLA DE PRECIOS PISO — PERÚ 2026  |  AGROVECA GRUPO LATAM</t>
  </si>
  <si>
    <t>⚙️  Celda B3 = margen objetivo (recalcula columnas E-K automáticamente).  Celda azul = editable.  Celda verde = precio propuesto por Gerencia.  PRECIOS EN USD.</t>
  </si>
  <si>
    <t>MARGEN OBJETIVO →</t>
  </si>
  <si>
    <t>← Cambia este % y todo se recalcula</t>
  </si>
  <si>
    <t>PRODUCTO</t>
  </si>
  <si>
    <t>FORMATO</t>
  </si>
  <si>
    <t>COSTO FÁBRICA
(PKG) USD</t>
  </si>
  <si>
    <t>TAMAÑO
FMT</t>
  </si>
  <si>
    <t>COSTO
USD/UNIDAD</t>
  </si>
  <si>
    <t>PRECIO PISO
(CALCULADO)</t>
  </si>
  <si>
    <t>MARGEN
CALC %</t>
  </si>
  <si>
    <t>PRECIO
PROM REAL</t>
  </si>
  <si>
    <t>NUEVO PRECIO
PISO PROPUESTO</t>
  </si>
  <si>
    <t>MARGEN
PROPUESTO %</t>
  </si>
  <si>
    <t>GAP PROP.
vs CALC %</t>
  </si>
  <si>
    <t>VAR $
(Prop - Real)</t>
  </si>
  <si>
    <t>CLASIF.
PROPUESTO</t>
  </si>
  <si>
    <t>ORDEN
FMT</t>
  </si>
  <si>
    <t>AV HUMIC ROOT</t>
  </si>
  <si>
    <t>1 L</t>
  </si>
  <si>
    <t>20 L</t>
  </si>
  <si>
    <t>200 L</t>
  </si>
  <si>
    <t>1000 L</t>
  </si>
  <si>
    <t>AV MAX FULVIC 45%</t>
  </si>
  <si>
    <t>AV AMIN</t>
  </si>
  <si>
    <t>AV AMIN SUGAR</t>
  </si>
  <si>
    <t>AV ROOT MAX</t>
  </si>
  <si>
    <t>AV ALGAP 30</t>
  </si>
  <si>
    <t>AV SILFORTE</t>
  </si>
  <si>
    <t>GREEN GUARDIAN MAX</t>
  </si>
  <si>
    <t>AV15 40-20</t>
  </si>
  <si>
    <t>AV PLUS POTASIO</t>
  </si>
  <si>
    <t>AV PLUS MAGNESIO</t>
  </si>
  <si>
    <t>AV PLUS CALCIO</t>
  </si>
  <si>
    <t>AV PLUS CALCIO BORO</t>
  </si>
  <si>
    <t>AV PLUS ZINC</t>
  </si>
  <si>
    <t>AV PLUS ZINC MANGANESO</t>
  </si>
  <si>
    <t>AV PLUS BORO</t>
  </si>
  <si>
    <t>AV PLUS HIERRO</t>
  </si>
  <si>
    <t>AV PLUS NUTRI MIX</t>
  </si>
  <si>
    <t>AV PLUS NP-MIX</t>
  </si>
  <si>
    <t>AV PLUS MICRO MIX</t>
  </si>
  <si>
    <t>AV PLUS MACRO FRUIT</t>
  </si>
  <si>
    <t>AV MOVE</t>
  </si>
  <si>
    <t>AV BALANCE</t>
  </si>
  <si>
    <t>AV BLOOM</t>
  </si>
  <si>
    <t>AV CYTO PRIME</t>
  </si>
  <si>
    <t>AV BIOSOLARIS</t>
  </si>
  <si>
    <t>LISTA DE PRECIOS PISO — FUERZA COMERCIAL PERÚ 2026</t>
  </si>
  <si>
    <t>AGROVECA PERÚ S.A.C.  |  Precios mínimos de venta (USD/Unidad)  |  Vigencia: Abril 2026  |  Aprobado: Gerencia General</t>
  </si>
  <si>
    <t>⚠️  Ninguna venta puede realizarse por debajo de estos precios sin autorización escrita de Gerencia General.</t>
  </si>
  <si>
    <t>Precio Piso AV
(USD/Unidad)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</si>
</sst>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%"/>
    <numFmt numFmtId="166" formatCode="\+0.0%;\-0.0%"/>
    <numFmt numFmtId="167" formatCode="\$#,##0.00;&quot;($&quot;#,##0.00\);&quot;$-&quot;"/>
  </numFmts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666666"/>
      <name val="Arial"/>
      <family val="2"/>
    </font>
    <font>
      <b/>
      <sz val="11"/>
      <color rgb="FF333333"/>
      <name val="Arial"/>
      <family val="2"/>
    </font>
    <font>
      <b/>
      <sz val="14"/>
      <color rgb="FF0000FF"/>
      <name val="Arial"/>
      <family val="2"/>
    </font>
    <font>
      <i/>
      <sz val="9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sz val="9"/>
      <color rgb="FF7AB648"/>
      <name val="Arial"/>
      <family val="2"/>
    </font>
    <font>
      <b/>
      <sz val="10"/>
      <color rgb="FFC62828"/>
      <name val="Arial"/>
      <family val="2"/>
    </font>
    <font>
      <b/>
      <sz val="12"/>
      <color rgb="FF1B5E20"/>
      <name val="Arial"/>
      <family val="2"/>
    </font>
    <font>
      <b/>
      <sz val="9"/>
      <color rgb="FF1B5E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80E09"/>
        <bgColor rgb="FF000000"/>
      </patternFill>
    </fill>
    <fill>
      <patternFill patternType="solid">
        <fgColor rgb="FFE0E0E0"/>
        <bgColor rgb="FFC8E6C9"/>
      </patternFill>
    </fill>
    <fill>
      <patternFill patternType="solid">
        <fgColor rgb="FFFFFDE7"/>
        <bgColor rgb="FFFFFFFF"/>
      </patternFill>
    </fill>
    <fill>
      <patternFill patternType="solid">
        <fgColor rgb="FF1B5E20"/>
        <bgColor rgb="FF2E7D32"/>
      </patternFill>
    </fill>
    <fill>
      <patternFill patternType="solid">
        <fgColor rgb="FFE8F5E9"/>
        <bgColor rgb="FFFFFDE7"/>
      </patternFill>
    </fill>
    <fill>
      <patternFill patternType="solid">
        <fgColor rgb="FFFFEBEE"/>
        <bgColor rgb="FFFFFDE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right" vertical="center"/>
    </xf>
    <xf numFmtId="9" fontId="4" fillId="4" borderId="1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164" fontId="8" fillId="4" borderId="2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 vertical="center"/>
    </xf>
    <xf numFmtId="164" fontId="9" fillId="0" borderId="2" xfId="0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right" vertical="center"/>
    </xf>
    <xf numFmtId="166" fontId="7" fillId="0" borderId="2" xfId="0" applyNumberFormat="1" applyFont="1" applyBorder="1" applyAlignment="1">
      <alignment horizontal="center" vertical="center" wrapText="1"/>
    </xf>
    <xf numFmtId="167" fontId="7" fillId="0" borderId="2" xfId="0" applyNumberFormat="1" applyFont="1" applyBorder="1" applyAlignment="1">
      <alignment horizontal="right" vertical="center"/>
    </xf>
    <xf numFmtId="164" fontId="13" fillId="0" borderId="2" xfId="0" applyNumberFormat="1" applyFont="1" applyBorder="1" applyAlignment="1">
      <alignment horizontal="center" vertical="center" wrapText="1"/>
    </xf>
    <xf numFmtId="164" fontId="7" fillId="8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0" borderId="0" xfId="0" applyFont="1"/>
    <xf numFmtId="164" fontId="14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color rgb="FF2E7D32"/>
      </font>
      <fill>
        <patternFill>
          <bgColor rgb="FFC8E6C9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2E7D32"/>
      </font>
    </dxf>
    <dxf>
      <font>
        <color rgb="FFC62828"/>
      </font>
    </dxf>
    <dxf>
      <font>
        <b/>
        <color rgb="FF2E7D32"/>
      </font>
      <fill>
        <patternFill>
          <bgColor rgb="FFC8E6C9"/>
        </patternFill>
      </fill>
    </dxf>
    <dxf>
      <font>
        <b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DE7"/>
      <rgbColor rgb="FFE8F5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EBEE"/>
      <rgbColor rgb="FF99CCFF"/>
      <rgbColor rgb="FFFF99CC"/>
      <rgbColor rgb="FFCC99FF"/>
      <rgbColor rgb="FFFFCDD2"/>
      <rgbColor rgb="FF3366FF"/>
      <rgbColor rgb="FF33CCCC"/>
      <rgbColor rgb="FF7AB648"/>
      <rgbColor rgb="FFFFCC00"/>
      <rgbColor rgb="FFFF9900"/>
      <rgbColor rgb="FFFF6600"/>
      <rgbColor rgb="FF666666"/>
      <rgbColor rgb="FF969696"/>
      <rgbColor rgb="FF003366"/>
      <rgbColor rgb="FF2E7D32"/>
      <rgbColor rgb="FF080E09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AB648"/>
  </sheetPr>
  <dimension ref="A1:N109"/>
  <sheetViews>
    <sheetView zoomScaleNormal="100" workbookViewId="0">
      <pane ySplit="5" topLeftCell="A6" activePane="bottomLeft" state="frozen"/>
      <selection pane="bottomLeft" activeCell="I45" sqref="I45"/>
    </sheetView>
  </sheetViews>
  <sheetFormatPr baseColWidth="10" defaultColWidth="8.6640625" defaultRowHeight="15" x14ac:dyDescent="0.2"/>
  <cols>
    <col min="1" max="1" width="26" customWidth="1"/>
    <col min="2" max="2" width="10" customWidth="1"/>
    <col min="3" max="3" width="15" customWidth="1"/>
    <col min="4" max="4" width="8" customWidth="1"/>
    <col min="5" max="5" width="13" customWidth="1"/>
    <col min="6" max="6" width="14" customWidth="1"/>
    <col min="7" max="7" width="11" customWidth="1"/>
    <col min="8" max="8" width="12" customWidth="1"/>
    <col min="9" max="9" width="16" customWidth="1"/>
    <col min="10" max="10" width="12" customWidth="1"/>
    <col min="11" max="12" width="11" customWidth="1"/>
    <col min="13" max="13" width="20" customWidth="1"/>
    <col min="14" max="14" width="8" hidden="1" customWidth="1"/>
  </cols>
  <sheetData>
    <row r="1" spans="1:14" ht="37.5" customHeight="1" x14ac:dyDescent="0.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5" customHeight="1" x14ac:dyDescent="0.2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18" x14ac:dyDescent="0.2">
      <c r="A3" s="1" t="s">
        <v>2</v>
      </c>
      <c r="B3" s="2">
        <v>0.47</v>
      </c>
      <c r="C3" s="20" t="s">
        <v>3</v>
      </c>
      <c r="D3" s="20"/>
      <c r="E3" s="20"/>
      <c r="F3" s="20"/>
    </row>
    <row r="4" spans="1:14" ht="4.5" customHeight="1" x14ac:dyDescent="0.2"/>
    <row r="5" spans="1:14" ht="48" customHeight="1" x14ac:dyDescent="0.2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</row>
    <row r="6" spans="1:14" x14ac:dyDescent="0.2">
      <c r="A6" s="4" t="s">
        <v>18</v>
      </c>
      <c r="B6" s="5" t="s">
        <v>19</v>
      </c>
      <c r="C6" s="6"/>
      <c r="D6" s="7">
        <v>1</v>
      </c>
      <c r="E6" s="8" t="str">
        <f t="shared" ref="E6:E37" si="0">IF(C6="","",C6/D6)</f>
        <v/>
      </c>
      <c r="F6" s="9" t="str">
        <f t="shared" ref="F6:F37" si="1">IF(E6="","",E6/(1-$B$3))</f>
        <v/>
      </c>
      <c r="G6" s="10">
        <f t="shared" ref="G6:G37" si="2">$B$3</f>
        <v>0.47</v>
      </c>
      <c r="H6" s="6"/>
      <c r="I6" s="11">
        <v>4.2</v>
      </c>
      <c r="J6" s="10" t="str">
        <f t="shared" ref="J6:J37" si="3">IF(OR(I6="",E6=""),"",(I6-E6)/I6)</f>
        <v/>
      </c>
      <c r="K6" s="12" t="str">
        <f t="shared" ref="K6:K37" si="4">IF(OR(I6="",F6=""),"",(I6-F6)/F6)</f>
        <v/>
      </c>
      <c r="L6" s="13" t="str">
        <f t="shared" ref="L6:L37" si="5">IF(OR(I6="",H6=""),"",I6-H6)</f>
        <v/>
      </c>
      <c r="M6" s="5" t="str">
        <f t="shared" ref="M6:M37" si="6">IF(I6="","⚪ SIN PROPUESTA",IF(F6="","🟢 SOBRE PISO",IF(I6&lt;F6*0.95,"🔴 BAJO PISO",IF(I6&gt;F6*1.05,"🟢 SOBRE PISO","🟡 EN PISO"))))</f>
        <v>🟢 SOBRE PISO</v>
      </c>
      <c r="N6" s="5">
        <v>1</v>
      </c>
    </row>
    <row r="7" spans="1:14" x14ac:dyDescent="0.2">
      <c r="A7" s="4" t="s">
        <v>18</v>
      </c>
      <c r="B7" s="5" t="s">
        <v>20</v>
      </c>
      <c r="C7" s="6">
        <v>32</v>
      </c>
      <c r="D7" s="7">
        <v>20</v>
      </c>
      <c r="E7" s="8">
        <f t="shared" si="0"/>
        <v>1.6</v>
      </c>
      <c r="F7" s="9">
        <f t="shared" si="1"/>
        <v>3.0188679245283021</v>
      </c>
      <c r="G7" s="10">
        <f t="shared" si="2"/>
        <v>0.47</v>
      </c>
      <c r="H7" s="6">
        <v>3.5</v>
      </c>
      <c r="I7" s="11">
        <v>3.5</v>
      </c>
      <c r="J7" s="10">
        <f t="shared" si="3"/>
        <v>0.54285714285714282</v>
      </c>
      <c r="K7" s="12">
        <f t="shared" si="4"/>
        <v>0.15937499999999991</v>
      </c>
      <c r="L7" s="13">
        <f t="shared" si="5"/>
        <v>0</v>
      </c>
      <c r="M7" s="5" t="str">
        <f t="shared" si="6"/>
        <v>🟢 SOBRE PISO</v>
      </c>
      <c r="N7" s="5">
        <v>3</v>
      </c>
    </row>
    <row r="8" spans="1:14" x14ac:dyDescent="0.2">
      <c r="A8" s="4" t="s">
        <v>18</v>
      </c>
      <c r="B8" s="5" t="s">
        <v>21</v>
      </c>
      <c r="C8" s="6">
        <v>250</v>
      </c>
      <c r="D8" s="7">
        <v>200</v>
      </c>
      <c r="E8" s="8">
        <f t="shared" si="0"/>
        <v>1.25</v>
      </c>
      <c r="F8" s="9">
        <f t="shared" si="1"/>
        <v>2.3584905660377355</v>
      </c>
      <c r="G8" s="10">
        <f t="shared" si="2"/>
        <v>0.47</v>
      </c>
      <c r="H8" s="6"/>
      <c r="I8" s="11">
        <v>3</v>
      </c>
      <c r="J8" s="10">
        <f t="shared" si="3"/>
        <v>0.58333333333333337</v>
      </c>
      <c r="K8" s="12">
        <f t="shared" si="4"/>
        <v>0.27200000000000019</v>
      </c>
      <c r="L8" s="13" t="str">
        <f t="shared" si="5"/>
        <v/>
      </c>
      <c r="M8" s="5" t="str">
        <f t="shared" si="6"/>
        <v>🟢 SOBRE PISO</v>
      </c>
      <c r="N8" s="5">
        <v>4</v>
      </c>
    </row>
    <row r="9" spans="1:14" x14ac:dyDescent="0.2">
      <c r="A9" s="4" t="s">
        <v>18</v>
      </c>
      <c r="B9" s="5" t="s">
        <v>22</v>
      </c>
      <c r="C9" s="6">
        <v>1160</v>
      </c>
      <c r="D9" s="7">
        <v>1000</v>
      </c>
      <c r="E9" s="8">
        <f t="shared" si="0"/>
        <v>1.1599999999999999</v>
      </c>
      <c r="F9" s="9">
        <f t="shared" si="1"/>
        <v>2.1886792452830188</v>
      </c>
      <c r="G9" s="10">
        <f t="shared" si="2"/>
        <v>0.47</v>
      </c>
      <c r="H9" s="6"/>
      <c r="I9" s="11">
        <v>2.5</v>
      </c>
      <c r="J9" s="10">
        <f t="shared" si="3"/>
        <v>0.53600000000000003</v>
      </c>
      <c r="K9" s="12">
        <f t="shared" si="4"/>
        <v>0.14224137931034486</v>
      </c>
      <c r="L9" s="13" t="str">
        <f t="shared" si="5"/>
        <v/>
      </c>
      <c r="M9" s="5" t="str">
        <f t="shared" si="6"/>
        <v>🟢 SOBRE PISO</v>
      </c>
      <c r="N9" s="5">
        <v>7</v>
      </c>
    </row>
    <row r="10" spans="1:14" x14ac:dyDescent="0.2">
      <c r="A10" s="4" t="s">
        <v>23</v>
      </c>
      <c r="B10" s="5" t="s">
        <v>19</v>
      </c>
      <c r="C10" s="6"/>
      <c r="D10" s="7">
        <v>1</v>
      </c>
      <c r="E10" s="8" t="str">
        <f t="shared" si="0"/>
        <v/>
      </c>
      <c r="F10" s="9" t="str">
        <f t="shared" si="1"/>
        <v/>
      </c>
      <c r="G10" s="10">
        <f t="shared" si="2"/>
        <v>0.47</v>
      </c>
      <c r="H10" s="6"/>
      <c r="I10" s="11">
        <v>4.2</v>
      </c>
      <c r="J10" s="10" t="str">
        <f t="shared" si="3"/>
        <v/>
      </c>
      <c r="K10" s="12" t="str">
        <f t="shared" si="4"/>
        <v/>
      </c>
      <c r="L10" s="13" t="str">
        <f t="shared" si="5"/>
        <v/>
      </c>
      <c r="M10" s="5" t="str">
        <f t="shared" si="6"/>
        <v>🟢 SOBRE PISO</v>
      </c>
      <c r="N10" s="5">
        <v>1</v>
      </c>
    </row>
    <row r="11" spans="1:14" x14ac:dyDescent="0.2">
      <c r="A11" s="4" t="s">
        <v>23</v>
      </c>
      <c r="B11" s="5" t="s">
        <v>20</v>
      </c>
      <c r="C11" s="6">
        <v>32</v>
      </c>
      <c r="D11" s="7">
        <v>20</v>
      </c>
      <c r="E11" s="8">
        <f t="shared" si="0"/>
        <v>1.6</v>
      </c>
      <c r="F11" s="9">
        <f t="shared" si="1"/>
        <v>3.0188679245283021</v>
      </c>
      <c r="G11" s="10">
        <f t="shared" si="2"/>
        <v>0.47</v>
      </c>
      <c r="H11" s="6">
        <v>2.8</v>
      </c>
      <c r="I11" s="11">
        <v>3</v>
      </c>
      <c r="J11" s="10">
        <f t="shared" si="3"/>
        <v>0.46666666666666662</v>
      </c>
      <c r="K11" s="12">
        <f t="shared" si="4"/>
        <v>-6.2500000000000715E-3</v>
      </c>
      <c r="L11" s="13">
        <f t="shared" si="5"/>
        <v>0.20000000000000018</v>
      </c>
      <c r="M11" s="5" t="str">
        <f t="shared" si="6"/>
        <v>🟡 EN PISO</v>
      </c>
      <c r="N11" s="5">
        <v>3</v>
      </c>
    </row>
    <row r="12" spans="1:14" x14ac:dyDescent="0.2">
      <c r="A12" s="4" t="s">
        <v>23</v>
      </c>
      <c r="B12" s="5" t="s">
        <v>21</v>
      </c>
      <c r="C12" s="6">
        <v>250</v>
      </c>
      <c r="D12" s="7">
        <v>200</v>
      </c>
      <c r="E12" s="8">
        <f t="shared" si="0"/>
        <v>1.25</v>
      </c>
      <c r="F12" s="9">
        <f t="shared" si="1"/>
        <v>2.3584905660377355</v>
      </c>
      <c r="G12" s="10">
        <f t="shared" si="2"/>
        <v>0.47</v>
      </c>
      <c r="H12" s="6"/>
      <c r="I12" s="11">
        <v>2.5</v>
      </c>
      <c r="J12" s="10">
        <f t="shared" si="3"/>
        <v>0.5</v>
      </c>
      <c r="K12" s="12">
        <f t="shared" si="4"/>
        <v>6.0000000000000137E-2</v>
      </c>
      <c r="L12" s="13" t="str">
        <f t="shared" si="5"/>
        <v/>
      </c>
      <c r="M12" s="5" t="str">
        <f t="shared" si="6"/>
        <v>🟢 SOBRE PISO</v>
      </c>
      <c r="N12" s="5">
        <v>4</v>
      </c>
    </row>
    <row r="13" spans="1:14" ht="16" thickBot="1" x14ac:dyDescent="0.25">
      <c r="A13" s="4" t="s">
        <v>23</v>
      </c>
      <c r="B13" s="5" t="s">
        <v>22</v>
      </c>
      <c r="C13" s="6">
        <v>1160</v>
      </c>
      <c r="D13" s="7">
        <v>1000</v>
      </c>
      <c r="E13" s="8">
        <f t="shared" si="0"/>
        <v>1.1599999999999999</v>
      </c>
      <c r="F13" s="9">
        <f t="shared" si="1"/>
        <v>2.1886792452830188</v>
      </c>
      <c r="G13" s="10">
        <f t="shared" si="2"/>
        <v>0.47</v>
      </c>
      <c r="H13" s="6"/>
      <c r="I13" s="11">
        <v>2.2000000000000002</v>
      </c>
      <c r="J13" s="10">
        <f t="shared" si="3"/>
        <v>0.47272727272727283</v>
      </c>
      <c r="K13" s="12">
        <f t="shared" si="4"/>
        <v>5.1724137931035488E-3</v>
      </c>
      <c r="L13" s="13" t="str">
        <f t="shared" si="5"/>
        <v/>
      </c>
      <c r="M13" s="5" t="str">
        <f t="shared" si="6"/>
        <v>🟡 EN PISO</v>
      </c>
      <c r="N13" s="5">
        <v>7</v>
      </c>
    </row>
    <row r="14" spans="1:14" ht="16" thickBot="1" x14ac:dyDescent="0.25">
      <c r="A14" s="4" t="s">
        <v>24</v>
      </c>
      <c r="B14" s="5" t="s">
        <v>19</v>
      </c>
      <c r="C14" s="6"/>
      <c r="D14" s="7">
        <v>1</v>
      </c>
      <c r="E14" s="8" t="str">
        <f t="shared" si="0"/>
        <v/>
      </c>
      <c r="F14" s="9" t="str">
        <f t="shared" si="1"/>
        <v/>
      </c>
      <c r="G14" s="10">
        <f t="shared" si="2"/>
        <v>0.47</v>
      </c>
      <c r="H14" s="6"/>
      <c r="I14" s="11">
        <v>5</v>
      </c>
      <c r="J14" s="10" t="str">
        <f t="shared" si="3"/>
        <v/>
      </c>
      <c r="K14" s="12" t="str">
        <f t="shared" si="4"/>
        <v/>
      </c>
      <c r="L14" s="13" t="str">
        <f t="shared" si="5"/>
        <v/>
      </c>
      <c r="M14" s="5" t="str">
        <f t="shared" si="6"/>
        <v>🟢 SOBRE PISO</v>
      </c>
      <c r="N14" s="5">
        <v>1</v>
      </c>
    </row>
    <row r="15" spans="1:14" ht="16" thickBot="1" x14ac:dyDescent="0.25">
      <c r="A15" s="4" t="s">
        <v>24</v>
      </c>
      <c r="B15" s="5" t="s">
        <v>20</v>
      </c>
      <c r="C15" s="6">
        <v>37</v>
      </c>
      <c r="D15" s="7">
        <v>20</v>
      </c>
      <c r="E15" s="8">
        <f t="shared" si="0"/>
        <v>1.85</v>
      </c>
      <c r="F15" s="9">
        <f t="shared" si="1"/>
        <v>3.4905660377358489</v>
      </c>
      <c r="G15" s="10">
        <f t="shared" si="2"/>
        <v>0.47</v>
      </c>
      <c r="H15" s="6">
        <v>7.5</v>
      </c>
      <c r="I15" s="11">
        <v>4.2</v>
      </c>
      <c r="J15" s="10">
        <f t="shared" si="3"/>
        <v>0.55952380952380953</v>
      </c>
      <c r="K15" s="12">
        <f t="shared" si="4"/>
        <v>0.20324324324324333</v>
      </c>
      <c r="L15" s="13">
        <f t="shared" si="5"/>
        <v>-3.3</v>
      </c>
      <c r="M15" s="5" t="str">
        <f t="shared" si="6"/>
        <v>🟢 SOBRE PISO</v>
      </c>
      <c r="N15" s="5">
        <v>3</v>
      </c>
    </row>
    <row r="16" spans="1:14" ht="16" thickBot="1" x14ac:dyDescent="0.25">
      <c r="A16" s="4" t="s">
        <v>24</v>
      </c>
      <c r="B16" s="5" t="s">
        <v>21</v>
      </c>
      <c r="C16" s="6">
        <v>255</v>
      </c>
      <c r="D16" s="7">
        <v>200</v>
      </c>
      <c r="E16" s="8">
        <f t="shared" si="0"/>
        <v>1.2749999999999999</v>
      </c>
      <c r="F16" s="9">
        <f t="shared" si="1"/>
        <v>2.4056603773584904</v>
      </c>
      <c r="G16" s="10">
        <f t="shared" si="2"/>
        <v>0.47</v>
      </c>
      <c r="H16" s="6"/>
      <c r="I16" s="11">
        <v>3.5</v>
      </c>
      <c r="J16" s="10">
        <f t="shared" si="3"/>
        <v>0.63571428571428579</v>
      </c>
      <c r="K16" s="12">
        <f t="shared" si="4"/>
        <v>0.45490196078431383</v>
      </c>
      <c r="L16" s="13" t="str">
        <f t="shared" si="5"/>
        <v/>
      </c>
      <c r="M16" s="5" t="str">
        <f t="shared" si="6"/>
        <v>🟢 SOBRE PISO</v>
      </c>
      <c r="N16" s="5">
        <v>4</v>
      </c>
    </row>
    <row r="17" spans="1:14" ht="16" thickBot="1" x14ac:dyDescent="0.25">
      <c r="A17" s="4" t="s">
        <v>24</v>
      </c>
      <c r="B17" s="5" t="s">
        <v>22</v>
      </c>
      <c r="C17" s="6">
        <v>1492</v>
      </c>
      <c r="D17" s="7">
        <v>1000</v>
      </c>
      <c r="E17" s="8">
        <f t="shared" si="0"/>
        <v>1.492</v>
      </c>
      <c r="F17" s="9">
        <f t="shared" si="1"/>
        <v>2.8150943396226413</v>
      </c>
      <c r="G17" s="10">
        <f t="shared" si="2"/>
        <v>0.47</v>
      </c>
      <c r="H17" s="6"/>
      <c r="I17" s="11">
        <v>3</v>
      </c>
      <c r="J17" s="10">
        <f t="shared" si="3"/>
        <v>0.50266666666666671</v>
      </c>
      <c r="K17" s="12">
        <f t="shared" si="4"/>
        <v>6.5683646112600608E-2</v>
      </c>
      <c r="L17" s="13" t="str">
        <f t="shared" si="5"/>
        <v/>
      </c>
      <c r="M17" s="5" t="str">
        <f t="shared" si="6"/>
        <v>🟢 SOBRE PISO</v>
      </c>
      <c r="N17" s="5">
        <v>7</v>
      </c>
    </row>
    <row r="18" spans="1:14" ht="16" thickBot="1" x14ac:dyDescent="0.25">
      <c r="A18" s="4" t="s">
        <v>25</v>
      </c>
      <c r="B18" s="5" t="s">
        <v>19</v>
      </c>
      <c r="C18" s="6"/>
      <c r="D18" s="7">
        <v>1</v>
      </c>
      <c r="E18" s="8" t="str">
        <f t="shared" si="0"/>
        <v/>
      </c>
      <c r="F18" s="9" t="str">
        <f t="shared" si="1"/>
        <v/>
      </c>
      <c r="G18" s="10">
        <f t="shared" si="2"/>
        <v>0.47</v>
      </c>
      <c r="H18" s="6"/>
      <c r="I18" s="11">
        <v>8</v>
      </c>
      <c r="J18" s="10" t="str">
        <f t="shared" si="3"/>
        <v/>
      </c>
      <c r="K18" s="12" t="str">
        <f t="shared" si="4"/>
        <v/>
      </c>
      <c r="L18" s="13" t="str">
        <f t="shared" si="5"/>
        <v/>
      </c>
      <c r="M18" s="5" t="str">
        <f t="shared" si="6"/>
        <v>🟢 SOBRE PISO</v>
      </c>
      <c r="N18" s="5">
        <v>1</v>
      </c>
    </row>
    <row r="19" spans="1:14" ht="16" thickBot="1" x14ac:dyDescent="0.25">
      <c r="A19" s="4" t="s">
        <v>25</v>
      </c>
      <c r="B19" s="5" t="s">
        <v>20</v>
      </c>
      <c r="C19" s="6">
        <v>36</v>
      </c>
      <c r="D19" s="7">
        <v>20</v>
      </c>
      <c r="E19" s="8">
        <f t="shared" si="0"/>
        <v>1.8</v>
      </c>
      <c r="F19" s="9">
        <f t="shared" si="1"/>
        <v>3.3962264150943398</v>
      </c>
      <c r="G19" s="10">
        <f t="shared" si="2"/>
        <v>0.47</v>
      </c>
      <c r="H19" s="6"/>
      <c r="I19" s="11">
        <v>7.5</v>
      </c>
      <c r="J19" s="10">
        <f t="shared" si="3"/>
        <v>0.76</v>
      </c>
      <c r="K19" s="12">
        <f t="shared" si="4"/>
        <v>1.2083333333333333</v>
      </c>
      <c r="L19" s="13" t="str">
        <f t="shared" si="5"/>
        <v/>
      </c>
      <c r="M19" s="5" t="str">
        <f t="shared" si="6"/>
        <v>🟢 SOBRE PISO</v>
      </c>
      <c r="N19" s="5">
        <v>3</v>
      </c>
    </row>
    <row r="20" spans="1:14" x14ac:dyDescent="0.2">
      <c r="A20" s="4" t="s">
        <v>25</v>
      </c>
      <c r="B20" s="5" t="s">
        <v>21</v>
      </c>
      <c r="C20" s="6">
        <v>240</v>
      </c>
      <c r="D20" s="7">
        <v>200</v>
      </c>
      <c r="E20" s="8">
        <f t="shared" si="0"/>
        <v>1.2</v>
      </c>
      <c r="F20" s="9">
        <f t="shared" si="1"/>
        <v>2.2641509433962264</v>
      </c>
      <c r="G20" s="10">
        <f t="shared" si="2"/>
        <v>0.47</v>
      </c>
      <c r="H20" s="6"/>
      <c r="I20" s="11">
        <v>6</v>
      </c>
      <c r="J20" s="10">
        <f t="shared" si="3"/>
        <v>0.79999999999999993</v>
      </c>
      <c r="K20" s="12">
        <f t="shared" si="4"/>
        <v>1.6500000000000001</v>
      </c>
      <c r="L20" s="13" t="str">
        <f t="shared" si="5"/>
        <v/>
      </c>
      <c r="M20" s="5" t="str">
        <f t="shared" si="6"/>
        <v>🟢 SOBRE PISO</v>
      </c>
      <c r="N20" s="5">
        <v>4</v>
      </c>
    </row>
    <row r="21" spans="1:14" x14ac:dyDescent="0.2">
      <c r="A21" s="4" t="s">
        <v>25</v>
      </c>
      <c r="B21" s="5" t="s">
        <v>22</v>
      </c>
      <c r="C21" s="6">
        <v>1412</v>
      </c>
      <c r="D21" s="7">
        <v>1000</v>
      </c>
      <c r="E21" s="15">
        <f t="shared" si="0"/>
        <v>1.4119999999999999</v>
      </c>
      <c r="F21" s="9">
        <f t="shared" si="1"/>
        <v>2.6641509433962263</v>
      </c>
      <c r="G21" s="10">
        <f t="shared" si="2"/>
        <v>0.47</v>
      </c>
      <c r="H21" s="6"/>
      <c r="I21" s="11">
        <v>5</v>
      </c>
      <c r="J21" s="10">
        <f t="shared" si="3"/>
        <v>0.71760000000000002</v>
      </c>
      <c r="K21" s="12">
        <f t="shared" si="4"/>
        <v>0.87677053824362616</v>
      </c>
      <c r="L21" s="13" t="str">
        <f t="shared" si="5"/>
        <v/>
      </c>
      <c r="M21" s="5" t="str">
        <f t="shared" si="6"/>
        <v>🟢 SOBRE PISO</v>
      </c>
      <c r="N21" s="5">
        <v>7</v>
      </c>
    </row>
    <row r="22" spans="1:14" x14ac:dyDescent="0.2">
      <c r="A22" s="4" t="s">
        <v>26</v>
      </c>
      <c r="B22" s="5" t="s">
        <v>19</v>
      </c>
      <c r="C22" s="6"/>
      <c r="D22" s="7">
        <v>1</v>
      </c>
      <c r="E22" s="8" t="str">
        <f t="shared" si="0"/>
        <v/>
      </c>
      <c r="F22" s="9" t="str">
        <f t="shared" si="1"/>
        <v/>
      </c>
      <c r="G22" s="10">
        <f t="shared" si="2"/>
        <v>0.47</v>
      </c>
      <c r="H22" s="6"/>
      <c r="I22" s="11">
        <v>15</v>
      </c>
      <c r="J22" s="10" t="str">
        <f t="shared" si="3"/>
        <v/>
      </c>
      <c r="K22" s="12" t="str">
        <f t="shared" si="4"/>
        <v/>
      </c>
      <c r="L22" s="13" t="str">
        <f t="shared" si="5"/>
        <v/>
      </c>
      <c r="M22" s="5" t="str">
        <f t="shared" si="6"/>
        <v>🟢 SOBRE PISO</v>
      </c>
      <c r="N22" s="5">
        <v>1</v>
      </c>
    </row>
    <row r="23" spans="1:14" x14ac:dyDescent="0.2">
      <c r="A23" s="4" t="s">
        <v>26</v>
      </c>
      <c r="B23" s="5" t="s">
        <v>20</v>
      </c>
      <c r="C23" s="6">
        <v>36</v>
      </c>
      <c r="D23" s="7">
        <v>20</v>
      </c>
      <c r="E23" s="8">
        <f t="shared" si="0"/>
        <v>1.8</v>
      </c>
      <c r="F23" s="9">
        <f t="shared" si="1"/>
        <v>3.3962264150943398</v>
      </c>
      <c r="G23" s="10">
        <f t="shared" si="2"/>
        <v>0.47</v>
      </c>
      <c r="H23" s="6">
        <v>13.86</v>
      </c>
      <c r="I23" s="11">
        <v>13.8</v>
      </c>
      <c r="J23" s="10">
        <f t="shared" si="3"/>
        <v>0.86956521739130432</v>
      </c>
      <c r="K23" s="12">
        <f t="shared" si="4"/>
        <v>3.0633333333333335</v>
      </c>
      <c r="L23" s="13">
        <f t="shared" si="5"/>
        <v>-5.9999999999998721E-2</v>
      </c>
      <c r="M23" s="5" t="str">
        <f t="shared" si="6"/>
        <v>🟢 SOBRE PISO</v>
      </c>
      <c r="N23" s="5">
        <v>3</v>
      </c>
    </row>
    <row r="24" spans="1:14" x14ac:dyDescent="0.2">
      <c r="A24" s="4" t="s">
        <v>26</v>
      </c>
      <c r="B24" s="5" t="s">
        <v>21</v>
      </c>
      <c r="C24" s="6">
        <v>250</v>
      </c>
      <c r="D24" s="7">
        <v>200</v>
      </c>
      <c r="E24" s="8">
        <f t="shared" si="0"/>
        <v>1.25</v>
      </c>
      <c r="F24" s="9">
        <f t="shared" si="1"/>
        <v>2.3584905660377355</v>
      </c>
      <c r="G24" s="10">
        <f t="shared" si="2"/>
        <v>0.47</v>
      </c>
      <c r="H24" s="6"/>
      <c r="I24" s="11">
        <v>12</v>
      </c>
      <c r="J24" s="10">
        <f t="shared" si="3"/>
        <v>0.89583333333333337</v>
      </c>
      <c r="K24" s="12">
        <f t="shared" si="4"/>
        <v>4.088000000000001</v>
      </c>
      <c r="L24" s="13" t="str">
        <f t="shared" si="5"/>
        <v/>
      </c>
      <c r="M24" s="5" t="str">
        <f t="shared" si="6"/>
        <v>🟢 SOBRE PISO</v>
      </c>
      <c r="N24" s="5">
        <v>4</v>
      </c>
    </row>
    <row r="25" spans="1:14" x14ac:dyDescent="0.2">
      <c r="A25" s="4" t="s">
        <v>26</v>
      </c>
      <c r="B25" s="5" t="s">
        <v>22</v>
      </c>
      <c r="C25" s="6">
        <v>1170</v>
      </c>
      <c r="D25" s="7">
        <v>1000</v>
      </c>
      <c r="E25" s="8">
        <f t="shared" si="0"/>
        <v>1.17</v>
      </c>
      <c r="F25" s="9">
        <f t="shared" si="1"/>
        <v>2.2075471698113205</v>
      </c>
      <c r="G25" s="10">
        <f t="shared" si="2"/>
        <v>0.47</v>
      </c>
      <c r="H25" s="6"/>
      <c r="I25" s="11">
        <v>11</v>
      </c>
      <c r="J25" s="10">
        <f t="shared" si="3"/>
        <v>0.89363636363636367</v>
      </c>
      <c r="K25" s="12">
        <f t="shared" si="4"/>
        <v>3.9829059829059834</v>
      </c>
      <c r="L25" s="13" t="str">
        <f t="shared" si="5"/>
        <v/>
      </c>
      <c r="M25" s="5" t="str">
        <f t="shared" si="6"/>
        <v>🟢 SOBRE PISO</v>
      </c>
      <c r="N25" s="5">
        <v>7</v>
      </c>
    </row>
    <row r="26" spans="1:14" x14ac:dyDescent="0.2">
      <c r="A26" s="4" t="s">
        <v>27</v>
      </c>
      <c r="B26" s="5" t="s">
        <v>19</v>
      </c>
      <c r="C26" s="6"/>
      <c r="D26" s="7">
        <v>1</v>
      </c>
      <c r="E26" s="8" t="str">
        <f t="shared" si="0"/>
        <v/>
      </c>
      <c r="F26" s="9" t="str">
        <f t="shared" si="1"/>
        <v/>
      </c>
      <c r="G26" s="10">
        <f t="shared" si="2"/>
        <v>0.47</v>
      </c>
      <c r="H26" s="6"/>
      <c r="I26" s="11">
        <v>11</v>
      </c>
      <c r="J26" s="10" t="str">
        <f t="shared" si="3"/>
        <v/>
      </c>
      <c r="K26" s="12" t="str">
        <f t="shared" si="4"/>
        <v/>
      </c>
      <c r="L26" s="13" t="str">
        <f t="shared" si="5"/>
        <v/>
      </c>
      <c r="M26" s="5" t="str">
        <f t="shared" si="6"/>
        <v>🟢 SOBRE PISO</v>
      </c>
      <c r="N26" s="5">
        <v>1</v>
      </c>
    </row>
    <row r="27" spans="1:14" x14ac:dyDescent="0.2">
      <c r="A27" s="4" t="s">
        <v>27</v>
      </c>
      <c r="B27" s="5" t="s">
        <v>20</v>
      </c>
      <c r="C27" s="6">
        <v>40</v>
      </c>
      <c r="D27" s="7">
        <v>20</v>
      </c>
      <c r="E27" s="8">
        <f t="shared" si="0"/>
        <v>2</v>
      </c>
      <c r="F27" s="9">
        <f t="shared" si="1"/>
        <v>3.773584905660377</v>
      </c>
      <c r="G27" s="10">
        <f t="shared" si="2"/>
        <v>0.47</v>
      </c>
      <c r="H27" s="6">
        <v>10.4</v>
      </c>
      <c r="I27" s="11">
        <v>10</v>
      </c>
      <c r="J27" s="10">
        <f t="shared" si="3"/>
        <v>0.8</v>
      </c>
      <c r="K27" s="12">
        <f t="shared" si="4"/>
        <v>1.6500000000000004</v>
      </c>
      <c r="L27" s="13">
        <f t="shared" si="5"/>
        <v>-0.40000000000000036</v>
      </c>
      <c r="M27" s="5" t="str">
        <f t="shared" si="6"/>
        <v>🟢 SOBRE PISO</v>
      </c>
      <c r="N27" s="5">
        <v>3</v>
      </c>
    </row>
    <row r="28" spans="1:14" x14ac:dyDescent="0.2">
      <c r="A28" s="4" t="s">
        <v>27</v>
      </c>
      <c r="B28" s="5" t="s">
        <v>21</v>
      </c>
      <c r="C28" s="6">
        <v>340</v>
      </c>
      <c r="D28" s="7">
        <v>200</v>
      </c>
      <c r="E28" s="8">
        <f t="shared" si="0"/>
        <v>1.7</v>
      </c>
      <c r="F28" s="9">
        <f t="shared" si="1"/>
        <v>3.2075471698113205</v>
      </c>
      <c r="G28" s="10">
        <f t="shared" si="2"/>
        <v>0.47</v>
      </c>
      <c r="H28" s="6"/>
      <c r="I28" s="11">
        <v>8</v>
      </c>
      <c r="J28" s="10">
        <f t="shared" si="3"/>
        <v>0.78749999999999998</v>
      </c>
      <c r="K28" s="12">
        <f t="shared" si="4"/>
        <v>1.4941176470588238</v>
      </c>
      <c r="L28" s="13" t="str">
        <f t="shared" si="5"/>
        <v/>
      </c>
      <c r="M28" s="5" t="str">
        <f t="shared" si="6"/>
        <v>🟢 SOBRE PISO</v>
      </c>
      <c r="N28" s="5">
        <v>4</v>
      </c>
    </row>
    <row r="29" spans="1:14" x14ac:dyDescent="0.2">
      <c r="A29" s="4" t="s">
        <v>27</v>
      </c>
      <c r="B29" s="5" t="s">
        <v>22</v>
      </c>
      <c r="C29" s="6">
        <v>1560</v>
      </c>
      <c r="D29" s="7">
        <v>1000</v>
      </c>
      <c r="E29" s="8">
        <f t="shared" si="0"/>
        <v>1.56</v>
      </c>
      <c r="F29" s="9">
        <f t="shared" si="1"/>
        <v>2.9433962264150941</v>
      </c>
      <c r="G29" s="10">
        <f t="shared" si="2"/>
        <v>0.47</v>
      </c>
      <c r="H29" s="6"/>
      <c r="I29" s="11">
        <v>5.8</v>
      </c>
      <c r="J29" s="10">
        <f t="shared" si="3"/>
        <v>0.73103448275862071</v>
      </c>
      <c r="K29" s="12">
        <f t="shared" si="4"/>
        <v>0.97051282051282062</v>
      </c>
      <c r="L29" s="13" t="str">
        <f t="shared" si="5"/>
        <v/>
      </c>
      <c r="M29" s="5" t="str">
        <f t="shared" si="6"/>
        <v>🟢 SOBRE PISO</v>
      </c>
      <c r="N29" s="5">
        <v>7</v>
      </c>
    </row>
    <row r="30" spans="1:14" x14ac:dyDescent="0.2">
      <c r="A30" s="4" t="s">
        <v>28</v>
      </c>
      <c r="B30" s="5" t="s">
        <v>19</v>
      </c>
      <c r="C30" s="6"/>
      <c r="D30" s="7">
        <v>1</v>
      </c>
      <c r="E30" s="8" t="str">
        <f t="shared" si="0"/>
        <v/>
      </c>
      <c r="F30" s="9" t="str">
        <f t="shared" si="1"/>
        <v/>
      </c>
      <c r="G30" s="10">
        <f t="shared" si="2"/>
        <v>0.47</v>
      </c>
      <c r="H30" s="6"/>
      <c r="I30" s="11">
        <v>14</v>
      </c>
      <c r="J30" s="10" t="str">
        <f t="shared" si="3"/>
        <v/>
      </c>
      <c r="K30" s="12" t="str">
        <f t="shared" si="4"/>
        <v/>
      </c>
      <c r="L30" s="13" t="str">
        <f t="shared" si="5"/>
        <v/>
      </c>
      <c r="M30" s="5" t="str">
        <f t="shared" si="6"/>
        <v>🟢 SOBRE PISO</v>
      </c>
      <c r="N30" s="5">
        <v>1</v>
      </c>
    </row>
    <row r="31" spans="1:14" x14ac:dyDescent="0.2">
      <c r="A31" s="4" t="s">
        <v>28</v>
      </c>
      <c r="B31" s="5" t="s">
        <v>20</v>
      </c>
      <c r="C31" s="6">
        <v>48</v>
      </c>
      <c r="D31" s="7">
        <v>20</v>
      </c>
      <c r="E31" s="8">
        <f t="shared" si="0"/>
        <v>2.4</v>
      </c>
      <c r="F31" s="9">
        <f t="shared" si="1"/>
        <v>4.5283018867924527</v>
      </c>
      <c r="G31" s="10">
        <f t="shared" si="2"/>
        <v>0.47</v>
      </c>
      <c r="H31" s="6">
        <v>12.05</v>
      </c>
      <c r="I31" s="11">
        <v>13</v>
      </c>
      <c r="J31" s="10">
        <f t="shared" si="3"/>
        <v>0.81538461538461537</v>
      </c>
      <c r="K31" s="12">
        <f t="shared" si="4"/>
        <v>1.8708333333333336</v>
      </c>
      <c r="L31" s="13">
        <f t="shared" si="5"/>
        <v>0.94999999999999929</v>
      </c>
      <c r="M31" s="5" t="str">
        <f t="shared" si="6"/>
        <v>🟢 SOBRE PISO</v>
      </c>
      <c r="N31" s="5">
        <v>3</v>
      </c>
    </row>
    <row r="32" spans="1:14" x14ac:dyDescent="0.2">
      <c r="A32" s="4" t="s">
        <v>28</v>
      </c>
      <c r="B32" s="5" t="s">
        <v>21</v>
      </c>
      <c r="C32" s="6">
        <v>430</v>
      </c>
      <c r="D32" s="7">
        <v>200</v>
      </c>
      <c r="E32" s="8">
        <f t="shared" si="0"/>
        <v>2.15</v>
      </c>
      <c r="F32" s="9">
        <f t="shared" si="1"/>
        <v>4.0566037735849054</v>
      </c>
      <c r="G32" s="10">
        <f t="shared" si="2"/>
        <v>0.47</v>
      </c>
      <c r="H32" s="6"/>
      <c r="I32" s="11">
        <v>12</v>
      </c>
      <c r="J32" s="10">
        <f t="shared" si="3"/>
        <v>0.8208333333333333</v>
      </c>
      <c r="K32" s="12">
        <f t="shared" si="4"/>
        <v>1.9581395348837212</v>
      </c>
      <c r="L32" s="13" t="str">
        <f t="shared" si="5"/>
        <v/>
      </c>
      <c r="M32" s="5" t="str">
        <f t="shared" si="6"/>
        <v>🟢 SOBRE PISO</v>
      </c>
      <c r="N32" s="5">
        <v>4</v>
      </c>
    </row>
    <row r="33" spans="1:14" x14ac:dyDescent="0.2">
      <c r="A33" s="4" t="s">
        <v>28</v>
      </c>
      <c r="B33" s="5" t="s">
        <v>22</v>
      </c>
      <c r="C33" s="6">
        <v>1990</v>
      </c>
      <c r="D33" s="7">
        <v>1000</v>
      </c>
      <c r="E33" s="8">
        <f t="shared" si="0"/>
        <v>1.99</v>
      </c>
      <c r="F33" s="9">
        <f t="shared" si="1"/>
        <v>3.7547169811320753</v>
      </c>
      <c r="G33" s="10">
        <f t="shared" si="2"/>
        <v>0.47</v>
      </c>
      <c r="H33" s="6"/>
      <c r="I33" s="11">
        <v>10</v>
      </c>
      <c r="J33" s="10">
        <f t="shared" si="3"/>
        <v>0.80099999999999993</v>
      </c>
      <c r="K33" s="12">
        <f t="shared" si="4"/>
        <v>1.6633165829145731</v>
      </c>
      <c r="L33" s="13" t="str">
        <f t="shared" si="5"/>
        <v/>
      </c>
      <c r="M33" s="5" t="str">
        <f t="shared" si="6"/>
        <v>🟢 SOBRE PISO</v>
      </c>
      <c r="N33" s="5">
        <v>7</v>
      </c>
    </row>
    <row r="34" spans="1:14" x14ac:dyDescent="0.2">
      <c r="A34" s="4" t="s">
        <v>29</v>
      </c>
      <c r="B34" s="5" t="s">
        <v>19</v>
      </c>
      <c r="C34" s="6"/>
      <c r="D34" s="7">
        <v>1</v>
      </c>
      <c r="E34" s="8" t="str">
        <f t="shared" si="0"/>
        <v/>
      </c>
      <c r="F34" s="9" t="str">
        <f t="shared" si="1"/>
        <v/>
      </c>
      <c r="G34" s="10">
        <f t="shared" si="2"/>
        <v>0.47</v>
      </c>
      <c r="H34" s="6"/>
      <c r="I34" s="11">
        <v>5</v>
      </c>
      <c r="J34" s="10" t="str">
        <f t="shared" si="3"/>
        <v/>
      </c>
      <c r="K34" s="12" t="str">
        <f t="shared" si="4"/>
        <v/>
      </c>
      <c r="L34" s="13" t="str">
        <f t="shared" si="5"/>
        <v/>
      </c>
      <c r="M34" s="5" t="str">
        <f t="shared" si="6"/>
        <v>🟢 SOBRE PISO</v>
      </c>
      <c r="N34" s="5">
        <v>1</v>
      </c>
    </row>
    <row r="35" spans="1:14" x14ac:dyDescent="0.2">
      <c r="A35" s="4" t="s">
        <v>29</v>
      </c>
      <c r="B35" s="5" t="s">
        <v>20</v>
      </c>
      <c r="C35" s="6">
        <v>44</v>
      </c>
      <c r="D35" s="7">
        <v>20</v>
      </c>
      <c r="E35" s="8">
        <f t="shared" si="0"/>
        <v>2.2000000000000002</v>
      </c>
      <c r="F35" s="9">
        <f t="shared" si="1"/>
        <v>4.1509433962264151</v>
      </c>
      <c r="G35" s="10">
        <f t="shared" si="2"/>
        <v>0.47</v>
      </c>
      <c r="H35" s="6"/>
      <c r="I35" s="11">
        <v>4.5</v>
      </c>
      <c r="J35" s="10">
        <f t="shared" si="3"/>
        <v>0.51111111111111107</v>
      </c>
      <c r="K35" s="12">
        <f t="shared" si="4"/>
        <v>8.4090909090909105E-2</v>
      </c>
      <c r="L35" s="13" t="str">
        <f t="shared" si="5"/>
        <v/>
      </c>
      <c r="M35" s="5" t="str">
        <f t="shared" si="6"/>
        <v>🟢 SOBRE PISO</v>
      </c>
      <c r="N35" s="5">
        <v>3</v>
      </c>
    </row>
    <row r="36" spans="1:14" x14ac:dyDescent="0.2">
      <c r="A36" s="4" t="s">
        <v>29</v>
      </c>
      <c r="B36" s="5" t="s">
        <v>21</v>
      </c>
      <c r="C36" s="6">
        <v>380</v>
      </c>
      <c r="D36" s="7">
        <v>200</v>
      </c>
      <c r="E36" s="8">
        <f t="shared" si="0"/>
        <v>1.9</v>
      </c>
      <c r="F36" s="9">
        <f t="shared" si="1"/>
        <v>3.5849056603773581</v>
      </c>
      <c r="G36" s="10">
        <f t="shared" si="2"/>
        <v>0.47</v>
      </c>
      <c r="H36" s="6"/>
      <c r="I36" s="11">
        <v>4</v>
      </c>
      <c r="J36" s="10">
        <f t="shared" si="3"/>
        <v>0.52500000000000002</v>
      </c>
      <c r="K36" s="12">
        <f t="shared" si="4"/>
        <v>0.11578947368421064</v>
      </c>
      <c r="L36" s="13" t="str">
        <f t="shared" si="5"/>
        <v/>
      </c>
      <c r="M36" s="5" t="str">
        <f t="shared" si="6"/>
        <v>🟢 SOBRE PISO</v>
      </c>
      <c r="N36" s="5">
        <v>4</v>
      </c>
    </row>
    <row r="37" spans="1:14" x14ac:dyDescent="0.2">
      <c r="A37" s="4" t="s">
        <v>29</v>
      </c>
      <c r="B37" s="5" t="s">
        <v>22</v>
      </c>
      <c r="C37" s="6">
        <v>1820</v>
      </c>
      <c r="D37" s="7">
        <v>1000</v>
      </c>
      <c r="E37" s="8">
        <f t="shared" si="0"/>
        <v>1.82</v>
      </c>
      <c r="F37" s="9">
        <f t="shared" si="1"/>
        <v>3.4339622641509435</v>
      </c>
      <c r="G37" s="10">
        <f t="shared" si="2"/>
        <v>0.47</v>
      </c>
      <c r="H37" s="6"/>
      <c r="I37" s="11">
        <v>3.5</v>
      </c>
      <c r="J37" s="10">
        <f t="shared" si="3"/>
        <v>0.48</v>
      </c>
      <c r="K37" s="12">
        <f t="shared" si="4"/>
        <v>1.9230769230769194E-2</v>
      </c>
      <c r="L37" s="13" t="str">
        <f t="shared" si="5"/>
        <v/>
      </c>
      <c r="M37" s="5" t="str">
        <f t="shared" si="6"/>
        <v>🟡 EN PISO</v>
      </c>
      <c r="N37" s="5">
        <v>7</v>
      </c>
    </row>
    <row r="38" spans="1:14" x14ac:dyDescent="0.2">
      <c r="A38" s="4" t="s">
        <v>30</v>
      </c>
      <c r="B38" s="5" t="s">
        <v>19</v>
      </c>
      <c r="C38" s="6"/>
      <c r="D38" s="7">
        <v>1</v>
      </c>
      <c r="E38" s="8" t="str">
        <f t="shared" ref="E38:E69" si="7">IF(C38="","",C38/D38)</f>
        <v/>
      </c>
      <c r="F38" s="9" t="str">
        <f t="shared" ref="F38:F69" si="8">IF(E38="","",E38/(1-$B$3))</f>
        <v/>
      </c>
      <c r="G38" s="10">
        <f t="shared" ref="G38:G69" si="9">$B$3</f>
        <v>0.47</v>
      </c>
      <c r="H38" s="6"/>
      <c r="I38" s="11">
        <v>5</v>
      </c>
      <c r="J38" s="10" t="str">
        <f t="shared" ref="J38:J69" si="10">IF(OR(I38="",E38=""),"",(I38-E38)/I38)</f>
        <v/>
      </c>
      <c r="K38" s="12" t="str">
        <f t="shared" ref="K38:K69" si="11">IF(OR(I38="",F38=""),"",(I38-F38)/F38)</f>
        <v/>
      </c>
      <c r="L38" s="13" t="str">
        <f t="shared" ref="L38:L69" si="12">IF(OR(I38="",H38=""),"",I38-H38)</f>
        <v/>
      </c>
      <c r="M38" s="5" t="str">
        <f t="shared" ref="M38:M69" si="13">IF(I38="","⚪ SIN PROPUESTA",IF(F38="","🟢 SOBRE PISO",IF(I38&lt;F38*0.95,"🔴 BAJO PISO",IF(I38&gt;F38*1.05,"🟢 SOBRE PISO","🟡 EN PISO"))))</f>
        <v>🟢 SOBRE PISO</v>
      </c>
      <c r="N38" s="5">
        <v>1</v>
      </c>
    </row>
    <row r="39" spans="1:14" x14ac:dyDescent="0.2">
      <c r="A39" s="4" t="s">
        <v>30</v>
      </c>
      <c r="B39" s="5" t="s">
        <v>20</v>
      </c>
      <c r="C39" s="6">
        <v>38</v>
      </c>
      <c r="D39" s="7">
        <v>20</v>
      </c>
      <c r="E39" s="8">
        <f t="shared" si="7"/>
        <v>1.9</v>
      </c>
      <c r="F39" s="9">
        <f t="shared" si="8"/>
        <v>3.5849056603773581</v>
      </c>
      <c r="G39" s="10">
        <f t="shared" si="9"/>
        <v>0.47</v>
      </c>
      <c r="H39" s="6"/>
      <c r="I39" s="11">
        <v>4</v>
      </c>
      <c r="J39" s="10">
        <f t="shared" si="10"/>
        <v>0.52500000000000002</v>
      </c>
      <c r="K39" s="12">
        <f t="shared" si="11"/>
        <v>0.11578947368421064</v>
      </c>
      <c r="L39" s="13" t="str">
        <f t="shared" si="12"/>
        <v/>
      </c>
      <c r="M39" s="5" t="str">
        <f t="shared" si="13"/>
        <v>🟢 SOBRE PISO</v>
      </c>
      <c r="N39" s="5">
        <v>3</v>
      </c>
    </row>
    <row r="40" spans="1:14" x14ac:dyDescent="0.2">
      <c r="A40" s="4" t="s">
        <v>30</v>
      </c>
      <c r="B40" s="5" t="s">
        <v>21</v>
      </c>
      <c r="C40" s="6">
        <v>330</v>
      </c>
      <c r="D40" s="7">
        <v>200</v>
      </c>
      <c r="E40" s="8">
        <f t="shared" si="7"/>
        <v>1.65</v>
      </c>
      <c r="F40" s="9">
        <f t="shared" si="8"/>
        <v>3.1132075471698109</v>
      </c>
      <c r="G40" s="10">
        <f t="shared" si="9"/>
        <v>0.47</v>
      </c>
      <c r="H40" s="6"/>
      <c r="I40" s="11">
        <v>3</v>
      </c>
      <c r="J40" s="10">
        <f t="shared" si="10"/>
        <v>0.45</v>
      </c>
      <c r="K40" s="12">
        <f t="shared" si="11"/>
        <v>-3.6363636363636216E-2</v>
      </c>
      <c r="L40" s="13" t="str">
        <f t="shared" si="12"/>
        <v/>
      </c>
      <c r="M40" s="5" t="str">
        <f t="shared" si="13"/>
        <v>🟡 EN PISO</v>
      </c>
      <c r="N40" s="5">
        <v>4</v>
      </c>
    </row>
    <row r="41" spans="1:14" x14ac:dyDescent="0.2">
      <c r="A41" s="4" t="s">
        <v>30</v>
      </c>
      <c r="B41" s="5" t="s">
        <v>22</v>
      </c>
      <c r="C41" s="6">
        <v>1540</v>
      </c>
      <c r="D41" s="7">
        <v>1000</v>
      </c>
      <c r="E41" s="8">
        <f t="shared" si="7"/>
        <v>1.54</v>
      </c>
      <c r="F41" s="9">
        <f t="shared" si="8"/>
        <v>2.9056603773584904</v>
      </c>
      <c r="G41" s="10">
        <f t="shared" si="9"/>
        <v>0.47</v>
      </c>
      <c r="H41" s="6"/>
      <c r="I41" s="11">
        <v>2.8</v>
      </c>
      <c r="J41" s="10">
        <f t="shared" si="10"/>
        <v>0.44999999999999996</v>
      </c>
      <c r="K41" s="12">
        <f t="shared" si="11"/>
        <v>-3.6363636363636355E-2</v>
      </c>
      <c r="L41" s="13" t="str">
        <f t="shared" si="12"/>
        <v/>
      </c>
      <c r="M41" s="5" t="str">
        <f t="shared" si="13"/>
        <v>🟡 EN PISO</v>
      </c>
      <c r="N41" s="5">
        <v>7</v>
      </c>
    </row>
    <row r="42" spans="1:14" x14ac:dyDescent="0.2">
      <c r="A42" s="4" t="s">
        <v>31</v>
      </c>
      <c r="B42" s="5" t="s">
        <v>19</v>
      </c>
      <c r="C42" s="6"/>
      <c r="D42" s="7">
        <v>1</v>
      </c>
      <c r="E42" s="8" t="str">
        <f t="shared" si="7"/>
        <v/>
      </c>
      <c r="F42" s="9" t="str">
        <f t="shared" si="8"/>
        <v/>
      </c>
      <c r="G42" s="10">
        <f t="shared" si="9"/>
        <v>0.47</v>
      </c>
      <c r="H42" s="6"/>
      <c r="I42" s="11">
        <v>5.5</v>
      </c>
      <c r="J42" s="10" t="str">
        <f t="shared" si="10"/>
        <v/>
      </c>
      <c r="K42" s="12" t="str">
        <f t="shared" si="11"/>
        <v/>
      </c>
      <c r="L42" s="13" t="str">
        <f t="shared" si="12"/>
        <v/>
      </c>
      <c r="M42" s="5" t="str">
        <f t="shared" si="13"/>
        <v>🟢 SOBRE PISO</v>
      </c>
      <c r="N42" s="5">
        <v>1</v>
      </c>
    </row>
    <row r="43" spans="1:14" x14ac:dyDescent="0.2">
      <c r="A43" s="4" t="s">
        <v>31</v>
      </c>
      <c r="B43" s="5" t="s">
        <v>20</v>
      </c>
      <c r="C43" s="6">
        <v>38</v>
      </c>
      <c r="D43" s="7">
        <v>20</v>
      </c>
      <c r="E43" s="8">
        <f t="shared" si="7"/>
        <v>1.9</v>
      </c>
      <c r="F43" s="9">
        <f t="shared" si="8"/>
        <v>3.5849056603773581</v>
      </c>
      <c r="G43" s="10">
        <f t="shared" si="9"/>
        <v>0.47</v>
      </c>
      <c r="H43" s="6"/>
      <c r="I43" s="11">
        <v>4</v>
      </c>
      <c r="J43" s="10">
        <f t="shared" si="10"/>
        <v>0.52500000000000002</v>
      </c>
      <c r="K43" s="12">
        <f t="shared" si="11"/>
        <v>0.11578947368421064</v>
      </c>
      <c r="L43" s="13" t="str">
        <f t="shared" si="12"/>
        <v/>
      </c>
      <c r="M43" s="5" t="str">
        <f t="shared" si="13"/>
        <v>🟢 SOBRE PISO</v>
      </c>
      <c r="N43" s="5">
        <v>3</v>
      </c>
    </row>
    <row r="44" spans="1:14" x14ac:dyDescent="0.2">
      <c r="A44" s="4" t="s">
        <v>31</v>
      </c>
      <c r="B44" s="5" t="s">
        <v>21</v>
      </c>
      <c r="C44" s="6">
        <v>320</v>
      </c>
      <c r="D44" s="7">
        <v>200</v>
      </c>
      <c r="E44" s="8">
        <f t="shared" si="7"/>
        <v>1.6</v>
      </c>
      <c r="F44" s="9">
        <f t="shared" si="8"/>
        <v>3.0188679245283021</v>
      </c>
      <c r="G44" s="10">
        <f t="shared" si="9"/>
        <v>0.47</v>
      </c>
      <c r="H44" s="6"/>
      <c r="I44" s="11">
        <v>3.5</v>
      </c>
      <c r="J44" s="10">
        <f t="shared" si="10"/>
        <v>0.54285714285714282</v>
      </c>
      <c r="K44" s="12">
        <f t="shared" si="11"/>
        <v>0.15937499999999991</v>
      </c>
      <c r="L44" s="13" t="str">
        <f t="shared" si="12"/>
        <v/>
      </c>
      <c r="M44" s="5" t="str">
        <f t="shared" si="13"/>
        <v>🟢 SOBRE PISO</v>
      </c>
      <c r="N44" s="5">
        <v>4</v>
      </c>
    </row>
    <row r="45" spans="1:14" x14ac:dyDescent="0.2">
      <c r="A45" s="4" t="s">
        <v>31</v>
      </c>
      <c r="B45" s="5" t="s">
        <v>22</v>
      </c>
      <c r="C45" s="6">
        <v>1530</v>
      </c>
      <c r="D45" s="7">
        <v>1000</v>
      </c>
      <c r="E45" s="8">
        <f t="shared" si="7"/>
        <v>1.53</v>
      </c>
      <c r="F45" s="9">
        <f t="shared" si="8"/>
        <v>2.8867924528301887</v>
      </c>
      <c r="G45" s="10">
        <f t="shared" si="9"/>
        <v>0.47</v>
      </c>
      <c r="H45" s="6"/>
      <c r="I45" s="11">
        <v>2.8</v>
      </c>
      <c r="J45" s="10">
        <f t="shared" si="10"/>
        <v>0.45357142857142851</v>
      </c>
      <c r="K45" s="12">
        <f t="shared" si="11"/>
        <v>-3.0065359477124253E-2</v>
      </c>
      <c r="L45" s="13" t="str">
        <f t="shared" si="12"/>
        <v/>
      </c>
      <c r="M45" s="5" t="str">
        <f t="shared" si="13"/>
        <v>🟡 EN PISO</v>
      </c>
      <c r="N45" s="5">
        <v>7</v>
      </c>
    </row>
    <row r="46" spans="1:14" x14ac:dyDescent="0.2">
      <c r="A46" s="4" t="s">
        <v>32</v>
      </c>
      <c r="B46" s="5" t="s">
        <v>19</v>
      </c>
      <c r="C46" s="6"/>
      <c r="D46" s="7">
        <v>1</v>
      </c>
      <c r="E46" s="8" t="str">
        <f t="shared" si="7"/>
        <v/>
      </c>
      <c r="F46" s="9" t="str">
        <f t="shared" si="8"/>
        <v/>
      </c>
      <c r="G46" s="10">
        <f t="shared" si="9"/>
        <v>0.47</v>
      </c>
      <c r="H46" s="6"/>
      <c r="I46" s="11">
        <v>7</v>
      </c>
      <c r="J46" s="10" t="str">
        <f t="shared" si="10"/>
        <v/>
      </c>
      <c r="K46" s="12" t="str">
        <f t="shared" si="11"/>
        <v/>
      </c>
      <c r="L46" s="13" t="str">
        <f t="shared" si="12"/>
        <v/>
      </c>
      <c r="M46" s="5" t="str">
        <f t="shared" si="13"/>
        <v>🟢 SOBRE PISO</v>
      </c>
      <c r="N46" s="5">
        <v>1</v>
      </c>
    </row>
    <row r="47" spans="1:14" x14ac:dyDescent="0.2">
      <c r="A47" s="4" t="s">
        <v>32</v>
      </c>
      <c r="B47" s="5" t="s">
        <v>20</v>
      </c>
      <c r="C47" s="6">
        <v>30</v>
      </c>
      <c r="D47" s="7">
        <v>20</v>
      </c>
      <c r="E47" s="8">
        <f t="shared" si="7"/>
        <v>1.5</v>
      </c>
      <c r="F47" s="9">
        <f t="shared" si="8"/>
        <v>2.8301886792452828</v>
      </c>
      <c r="G47" s="10">
        <f t="shared" si="9"/>
        <v>0.47</v>
      </c>
      <c r="H47" s="6">
        <v>5.85</v>
      </c>
      <c r="I47" s="11">
        <v>5.5</v>
      </c>
      <c r="J47" s="10">
        <f t="shared" si="10"/>
        <v>0.72727272727272729</v>
      </c>
      <c r="K47" s="12">
        <f t="shared" si="11"/>
        <v>0.94333333333333347</v>
      </c>
      <c r="L47" s="13">
        <f t="shared" si="12"/>
        <v>-0.34999999999999964</v>
      </c>
      <c r="M47" s="5" t="str">
        <f t="shared" si="13"/>
        <v>🟢 SOBRE PISO</v>
      </c>
      <c r="N47" s="5">
        <v>3</v>
      </c>
    </row>
    <row r="48" spans="1:14" x14ac:dyDescent="0.2">
      <c r="A48" s="4" t="s">
        <v>32</v>
      </c>
      <c r="B48" s="5" t="s">
        <v>21</v>
      </c>
      <c r="C48" s="6">
        <v>236</v>
      </c>
      <c r="D48" s="7">
        <v>200</v>
      </c>
      <c r="E48" s="8">
        <f t="shared" si="7"/>
        <v>1.18</v>
      </c>
      <c r="F48" s="9">
        <f t="shared" si="8"/>
        <v>2.2264150943396226</v>
      </c>
      <c r="G48" s="10">
        <f t="shared" si="9"/>
        <v>0.47</v>
      </c>
      <c r="H48" s="6"/>
      <c r="I48" s="11">
        <v>5</v>
      </c>
      <c r="J48" s="10">
        <f t="shared" si="10"/>
        <v>0.76400000000000001</v>
      </c>
      <c r="K48" s="12">
        <f t="shared" si="11"/>
        <v>1.2457627118644068</v>
      </c>
      <c r="L48" s="13" t="str">
        <f t="shared" si="12"/>
        <v/>
      </c>
      <c r="M48" s="5" t="str">
        <f t="shared" si="13"/>
        <v>🟢 SOBRE PISO</v>
      </c>
      <c r="N48" s="5">
        <v>4</v>
      </c>
    </row>
    <row r="49" spans="1:14" x14ac:dyDescent="0.2">
      <c r="A49" s="4" t="s">
        <v>32</v>
      </c>
      <c r="B49" s="5" t="s">
        <v>22</v>
      </c>
      <c r="C49" s="6">
        <v>1120</v>
      </c>
      <c r="D49" s="7">
        <v>1000</v>
      </c>
      <c r="E49" s="8">
        <f t="shared" si="7"/>
        <v>1.1200000000000001</v>
      </c>
      <c r="F49" s="9">
        <f t="shared" si="8"/>
        <v>2.1132075471698113</v>
      </c>
      <c r="G49" s="10">
        <f t="shared" si="9"/>
        <v>0.47</v>
      </c>
      <c r="H49" s="6"/>
      <c r="I49" s="11">
        <v>4</v>
      </c>
      <c r="J49" s="10">
        <f t="shared" si="10"/>
        <v>0.72</v>
      </c>
      <c r="K49" s="12">
        <f t="shared" si="11"/>
        <v>0.8928571428571429</v>
      </c>
      <c r="L49" s="13" t="str">
        <f t="shared" si="12"/>
        <v/>
      </c>
      <c r="M49" s="5" t="str">
        <f t="shared" si="13"/>
        <v>🟢 SOBRE PISO</v>
      </c>
      <c r="N49" s="5">
        <v>7</v>
      </c>
    </row>
    <row r="50" spans="1:14" x14ac:dyDescent="0.2">
      <c r="A50" s="4" t="s">
        <v>33</v>
      </c>
      <c r="B50" s="5" t="s">
        <v>19</v>
      </c>
      <c r="C50" s="6"/>
      <c r="D50" s="7">
        <v>1</v>
      </c>
      <c r="E50" s="8" t="str">
        <f t="shared" si="7"/>
        <v/>
      </c>
      <c r="F50" s="9" t="str">
        <f t="shared" si="8"/>
        <v/>
      </c>
      <c r="G50" s="10">
        <f t="shared" si="9"/>
        <v>0.47</v>
      </c>
      <c r="H50" s="6"/>
      <c r="I50" s="11">
        <v>5.5</v>
      </c>
      <c r="J50" s="10" t="str">
        <f t="shared" si="10"/>
        <v/>
      </c>
      <c r="K50" s="12" t="str">
        <f t="shared" si="11"/>
        <v/>
      </c>
      <c r="L50" s="13" t="str">
        <f t="shared" si="12"/>
        <v/>
      </c>
      <c r="M50" s="5" t="str">
        <f t="shared" si="13"/>
        <v>🟢 SOBRE PISO</v>
      </c>
      <c r="N50" s="5">
        <v>1</v>
      </c>
    </row>
    <row r="51" spans="1:14" x14ac:dyDescent="0.2">
      <c r="A51" s="4" t="s">
        <v>33</v>
      </c>
      <c r="B51" s="5" t="s">
        <v>20</v>
      </c>
      <c r="C51" s="6">
        <v>27</v>
      </c>
      <c r="D51" s="7">
        <v>20</v>
      </c>
      <c r="E51" s="8">
        <f t="shared" si="7"/>
        <v>1.35</v>
      </c>
      <c r="F51" s="9">
        <f t="shared" si="8"/>
        <v>2.5471698113207548</v>
      </c>
      <c r="G51" s="10">
        <f t="shared" si="9"/>
        <v>0.47</v>
      </c>
      <c r="H51" s="6">
        <v>4.4000000000000004</v>
      </c>
      <c r="I51" s="11">
        <v>4.5</v>
      </c>
      <c r="J51" s="10">
        <f t="shared" si="10"/>
        <v>0.7</v>
      </c>
      <c r="K51" s="12">
        <f t="shared" si="11"/>
        <v>0.76666666666666661</v>
      </c>
      <c r="L51" s="13">
        <f t="shared" si="12"/>
        <v>9.9999999999999645E-2</v>
      </c>
      <c r="M51" s="5" t="str">
        <f t="shared" si="13"/>
        <v>🟢 SOBRE PISO</v>
      </c>
      <c r="N51" s="5">
        <v>3</v>
      </c>
    </row>
    <row r="52" spans="1:14" x14ac:dyDescent="0.2">
      <c r="A52" s="4" t="s">
        <v>33</v>
      </c>
      <c r="B52" s="5" t="s">
        <v>21</v>
      </c>
      <c r="C52" s="6">
        <v>210</v>
      </c>
      <c r="D52" s="7">
        <v>200</v>
      </c>
      <c r="E52" s="8">
        <f t="shared" si="7"/>
        <v>1.05</v>
      </c>
      <c r="F52" s="9">
        <f t="shared" si="8"/>
        <v>1.9811320754716981</v>
      </c>
      <c r="G52" s="10">
        <f t="shared" si="9"/>
        <v>0.47</v>
      </c>
      <c r="H52" s="6"/>
      <c r="I52" s="11">
        <v>3.8</v>
      </c>
      <c r="J52" s="10">
        <f t="shared" si="10"/>
        <v>0.72368421052631582</v>
      </c>
      <c r="K52" s="12">
        <f t="shared" si="11"/>
        <v>0.91809523809523796</v>
      </c>
      <c r="L52" s="13" t="str">
        <f t="shared" si="12"/>
        <v/>
      </c>
      <c r="M52" s="5" t="str">
        <f t="shared" si="13"/>
        <v>🟢 SOBRE PISO</v>
      </c>
      <c r="N52" s="5">
        <v>4</v>
      </c>
    </row>
    <row r="53" spans="1:14" x14ac:dyDescent="0.2">
      <c r="A53" s="4" t="s">
        <v>33</v>
      </c>
      <c r="B53" s="5" t="s">
        <v>22</v>
      </c>
      <c r="C53" s="6">
        <v>940</v>
      </c>
      <c r="D53" s="7">
        <v>1000</v>
      </c>
      <c r="E53" s="8">
        <f t="shared" si="7"/>
        <v>0.94</v>
      </c>
      <c r="F53" s="9">
        <f t="shared" si="8"/>
        <v>1.7735849056603772</v>
      </c>
      <c r="G53" s="10">
        <f t="shared" si="9"/>
        <v>0.47</v>
      </c>
      <c r="H53" s="6"/>
      <c r="I53" s="11">
        <v>3</v>
      </c>
      <c r="J53" s="10">
        <f t="shared" si="10"/>
        <v>0.68666666666666665</v>
      </c>
      <c r="K53" s="12">
        <f t="shared" si="11"/>
        <v>0.69148936170212782</v>
      </c>
      <c r="L53" s="13" t="str">
        <f t="shared" si="12"/>
        <v/>
      </c>
      <c r="M53" s="5" t="str">
        <f t="shared" si="13"/>
        <v>🟢 SOBRE PISO</v>
      </c>
      <c r="N53" s="5">
        <v>7</v>
      </c>
    </row>
    <row r="54" spans="1:14" x14ac:dyDescent="0.2">
      <c r="A54" s="4" t="s">
        <v>34</v>
      </c>
      <c r="B54" s="5" t="s">
        <v>19</v>
      </c>
      <c r="C54" s="6"/>
      <c r="D54" s="7">
        <v>1</v>
      </c>
      <c r="E54" s="8" t="str">
        <f t="shared" si="7"/>
        <v/>
      </c>
      <c r="F54" s="9" t="str">
        <f t="shared" si="8"/>
        <v/>
      </c>
      <c r="G54" s="10">
        <f t="shared" si="9"/>
        <v>0.47</v>
      </c>
      <c r="H54" s="6"/>
      <c r="I54" s="11">
        <v>7</v>
      </c>
      <c r="J54" s="10" t="str">
        <f t="shared" si="10"/>
        <v/>
      </c>
      <c r="K54" s="12" t="str">
        <f t="shared" si="11"/>
        <v/>
      </c>
      <c r="L54" s="13" t="str">
        <f t="shared" si="12"/>
        <v/>
      </c>
      <c r="M54" s="5" t="str">
        <f t="shared" si="13"/>
        <v>🟢 SOBRE PISO</v>
      </c>
      <c r="N54" s="5">
        <v>1</v>
      </c>
    </row>
    <row r="55" spans="1:14" x14ac:dyDescent="0.2">
      <c r="A55" s="4" t="s">
        <v>34</v>
      </c>
      <c r="B55" s="5" t="s">
        <v>20</v>
      </c>
      <c r="C55" s="6">
        <v>29</v>
      </c>
      <c r="D55" s="7">
        <v>20</v>
      </c>
      <c r="E55" s="8">
        <f t="shared" si="7"/>
        <v>1.45</v>
      </c>
      <c r="F55" s="9">
        <f t="shared" si="8"/>
        <v>2.7358490566037732</v>
      </c>
      <c r="G55" s="10">
        <f t="shared" si="9"/>
        <v>0.47</v>
      </c>
      <c r="H55" s="6"/>
      <c r="I55" s="11">
        <v>5</v>
      </c>
      <c r="J55" s="10">
        <f t="shared" si="10"/>
        <v>0.71</v>
      </c>
      <c r="K55" s="12">
        <f t="shared" si="11"/>
        <v>0.82758620689655193</v>
      </c>
      <c r="L55" s="13" t="str">
        <f t="shared" si="12"/>
        <v/>
      </c>
      <c r="M55" s="5" t="str">
        <f t="shared" si="13"/>
        <v>🟢 SOBRE PISO</v>
      </c>
      <c r="N55" s="5">
        <v>3</v>
      </c>
    </row>
    <row r="56" spans="1:14" x14ac:dyDescent="0.2">
      <c r="A56" s="4" t="s">
        <v>34</v>
      </c>
      <c r="B56" s="5" t="s">
        <v>21</v>
      </c>
      <c r="C56" s="6">
        <v>220</v>
      </c>
      <c r="D56" s="7">
        <v>200</v>
      </c>
      <c r="E56" s="8">
        <f t="shared" si="7"/>
        <v>1.1000000000000001</v>
      </c>
      <c r="F56" s="9">
        <f t="shared" si="8"/>
        <v>2.0754716981132075</v>
      </c>
      <c r="G56" s="10">
        <f t="shared" si="9"/>
        <v>0.47</v>
      </c>
      <c r="H56" s="6"/>
      <c r="I56" s="11">
        <v>4</v>
      </c>
      <c r="J56" s="10">
        <f t="shared" si="10"/>
        <v>0.72499999999999998</v>
      </c>
      <c r="K56" s="12">
        <f t="shared" si="11"/>
        <v>0.92727272727272725</v>
      </c>
      <c r="L56" s="13" t="str">
        <f t="shared" si="12"/>
        <v/>
      </c>
      <c r="M56" s="5" t="str">
        <f t="shared" si="13"/>
        <v>🟢 SOBRE PISO</v>
      </c>
      <c r="N56" s="5">
        <v>4</v>
      </c>
    </row>
    <row r="57" spans="1:14" x14ac:dyDescent="0.2">
      <c r="A57" s="4" t="s">
        <v>34</v>
      </c>
      <c r="B57" s="5" t="s">
        <v>22</v>
      </c>
      <c r="C57" s="6">
        <v>1020</v>
      </c>
      <c r="D57" s="7">
        <v>1000</v>
      </c>
      <c r="E57" s="8">
        <f t="shared" si="7"/>
        <v>1.02</v>
      </c>
      <c r="F57" s="9">
        <f t="shared" si="8"/>
        <v>1.9245283018867925</v>
      </c>
      <c r="G57" s="10">
        <f t="shared" si="9"/>
        <v>0.47</v>
      </c>
      <c r="H57" s="6"/>
      <c r="I57" s="11">
        <v>3</v>
      </c>
      <c r="J57" s="10">
        <f t="shared" si="10"/>
        <v>0.66</v>
      </c>
      <c r="K57" s="12">
        <f t="shared" si="11"/>
        <v>0.55882352941176472</v>
      </c>
      <c r="L57" s="13" t="str">
        <f t="shared" si="12"/>
        <v/>
      </c>
      <c r="M57" s="5" t="str">
        <f t="shared" si="13"/>
        <v>🟢 SOBRE PISO</v>
      </c>
      <c r="N57" s="5">
        <v>7</v>
      </c>
    </row>
    <row r="58" spans="1:14" x14ac:dyDescent="0.2">
      <c r="A58" s="4" t="s">
        <v>35</v>
      </c>
      <c r="B58" s="5" t="s">
        <v>19</v>
      </c>
      <c r="C58" s="6"/>
      <c r="D58" s="7">
        <v>1</v>
      </c>
      <c r="E58" s="8" t="str">
        <f t="shared" si="7"/>
        <v/>
      </c>
      <c r="F58" s="9" t="str">
        <f t="shared" si="8"/>
        <v/>
      </c>
      <c r="G58" s="10">
        <f t="shared" si="9"/>
        <v>0.47</v>
      </c>
      <c r="H58" s="6"/>
      <c r="I58" s="11">
        <v>9</v>
      </c>
      <c r="J58" s="10" t="str">
        <f t="shared" si="10"/>
        <v/>
      </c>
      <c r="K58" s="12" t="str">
        <f t="shared" si="11"/>
        <v/>
      </c>
      <c r="L58" s="13" t="str">
        <f t="shared" si="12"/>
        <v/>
      </c>
      <c r="M58" s="5" t="str">
        <f t="shared" si="13"/>
        <v>🟢 SOBRE PISO</v>
      </c>
      <c r="N58" s="5">
        <v>1</v>
      </c>
    </row>
    <row r="59" spans="1:14" x14ac:dyDescent="0.2">
      <c r="A59" s="4" t="s">
        <v>35</v>
      </c>
      <c r="B59" s="5" t="s">
        <v>20</v>
      </c>
      <c r="C59" s="6">
        <v>43</v>
      </c>
      <c r="D59" s="7">
        <v>20</v>
      </c>
      <c r="E59" s="8">
        <f t="shared" si="7"/>
        <v>2.15</v>
      </c>
      <c r="F59" s="9">
        <f t="shared" si="8"/>
        <v>4.0566037735849054</v>
      </c>
      <c r="G59" s="10">
        <f t="shared" si="9"/>
        <v>0.47</v>
      </c>
      <c r="H59" s="6">
        <v>7.5</v>
      </c>
      <c r="I59" s="11">
        <v>7.5</v>
      </c>
      <c r="J59" s="10">
        <f t="shared" si="10"/>
        <v>0.71333333333333326</v>
      </c>
      <c r="K59" s="12">
        <f t="shared" si="11"/>
        <v>0.84883720930232565</v>
      </c>
      <c r="L59" s="13">
        <f t="shared" si="12"/>
        <v>0</v>
      </c>
      <c r="M59" s="5" t="str">
        <f t="shared" si="13"/>
        <v>🟢 SOBRE PISO</v>
      </c>
      <c r="N59" s="5">
        <v>3</v>
      </c>
    </row>
    <row r="60" spans="1:14" x14ac:dyDescent="0.2">
      <c r="A60" s="4" t="s">
        <v>35</v>
      </c>
      <c r="B60" s="5" t="s">
        <v>21</v>
      </c>
      <c r="C60" s="6">
        <v>370</v>
      </c>
      <c r="D60" s="7">
        <v>200</v>
      </c>
      <c r="E60" s="8">
        <f t="shared" si="7"/>
        <v>1.85</v>
      </c>
      <c r="F60" s="9">
        <f t="shared" si="8"/>
        <v>3.4905660377358489</v>
      </c>
      <c r="G60" s="10">
        <f t="shared" si="9"/>
        <v>0.47</v>
      </c>
      <c r="H60" s="6"/>
      <c r="I60" s="11">
        <v>6.8</v>
      </c>
      <c r="J60" s="10">
        <f t="shared" si="10"/>
        <v>0.7279411764705882</v>
      </c>
      <c r="K60" s="12">
        <f t="shared" si="11"/>
        <v>0.94810810810810808</v>
      </c>
      <c r="L60" s="13" t="str">
        <f t="shared" si="12"/>
        <v/>
      </c>
      <c r="M60" s="5" t="str">
        <f t="shared" si="13"/>
        <v>🟢 SOBRE PISO</v>
      </c>
      <c r="N60" s="5">
        <v>4</v>
      </c>
    </row>
    <row r="61" spans="1:14" x14ac:dyDescent="0.2">
      <c r="A61" s="4" t="s">
        <v>35</v>
      </c>
      <c r="B61" s="5" t="s">
        <v>22</v>
      </c>
      <c r="C61" s="6">
        <v>1780</v>
      </c>
      <c r="D61" s="7">
        <v>1000</v>
      </c>
      <c r="E61" s="8">
        <f t="shared" si="7"/>
        <v>1.78</v>
      </c>
      <c r="F61" s="9">
        <f t="shared" si="8"/>
        <v>3.3584905660377355</v>
      </c>
      <c r="G61" s="10">
        <f t="shared" si="9"/>
        <v>0.47</v>
      </c>
      <c r="H61" s="6"/>
      <c r="I61" s="11">
        <v>5</v>
      </c>
      <c r="J61" s="10">
        <f t="shared" si="10"/>
        <v>0.64399999999999991</v>
      </c>
      <c r="K61" s="12">
        <f t="shared" si="11"/>
        <v>0.48876404494382036</v>
      </c>
      <c r="L61" s="13" t="str">
        <f t="shared" si="12"/>
        <v/>
      </c>
      <c r="M61" s="5" t="str">
        <f t="shared" si="13"/>
        <v>🟢 SOBRE PISO</v>
      </c>
      <c r="N61" s="5">
        <v>7</v>
      </c>
    </row>
    <row r="62" spans="1:14" x14ac:dyDescent="0.2">
      <c r="A62" s="4" t="s">
        <v>36</v>
      </c>
      <c r="B62" s="5" t="s">
        <v>19</v>
      </c>
      <c r="C62" s="6"/>
      <c r="D62" s="7">
        <v>1</v>
      </c>
      <c r="E62" s="8" t="str">
        <f t="shared" si="7"/>
        <v/>
      </c>
      <c r="F62" s="9" t="str">
        <f t="shared" si="8"/>
        <v/>
      </c>
      <c r="G62" s="10">
        <f t="shared" si="9"/>
        <v>0.47</v>
      </c>
      <c r="H62" s="6"/>
      <c r="I62" s="11">
        <v>8</v>
      </c>
      <c r="J62" s="10" t="str">
        <f t="shared" si="10"/>
        <v/>
      </c>
      <c r="K62" s="12" t="str">
        <f t="shared" si="11"/>
        <v/>
      </c>
      <c r="L62" s="13" t="str">
        <f t="shared" si="12"/>
        <v/>
      </c>
      <c r="M62" s="5" t="str">
        <f t="shared" si="13"/>
        <v>🟢 SOBRE PISO</v>
      </c>
      <c r="N62" s="5">
        <v>1</v>
      </c>
    </row>
    <row r="63" spans="1:14" x14ac:dyDescent="0.2">
      <c r="A63" s="4" t="s">
        <v>36</v>
      </c>
      <c r="B63" s="5" t="s">
        <v>20</v>
      </c>
      <c r="C63" s="6">
        <v>37</v>
      </c>
      <c r="D63" s="7">
        <v>20</v>
      </c>
      <c r="E63" s="8">
        <f t="shared" si="7"/>
        <v>1.85</v>
      </c>
      <c r="F63" s="9">
        <f t="shared" si="8"/>
        <v>3.4905660377358489</v>
      </c>
      <c r="G63" s="10">
        <f t="shared" si="9"/>
        <v>0.47</v>
      </c>
      <c r="H63" s="6">
        <v>6</v>
      </c>
      <c r="I63" s="11">
        <v>5.8</v>
      </c>
      <c r="J63" s="10">
        <f t="shared" si="10"/>
        <v>0.68103448275862066</v>
      </c>
      <c r="K63" s="12">
        <f t="shared" si="11"/>
        <v>0.66162162162162164</v>
      </c>
      <c r="L63" s="13">
        <f t="shared" si="12"/>
        <v>-0.20000000000000018</v>
      </c>
      <c r="M63" s="5" t="str">
        <f t="shared" si="13"/>
        <v>🟢 SOBRE PISO</v>
      </c>
      <c r="N63" s="5">
        <v>3</v>
      </c>
    </row>
    <row r="64" spans="1:14" x14ac:dyDescent="0.2">
      <c r="A64" s="4" t="s">
        <v>36</v>
      </c>
      <c r="B64" s="5" t="s">
        <v>21</v>
      </c>
      <c r="C64" s="6">
        <v>313</v>
      </c>
      <c r="D64" s="7">
        <v>200</v>
      </c>
      <c r="E64" s="8">
        <f t="shared" si="7"/>
        <v>1.5649999999999999</v>
      </c>
      <c r="F64" s="9">
        <f t="shared" si="8"/>
        <v>2.9528301886792452</v>
      </c>
      <c r="G64" s="10">
        <f t="shared" si="9"/>
        <v>0.47</v>
      </c>
      <c r="H64" s="6"/>
      <c r="I64" s="11">
        <v>4.5</v>
      </c>
      <c r="J64" s="10">
        <f t="shared" si="10"/>
        <v>0.65222222222222226</v>
      </c>
      <c r="K64" s="12">
        <f t="shared" si="11"/>
        <v>0.52396166134185307</v>
      </c>
      <c r="L64" s="13" t="str">
        <f t="shared" si="12"/>
        <v/>
      </c>
      <c r="M64" s="5" t="str">
        <f t="shared" si="13"/>
        <v>🟢 SOBRE PISO</v>
      </c>
      <c r="N64" s="5">
        <v>4</v>
      </c>
    </row>
    <row r="65" spans="1:14" x14ac:dyDescent="0.2">
      <c r="A65" s="4" t="s">
        <v>36</v>
      </c>
      <c r="B65" s="5" t="s">
        <v>22</v>
      </c>
      <c r="C65" s="6">
        <v>1500</v>
      </c>
      <c r="D65" s="7">
        <v>1000</v>
      </c>
      <c r="E65" s="8">
        <f t="shared" si="7"/>
        <v>1.5</v>
      </c>
      <c r="F65" s="9">
        <f t="shared" si="8"/>
        <v>2.8301886792452828</v>
      </c>
      <c r="G65" s="10">
        <f t="shared" si="9"/>
        <v>0.47</v>
      </c>
      <c r="H65" s="6"/>
      <c r="I65" s="11">
        <v>3</v>
      </c>
      <c r="J65" s="10">
        <f t="shared" si="10"/>
        <v>0.5</v>
      </c>
      <c r="K65" s="12">
        <f t="shared" si="11"/>
        <v>6.0000000000000067E-2</v>
      </c>
      <c r="L65" s="13" t="str">
        <f t="shared" si="12"/>
        <v/>
      </c>
      <c r="M65" s="5" t="str">
        <f t="shared" si="13"/>
        <v>🟢 SOBRE PISO</v>
      </c>
      <c r="N65" s="5">
        <v>7</v>
      </c>
    </row>
    <row r="66" spans="1:14" x14ac:dyDescent="0.2">
      <c r="A66" s="4" t="s">
        <v>37</v>
      </c>
      <c r="B66" s="5" t="s">
        <v>19</v>
      </c>
      <c r="C66" s="6"/>
      <c r="D66" s="7">
        <v>1</v>
      </c>
      <c r="E66" s="8" t="str">
        <f t="shared" si="7"/>
        <v/>
      </c>
      <c r="F66" s="9" t="str">
        <f t="shared" si="8"/>
        <v/>
      </c>
      <c r="G66" s="10">
        <f t="shared" si="9"/>
        <v>0.47</v>
      </c>
      <c r="H66" s="6"/>
      <c r="I66" s="11">
        <v>5.5</v>
      </c>
      <c r="J66" s="10" t="str">
        <f t="shared" si="10"/>
        <v/>
      </c>
      <c r="K66" s="12" t="str">
        <f t="shared" si="11"/>
        <v/>
      </c>
      <c r="L66" s="13" t="str">
        <f t="shared" si="12"/>
        <v/>
      </c>
      <c r="M66" s="5" t="str">
        <f t="shared" si="13"/>
        <v>🟢 SOBRE PISO</v>
      </c>
      <c r="N66" s="5">
        <v>1</v>
      </c>
    </row>
    <row r="67" spans="1:14" x14ac:dyDescent="0.2">
      <c r="A67" s="4" t="s">
        <v>37</v>
      </c>
      <c r="B67" s="5" t="s">
        <v>20</v>
      </c>
      <c r="C67" s="6">
        <v>27</v>
      </c>
      <c r="D67" s="7">
        <v>20</v>
      </c>
      <c r="E67" s="8">
        <f t="shared" si="7"/>
        <v>1.35</v>
      </c>
      <c r="F67" s="9">
        <f t="shared" si="8"/>
        <v>2.5471698113207548</v>
      </c>
      <c r="G67" s="10">
        <f t="shared" si="9"/>
        <v>0.47</v>
      </c>
      <c r="H67" s="6">
        <v>5</v>
      </c>
      <c r="I67" s="11">
        <v>4.5</v>
      </c>
      <c r="J67" s="10">
        <f t="shared" si="10"/>
        <v>0.7</v>
      </c>
      <c r="K67" s="12">
        <f t="shared" si="11"/>
        <v>0.76666666666666661</v>
      </c>
      <c r="L67" s="13">
        <f t="shared" si="12"/>
        <v>-0.5</v>
      </c>
      <c r="M67" s="5" t="str">
        <f t="shared" si="13"/>
        <v>🟢 SOBRE PISO</v>
      </c>
      <c r="N67" s="5">
        <v>3</v>
      </c>
    </row>
    <row r="68" spans="1:14" x14ac:dyDescent="0.2">
      <c r="A68" s="4" t="s">
        <v>37</v>
      </c>
      <c r="B68" s="5" t="s">
        <v>21</v>
      </c>
      <c r="C68" s="6">
        <v>198</v>
      </c>
      <c r="D68" s="7">
        <v>200</v>
      </c>
      <c r="E68" s="8">
        <f t="shared" si="7"/>
        <v>0.99</v>
      </c>
      <c r="F68" s="9">
        <f t="shared" si="8"/>
        <v>1.8679245283018866</v>
      </c>
      <c r="G68" s="10">
        <f t="shared" si="9"/>
        <v>0.47</v>
      </c>
      <c r="H68" s="6"/>
      <c r="I68" s="11">
        <v>3.8</v>
      </c>
      <c r="J68" s="10">
        <f t="shared" si="10"/>
        <v>0.73947368421052628</v>
      </c>
      <c r="K68" s="12">
        <f t="shared" si="11"/>
        <v>1.0343434343434346</v>
      </c>
      <c r="L68" s="13" t="str">
        <f t="shared" si="12"/>
        <v/>
      </c>
      <c r="M68" s="5" t="str">
        <f t="shared" si="13"/>
        <v>🟢 SOBRE PISO</v>
      </c>
      <c r="N68" s="5">
        <v>4</v>
      </c>
    </row>
    <row r="69" spans="1:14" x14ac:dyDescent="0.2">
      <c r="A69" s="4" t="s">
        <v>37</v>
      </c>
      <c r="B69" s="5" t="s">
        <v>22</v>
      </c>
      <c r="C69" s="6">
        <v>915</v>
      </c>
      <c r="D69" s="7">
        <v>1000</v>
      </c>
      <c r="E69" s="8">
        <f t="shared" si="7"/>
        <v>0.91500000000000004</v>
      </c>
      <c r="F69" s="9">
        <f t="shared" si="8"/>
        <v>1.7264150943396226</v>
      </c>
      <c r="G69" s="10">
        <f t="shared" si="9"/>
        <v>0.47</v>
      </c>
      <c r="H69" s="6"/>
      <c r="I69" s="11">
        <v>3</v>
      </c>
      <c r="J69" s="10">
        <f t="shared" si="10"/>
        <v>0.69499999999999995</v>
      </c>
      <c r="K69" s="12">
        <f t="shared" si="11"/>
        <v>0.73770491803278693</v>
      </c>
      <c r="L69" s="13" t="str">
        <f t="shared" si="12"/>
        <v/>
      </c>
      <c r="M69" s="5" t="str">
        <f t="shared" si="13"/>
        <v>🟢 SOBRE PISO</v>
      </c>
      <c r="N69" s="5">
        <v>7</v>
      </c>
    </row>
    <row r="70" spans="1:14" x14ac:dyDescent="0.2">
      <c r="A70" s="4" t="s">
        <v>38</v>
      </c>
      <c r="B70" s="5" t="s">
        <v>19</v>
      </c>
      <c r="C70" s="6"/>
      <c r="D70" s="7">
        <v>1</v>
      </c>
      <c r="E70" s="8" t="str">
        <f t="shared" ref="E70:E101" si="14">IF(C70="","",C70/D70)</f>
        <v/>
      </c>
      <c r="F70" s="9" t="str">
        <f t="shared" ref="F70:F101" si="15">IF(E70="","",E70/(1-$B$3))</f>
        <v/>
      </c>
      <c r="G70" s="10">
        <f t="shared" ref="G70:G101" si="16">$B$3</f>
        <v>0.47</v>
      </c>
      <c r="H70" s="6"/>
      <c r="I70" s="11">
        <v>7</v>
      </c>
      <c r="J70" s="10" t="str">
        <f t="shared" ref="J70:J101" si="17">IF(OR(I70="",E70=""),"",(I70-E70)/I70)</f>
        <v/>
      </c>
      <c r="K70" s="12" t="str">
        <f t="shared" ref="K70:K101" si="18">IF(OR(I70="",F70=""),"",(I70-F70)/F70)</f>
        <v/>
      </c>
      <c r="L70" s="13" t="str">
        <f t="shared" ref="L70:L101" si="19">IF(OR(I70="",H70=""),"",I70-H70)</f>
        <v/>
      </c>
      <c r="M70" s="5" t="str">
        <f t="shared" ref="M70:M101" si="20">IF(I70="","⚪ SIN PROPUESTA",IF(F70="","🟢 SOBRE PISO",IF(I70&lt;F70*0.95,"🔴 BAJO PISO",IF(I70&gt;F70*1.05,"🟢 SOBRE PISO","🟡 EN PISO"))))</f>
        <v>🟢 SOBRE PISO</v>
      </c>
      <c r="N70" s="5">
        <v>1</v>
      </c>
    </row>
    <row r="71" spans="1:14" x14ac:dyDescent="0.2">
      <c r="A71" s="4" t="s">
        <v>38</v>
      </c>
      <c r="B71" s="5" t="s">
        <v>20</v>
      </c>
      <c r="C71" s="6">
        <v>27</v>
      </c>
      <c r="D71" s="7">
        <v>20</v>
      </c>
      <c r="E71" s="8">
        <f t="shared" si="14"/>
        <v>1.35</v>
      </c>
      <c r="F71" s="9">
        <f t="shared" si="15"/>
        <v>2.5471698113207548</v>
      </c>
      <c r="G71" s="10">
        <f t="shared" si="16"/>
        <v>0.47</v>
      </c>
      <c r="H71" s="6"/>
      <c r="I71" s="11">
        <v>5</v>
      </c>
      <c r="J71" s="10">
        <f t="shared" si="17"/>
        <v>0.73</v>
      </c>
      <c r="K71" s="12">
        <f t="shared" si="18"/>
        <v>0.96296296296296291</v>
      </c>
      <c r="L71" s="13" t="str">
        <f t="shared" si="19"/>
        <v/>
      </c>
      <c r="M71" s="5" t="str">
        <f t="shared" si="20"/>
        <v>🟢 SOBRE PISO</v>
      </c>
      <c r="N71" s="5">
        <v>3</v>
      </c>
    </row>
    <row r="72" spans="1:14" x14ac:dyDescent="0.2">
      <c r="A72" s="4" t="s">
        <v>38</v>
      </c>
      <c r="B72" s="5" t="s">
        <v>21</v>
      </c>
      <c r="C72" s="6">
        <v>210</v>
      </c>
      <c r="D72" s="7">
        <v>200</v>
      </c>
      <c r="E72" s="8">
        <f t="shared" si="14"/>
        <v>1.05</v>
      </c>
      <c r="F72" s="9">
        <f t="shared" si="15"/>
        <v>1.9811320754716981</v>
      </c>
      <c r="G72" s="10">
        <f t="shared" si="16"/>
        <v>0.47</v>
      </c>
      <c r="H72" s="6"/>
      <c r="I72" s="11">
        <v>4</v>
      </c>
      <c r="J72" s="10">
        <f t="shared" si="17"/>
        <v>0.73750000000000004</v>
      </c>
      <c r="K72" s="12">
        <f t="shared" si="18"/>
        <v>1.0190476190476192</v>
      </c>
      <c r="L72" s="13" t="str">
        <f t="shared" si="19"/>
        <v/>
      </c>
      <c r="M72" s="5" t="str">
        <f t="shared" si="20"/>
        <v>🟢 SOBRE PISO</v>
      </c>
      <c r="N72" s="5">
        <v>4</v>
      </c>
    </row>
    <row r="73" spans="1:14" x14ac:dyDescent="0.2">
      <c r="A73" s="4" t="s">
        <v>38</v>
      </c>
      <c r="B73" s="5" t="s">
        <v>22</v>
      </c>
      <c r="C73" s="6">
        <v>980</v>
      </c>
      <c r="D73" s="7">
        <v>1000</v>
      </c>
      <c r="E73" s="8">
        <f t="shared" si="14"/>
        <v>0.98</v>
      </c>
      <c r="F73" s="9">
        <f t="shared" si="15"/>
        <v>1.8490566037735847</v>
      </c>
      <c r="G73" s="10">
        <f t="shared" si="16"/>
        <v>0.47</v>
      </c>
      <c r="H73" s="6"/>
      <c r="I73" s="11">
        <v>3</v>
      </c>
      <c r="J73" s="10">
        <f t="shared" si="17"/>
        <v>0.67333333333333334</v>
      </c>
      <c r="K73" s="12">
        <f t="shared" si="18"/>
        <v>0.62244897959183687</v>
      </c>
      <c r="L73" s="13" t="str">
        <f t="shared" si="19"/>
        <v/>
      </c>
      <c r="M73" s="5" t="str">
        <f t="shared" si="20"/>
        <v>🟢 SOBRE PISO</v>
      </c>
      <c r="N73" s="5">
        <v>7</v>
      </c>
    </row>
    <row r="74" spans="1:14" x14ac:dyDescent="0.2">
      <c r="A74" s="4" t="s">
        <v>39</v>
      </c>
      <c r="B74" s="5" t="s">
        <v>19</v>
      </c>
      <c r="C74" s="6"/>
      <c r="D74" s="7">
        <v>1</v>
      </c>
      <c r="E74" s="8" t="str">
        <f t="shared" si="14"/>
        <v/>
      </c>
      <c r="F74" s="9" t="str">
        <f t="shared" si="15"/>
        <v/>
      </c>
      <c r="G74" s="10">
        <f t="shared" si="16"/>
        <v>0.47</v>
      </c>
      <c r="H74" s="6"/>
      <c r="I74" s="11">
        <v>10</v>
      </c>
      <c r="J74" s="10" t="str">
        <f t="shared" si="17"/>
        <v/>
      </c>
      <c r="K74" s="12" t="str">
        <f t="shared" si="18"/>
        <v/>
      </c>
      <c r="L74" s="13" t="str">
        <f t="shared" si="19"/>
        <v/>
      </c>
      <c r="M74" s="5" t="str">
        <f t="shared" si="20"/>
        <v>🟢 SOBRE PISO</v>
      </c>
      <c r="N74" s="5">
        <v>1</v>
      </c>
    </row>
    <row r="75" spans="1:14" x14ac:dyDescent="0.2">
      <c r="A75" s="4" t="s">
        <v>39</v>
      </c>
      <c r="B75" s="5" t="s">
        <v>20</v>
      </c>
      <c r="C75" s="6">
        <v>45</v>
      </c>
      <c r="D75" s="7">
        <v>20</v>
      </c>
      <c r="E75" s="8">
        <f t="shared" si="14"/>
        <v>2.25</v>
      </c>
      <c r="F75" s="9">
        <f t="shared" si="15"/>
        <v>4.2452830188679247</v>
      </c>
      <c r="G75" s="10">
        <f t="shared" si="16"/>
        <v>0.47</v>
      </c>
      <c r="H75" s="6">
        <v>8.5</v>
      </c>
      <c r="I75" s="11">
        <v>8.5</v>
      </c>
      <c r="J75" s="10">
        <f t="shared" si="17"/>
        <v>0.73529411764705888</v>
      </c>
      <c r="K75" s="12">
        <f t="shared" si="18"/>
        <v>1.0022222222222221</v>
      </c>
      <c r="L75" s="13">
        <f t="shared" si="19"/>
        <v>0</v>
      </c>
      <c r="M75" s="5" t="str">
        <f t="shared" si="20"/>
        <v>🟢 SOBRE PISO</v>
      </c>
      <c r="N75" s="5">
        <v>3</v>
      </c>
    </row>
    <row r="76" spans="1:14" x14ac:dyDescent="0.2">
      <c r="A76" s="4" t="s">
        <v>39</v>
      </c>
      <c r="B76" s="5" t="s">
        <v>21</v>
      </c>
      <c r="C76" s="6">
        <v>387</v>
      </c>
      <c r="D76" s="7">
        <v>200</v>
      </c>
      <c r="E76" s="8">
        <f t="shared" si="14"/>
        <v>1.9350000000000001</v>
      </c>
      <c r="F76" s="9">
        <f t="shared" si="15"/>
        <v>3.6509433962264151</v>
      </c>
      <c r="G76" s="10">
        <f t="shared" si="16"/>
        <v>0.47</v>
      </c>
      <c r="H76" s="6"/>
      <c r="I76" s="11">
        <v>7</v>
      </c>
      <c r="J76" s="10">
        <f t="shared" si="17"/>
        <v>0.72357142857142853</v>
      </c>
      <c r="K76" s="12">
        <f t="shared" si="18"/>
        <v>0.91731266149870805</v>
      </c>
      <c r="L76" s="13" t="str">
        <f t="shared" si="19"/>
        <v/>
      </c>
      <c r="M76" s="5" t="str">
        <f t="shared" si="20"/>
        <v>🟢 SOBRE PISO</v>
      </c>
      <c r="N76" s="5">
        <v>4</v>
      </c>
    </row>
    <row r="77" spans="1:14" x14ac:dyDescent="0.2">
      <c r="A77" s="4" t="s">
        <v>39</v>
      </c>
      <c r="B77" s="5" t="s">
        <v>22</v>
      </c>
      <c r="C77" s="6">
        <v>1870</v>
      </c>
      <c r="D77" s="7">
        <v>1000</v>
      </c>
      <c r="E77" s="8">
        <f t="shared" si="14"/>
        <v>1.87</v>
      </c>
      <c r="F77" s="9">
        <f t="shared" si="15"/>
        <v>3.5283018867924527</v>
      </c>
      <c r="G77" s="10">
        <f t="shared" si="16"/>
        <v>0.47</v>
      </c>
      <c r="H77" s="6"/>
      <c r="I77" s="11">
        <v>6</v>
      </c>
      <c r="J77" s="10">
        <f t="shared" si="17"/>
        <v>0.68833333333333335</v>
      </c>
      <c r="K77" s="12">
        <f t="shared" si="18"/>
        <v>0.70053475935828879</v>
      </c>
      <c r="L77" s="13" t="str">
        <f t="shared" si="19"/>
        <v/>
      </c>
      <c r="M77" s="5" t="str">
        <f t="shared" si="20"/>
        <v>🟢 SOBRE PISO</v>
      </c>
      <c r="N77" s="5">
        <v>7</v>
      </c>
    </row>
    <row r="78" spans="1:14" x14ac:dyDescent="0.2">
      <c r="A78" s="4" t="s">
        <v>40</v>
      </c>
      <c r="B78" s="5" t="s">
        <v>19</v>
      </c>
      <c r="C78" s="6"/>
      <c r="D78" s="7">
        <v>1</v>
      </c>
      <c r="E78" s="8" t="str">
        <f t="shared" si="14"/>
        <v/>
      </c>
      <c r="F78" s="9" t="str">
        <f t="shared" si="15"/>
        <v/>
      </c>
      <c r="G78" s="10">
        <f t="shared" si="16"/>
        <v>0.47</v>
      </c>
      <c r="H78" s="6"/>
      <c r="I78" s="11">
        <v>10</v>
      </c>
      <c r="J78" s="10" t="str">
        <f t="shared" si="17"/>
        <v/>
      </c>
      <c r="K78" s="12" t="str">
        <f t="shared" si="18"/>
        <v/>
      </c>
      <c r="L78" s="13" t="str">
        <f t="shared" si="19"/>
        <v/>
      </c>
      <c r="M78" s="5" t="str">
        <f t="shared" si="20"/>
        <v>🟢 SOBRE PISO</v>
      </c>
      <c r="N78" s="5">
        <v>1</v>
      </c>
    </row>
    <row r="79" spans="1:14" x14ac:dyDescent="0.2">
      <c r="A79" s="4" t="s">
        <v>40</v>
      </c>
      <c r="B79" s="5" t="s">
        <v>20</v>
      </c>
      <c r="C79" s="6">
        <v>57</v>
      </c>
      <c r="D79" s="7">
        <v>20</v>
      </c>
      <c r="E79" s="8">
        <f t="shared" si="14"/>
        <v>2.85</v>
      </c>
      <c r="F79" s="9">
        <f t="shared" si="15"/>
        <v>5.3773584905660377</v>
      </c>
      <c r="G79" s="10">
        <f t="shared" si="16"/>
        <v>0.47</v>
      </c>
      <c r="H79" s="6"/>
      <c r="I79" s="11">
        <v>8.5</v>
      </c>
      <c r="J79" s="10">
        <f t="shared" si="17"/>
        <v>0.66470588235294126</v>
      </c>
      <c r="K79" s="12">
        <f t="shared" si="18"/>
        <v>0.58070175438596494</v>
      </c>
      <c r="L79" s="13" t="str">
        <f t="shared" si="19"/>
        <v/>
      </c>
      <c r="M79" s="5" t="str">
        <f t="shared" si="20"/>
        <v>🟢 SOBRE PISO</v>
      </c>
      <c r="N79" s="5">
        <v>3</v>
      </c>
    </row>
    <row r="80" spans="1:14" x14ac:dyDescent="0.2">
      <c r="A80" s="4" t="s">
        <v>40</v>
      </c>
      <c r="B80" s="5" t="s">
        <v>21</v>
      </c>
      <c r="C80" s="6">
        <v>512</v>
      </c>
      <c r="D80" s="7">
        <v>200</v>
      </c>
      <c r="E80" s="8">
        <f t="shared" si="14"/>
        <v>2.56</v>
      </c>
      <c r="F80" s="9">
        <f t="shared" si="15"/>
        <v>4.8301886792452828</v>
      </c>
      <c r="G80" s="10">
        <f t="shared" si="16"/>
        <v>0.47</v>
      </c>
      <c r="H80" s="6"/>
      <c r="I80" s="11">
        <v>7</v>
      </c>
      <c r="J80" s="10">
        <f t="shared" si="17"/>
        <v>0.63428571428571423</v>
      </c>
      <c r="K80" s="12">
        <f t="shared" si="18"/>
        <v>0.44921875000000006</v>
      </c>
      <c r="L80" s="13" t="str">
        <f t="shared" si="19"/>
        <v/>
      </c>
      <c r="M80" s="5" t="str">
        <f t="shared" si="20"/>
        <v>🟢 SOBRE PISO</v>
      </c>
      <c r="N80" s="5">
        <v>4</v>
      </c>
    </row>
    <row r="81" spans="1:14" x14ac:dyDescent="0.2">
      <c r="A81" s="4" t="s">
        <v>40</v>
      </c>
      <c r="B81" s="5" t="s">
        <v>22</v>
      </c>
      <c r="C81" s="6">
        <v>2500</v>
      </c>
      <c r="D81" s="7">
        <v>1000</v>
      </c>
      <c r="E81" s="8">
        <f t="shared" si="14"/>
        <v>2.5</v>
      </c>
      <c r="F81" s="9">
        <f t="shared" si="15"/>
        <v>4.7169811320754711</v>
      </c>
      <c r="G81" s="10">
        <f t="shared" si="16"/>
        <v>0.47</v>
      </c>
      <c r="H81" s="6"/>
      <c r="I81" s="11">
        <v>6</v>
      </c>
      <c r="J81" s="10">
        <f t="shared" si="17"/>
        <v>0.58333333333333337</v>
      </c>
      <c r="K81" s="12">
        <f t="shared" si="18"/>
        <v>0.27200000000000019</v>
      </c>
      <c r="L81" s="13" t="str">
        <f t="shared" si="19"/>
        <v/>
      </c>
      <c r="M81" s="5" t="str">
        <f t="shared" si="20"/>
        <v>🟢 SOBRE PISO</v>
      </c>
      <c r="N81" s="5">
        <v>7</v>
      </c>
    </row>
    <row r="82" spans="1:14" x14ac:dyDescent="0.2">
      <c r="A82" s="4" t="s">
        <v>41</v>
      </c>
      <c r="B82" s="5" t="s">
        <v>19</v>
      </c>
      <c r="C82" s="6"/>
      <c r="D82" s="7">
        <v>1</v>
      </c>
      <c r="E82" s="8" t="str">
        <f t="shared" si="14"/>
        <v/>
      </c>
      <c r="F82" s="9" t="str">
        <f t="shared" si="15"/>
        <v/>
      </c>
      <c r="G82" s="10">
        <f t="shared" si="16"/>
        <v>0.47</v>
      </c>
      <c r="H82" s="6"/>
      <c r="I82" s="11">
        <v>8</v>
      </c>
      <c r="J82" s="10" t="str">
        <f t="shared" si="17"/>
        <v/>
      </c>
      <c r="K82" s="12" t="str">
        <f t="shared" si="18"/>
        <v/>
      </c>
      <c r="L82" s="13" t="str">
        <f t="shared" si="19"/>
        <v/>
      </c>
      <c r="M82" s="5" t="str">
        <f t="shared" si="20"/>
        <v>🟢 SOBRE PISO</v>
      </c>
      <c r="N82" s="5">
        <v>1</v>
      </c>
    </row>
    <row r="83" spans="1:14" x14ac:dyDescent="0.2">
      <c r="A83" s="4" t="s">
        <v>41</v>
      </c>
      <c r="B83" s="5" t="s">
        <v>20</v>
      </c>
      <c r="C83" s="6">
        <v>51</v>
      </c>
      <c r="D83" s="7">
        <v>20</v>
      </c>
      <c r="E83" s="8">
        <f t="shared" si="14"/>
        <v>2.5499999999999998</v>
      </c>
      <c r="F83" s="9">
        <f t="shared" si="15"/>
        <v>4.8113207547169807</v>
      </c>
      <c r="G83" s="10">
        <f t="shared" si="16"/>
        <v>0.47</v>
      </c>
      <c r="H83" s="6">
        <v>6.7</v>
      </c>
      <c r="I83" s="11">
        <v>6.8</v>
      </c>
      <c r="J83" s="10">
        <f t="shared" si="17"/>
        <v>0.625</v>
      </c>
      <c r="K83" s="12">
        <f t="shared" si="18"/>
        <v>0.41333333333333344</v>
      </c>
      <c r="L83" s="13">
        <f t="shared" si="19"/>
        <v>9.9999999999999645E-2</v>
      </c>
      <c r="M83" s="5" t="str">
        <f t="shared" si="20"/>
        <v>🟢 SOBRE PISO</v>
      </c>
      <c r="N83" s="5">
        <v>3</v>
      </c>
    </row>
    <row r="84" spans="1:14" x14ac:dyDescent="0.2">
      <c r="A84" s="4" t="s">
        <v>41</v>
      </c>
      <c r="B84" s="5" t="s">
        <v>21</v>
      </c>
      <c r="C84" s="6">
        <v>455</v>
      </c>
      <c r="D84" s="7">
        <v>200</v>
      </c>
      <c r="E84" s="8">
        <f t="shared" si="14"/>
        <v>2.2749999999999999</v>
      </c>
      <c r="F84" s="9">
        <f t="shared" si="15"/>
        <v>4.2924528301886786</v>
      </c>
      <c r="G84" s="10">
        <f t="shared" si="16"/>
        <v>0.47</v>
      </c>
      <c r="H84" s="6"/>
      <c r="I84" s="11">
        <v>5</v>
      </c>
      <c r="J84" s="10">
        <f t="shared" si="17"/>
        <v>0.54500000000000004</v>
      </c>
      <c r="K84" s="12">
        <f t="shared" si="18"/>
        <v>0.164835164835165</v>
      </c>
      <c r="L84" s="13" t="str">
        <f t="shared" si="19"/>
        <v/>
      </c>
      <c r="M84" s="5" t="str">
        <f t="shared" si="20"/>
        <v>🟢 SOBRE PISO</v>
      </c>
      <c r="N84" s="5">
        <v>4</v>
      </c>
    </row>
    <row r="85" spans="1:14" x14ac:dyDescent="0.2">
      <c r="A85" s="4" t="s">
        <v>41</v>
      </c>
      <c r="B85" s="5" t="s">
        <v>22</v>
      </c>
      <c r="C85" s="6">
        <v>2200</v>
      </c>
      <c r="D85" s="7">
        <v>1000</v>
      </c>
      <c r="E85" s="8">
        <f t="shared" si="14"/>
        <v>2.2000000000000002</v>
      </c>
      <c r="F85" s="9">
        <f t="shared" si="15"/>
        <v>4.1509433962264151</v>
      </c>
      <c r="G85" s="10">
        <f t="shared" si="16"/>
        <v>0.47</v>
      </c>
      <c r="H85" s="6"/>
      <c r="I85" s="11">
        <v>4.5</v>
      </c>
      <c r="J85" s="10">
        <f t="shared" si="17"/>
        <v>0.51111111111111107</v>
      </c>
      <c r="K85" s="12">
        <f t="shared" si="18"/>
        <v>8.4090909090909105E-2</v>
      </c>
      <c r="L85" s="13" t="str">
        <f t="shared" si="19"/>
        <v/>
      </c>
      <c r="M85" s="5" t="str">
        <f t="shared" si="20"/>
        <v>🟢 SOBRE PISO</v>
      </c>
      <c r="N85" s="5">
        <v>7</v>
      </c>
    </row>
    <row r="86" spans="1:14" x14ac:dyDescent="0.2">
      <c r="A86" s="4" t="s">
        <v>42</v>
      </c>
      <c r="B86" s="5" t="s">
        <v>19</v>
      </c>
      <c r="C86" s="6"/>
      <c r="D86" s="7">
        <v>1</v>
      </c>
      <c r="E86" s="8" t="str">
        <f t="shared" si="14"/>
        <v/>
      </c>
      <c r="F86" s="9" t="str">
        <f t="shared" si="15"/>
        <v/>
      </c>
      <c r="G86" s="10">
        <f t="shared" si="16"/>
        <v>0.47</v>
      </c>
      <c r="H86" s="6"/>
      <c r="I86" s="11">
        <v>10</v>
      </c>
      <c r="J86" s="10" t="str">
        <f t="shared" si="17"/>
        <v/>
      </c>
      <c r="K86" s="12" t="str">
        <f t="shared" si="18"/>
        <v/>
      </c>
      <c r="L86" s="13" t="str">
        <f t="shared" si="19"/>
        <v/>
      </c>
      <c r="M86" s="5" t="str">
        <f t="shared" si="20"/>
        <v>🟢 SOBRE PISO</v>
      </c>
      <c r="N86" s="5">
        <v>1</v>
      </c>
    </row>
    <row r="87" spans="1:14" x14ac:dyDescent="0.2">
      <c r="A87" s="4" t="s">
        <v>42</v>
      </c>
      <c r="B87" s="5" t="s">
        <v>20</v>
      </c>
      <c r="C87" s="6">
        <v>48</v>
      </c>
      <c r="D87" s="7">
        <v>20</v>
      </c>
      <c r="E87" s="8">
        <f t="shared" si="14"/>
        <v>2.4</v>
      </c>
      <c r="F87" s="9">
        <f t="shared" si="15"/>
        <v>4.5283018867924527</v>
      </c>
      <c r="G87" s="10">
        <f t="shared" si="16"/>
        <v>0.47</v>
      </c>
      <c r="H87" s="6"/>
      <c r="I87" s="11">
        <v>8.5</v>
      </c>
      <c r="J87" s="10">
        <f t="shared" si="17"/>
        <v>0.71764705882352942</v>
      </c>
      <c r="K87" s="12">
        <f t="shared" si="18"/>
        <v>0.87708333333333344</v>
      </c>
      <c r="L87" s="13" t="str">
        <f t="shared" si="19"/>
        <v/>
      </c>
      <c r="M87" s="5" t="str">
        <f t="shared" si="20"/>
        <v>🟢 SOBRE PISO</v>
      </c>
      <c r="N87" s="5">
        <v>3</v>
      </c>
    </row>
    <row r="88" spans="1:14" x14ac:dyDescent="0.2">
      <c r="A88" s="4" t="s">
        <v>42</v>
      </c>
      <c r="B88" s="5" t="s">
        <v>21</v>
      </c>
      <c r="C88" s="6">
        <v>380</v>
      </c>
      <c r="D88" s="7">
        <v>200</v>
      </c>
      <c r="E88" s="8">
        <f t="shared" si="14"/>
        <v>1.9</v>
      </c>
      <c r="F88" s="9">
        <f t="shared" si="15"/>
        <v>3.5849056603773581</v>
      </c>
      <c r="G88" s="10">
        <f t="shared" si="16"/>
        <v>0.47</v>
      </c>
      <c r="H88" s="6"/>
      <c r="I88" s="11">
        <v>7</v>
      </c>
      <c r="J88" s="10">
        <f t="shared" si="17"/>
        <v>0.72857142857142854</v>
      </c>
      <c r="K88" s="12">
        <f t="shared" si="18"/>
        <v>0.95263157894736861</v>
      </c>
      <c r="L88" s="13" t="str">
        <f t="shared" si="19"/>
        <v/>
      </c>
      <c r="M88" s="5" t="str">
        <f t="shared" si="20"/>
        <v>🟢 SOBRE PISO</v>
      </c>
      <c r="N88" s="5">
        <v>4</v>
      </c>
    </row>
    <row r="89" spans="1:14" x14ac:dyDescent="0.2">
      <c r="A89" s="4" t="s">
        <v>42</v>
      </c>
      <c r="B89" s="5" t="s">
        <v>22</v>
      </c>
      <c r="C89" s="6">
        <v>1780</v>
      </c>
      <c r="D89" s="7">
        <v>1000</v>
      </c>
      <c r="E89" s="8">
        <f t="shared" si="14"/>
        <v>1.78</v>
      </c>
      <c r="F89" s="9">
        <f t="shared" si="15"/>
        <v>3.3584905660377355</v>
      </c>
      <c r="G89" s="10">
        <f t="shared" si="16"/>
        <v>0.47</v>
      </c>
      <c r="H89" s="6"/>
      <c r="I89" s="11">
        <v>6</v>
      </c>
      <c r="J89" s="10">
        <f t="shared" si="17"/>
        <v>0.70333333333333325</v>
      </c>
      <c r="K89" s="12">
        <f t="shared" si="18"/>
        <v>0.78651685393258441</v>
      </c>
      <c r="L89" s="13" t="str">
        <f t="shared" si="19"/>
        <v/>
      </c>
      <c r="M89" s="5" t="str">
        <f t="shared" si="20"/>
        <v>🟢 SOBRE PISO</v>
      </c>
      <c r="N89" s="5">
        <v>7</v>
      </c>
    </row>
    <row r="90" spans="1:14" x14ac:dyDescent="0.2">
      <c r="A90" s="4" t="s">
        <v>43</v>
      </c>
      <c r="B90" s="5" t="s">
        <v>19</v>
      </c>
      <c r="C90" s="6"/>
      <c r="D90" s="7">
        <v>1</v>
      </c>
      <c r="E90" s="8" t="str">
        <f t="shared" si="14"/>
        <v/>
      </c>
      <c r="F90" s="9" t="str">
        <f t="shared" si="15"/>
        <v/>
      </c>
      <c r="G90" s="10">
        <f t="shared" si="16"/>
        <v>0.47</v>
      </c>
      <c r="H90" s="6"/>
      <c r="I90" s="11">
        <v>10</v>
      </c>
      <c r="J90" s="10" t="str">
        <f t="shared" si="17"/>
        <v/>
      </c>
      <c r="K90" s="12" t="str">
        <f t="shared" si="18"/>
        <v/>
      </c>
      <c r="L90" s="13" t="str">
        <f t="shared" si="19"/>
        <v/>
      </c>
      <c r="M90" s="5" t="str">
        <f t="shared" si="20"/>
        <v>🟢 SOBRE PISO</v>
      </c>
      <c r="N90" s="5">
        <v>1</v>
      </c>
    </row>
    <row r="91" spans="1:14" x14ac:dyDescent="0.2">
      <c r="A91" s="4" t="s">
        <v>43</v>
      </c>
      <c r="B91" s="5" t="s">
        <v>20</v>
      </c>
      <c r="C91" s="6">
        <v>57</v>
      </c>
      <c r="D91" s="7">
        <v>20</v>
      </c>
      <c r="E91" s="8">
        <f t="shared" si="14"/>
        <v>2.85</v>
      </c>
      <c r="F91" s="9">
        <f t="shared" si="15"/>
        <v>5.3773584905660377</v>
      </c>
      <c r="G91" s="10">
        <f t="shared" si="16"/>
        <v>0.47</v>
      </c>
      <c r="H91" s="6">
        <v>8.75</v>
      </c>
      <c r="I91" s="11">
        <v>8.5</v>
      </c>
      <c r="J91" s="10">
        <f t="shared" si="17"/>
        <v>0.66470588235294126</v>
      </c>
      <c r="K91" s="12">
        <f t="shared" si="18"/>
        <v>0.58070175438596494</v>
      </c>
      <c r="L91" s="13">
        <f t="shared" si="19"/>
        <v>-0.25</v>
      </c>
      <c r="M91" s="5" t="str">
        <f t="shared" si="20"/>
        <v>🟢 SOBRE PISO</v>
      </c>
      <c r="N91" s="5">
        <v>3</v>
      </c>
    </row>
    <row r="92" spans="1:14" x14ac:dyDescent="0.2">
      <c r="A92" s="4" t="s">
        <v>43</v>
      </c>
      <c r="B92" s="5" t="s">
        <v>21</v>
      </c>
      <c r="C92" s="6">
        <v>510</v>
      </c>
      <c r="D92" s="7">
        <v>200</v>
      </c>
      <c r="E92" s="8">
        <f t="shared" si="14"/>
        <v>2.5499999999999998</v>
      </c>
      <c r="F92" s="9">
        <f t="shared" si="15"/>
        <v>4.8113207547169807</v>
      </c>
      <c r="G92" s="10">
        <f t="shared" si="16"/>
        <v>0.47</v>
      </c>
      <c r="H92" s="6"/>
      <c r="I92" s="11">
        <v>7</v>
      </c>
      <c r="J92" s="10">
        <f t="shared" si="17"/>
        <v>0.63571428571428579</v>
      </c>
      <c r="K92" s="12">
        <f t="shared" si="18"/>
        <v>0.45490196078431383</v>
      </c>
      <c r="L92" s="13" t="str">
        <f t="shared" si="19"/>
        <v/>
      </c>
      <c r="M92" s="5" t="str">
        <f t="shared" si="20"/>
        <v>🟢 SOBRE PISO</v>
      </c>
      <c r="N92" s="5">
        <v>4</v>
      </c>
    </row>
    <row r="93" spans="1:14" x14ac:dyDescent="0.2">
      <c r="A93" s="4" t="s">
        <v>43</v>
      </c>
      <c r="B93" s="5" t="s">
        <v>22</v>
      </c>
      <c r="C93" s="6">
        <v>2500</v>
      </c>
      <c r="D93" s="7">
        <v>1000</v>
      </c>
      <c r="E93" s="8">
        <f t="shared" si="14"/>
        <v>2.5</v>
      </c>
      <c r="F93" s="9">
        <f t="shared" si="15"/>
        <v>4.7169811320754711</v>
      </c>
      <c r="G93" s="10">
        <f t="shared" si="16"/>
        <v>0.47</v>
      </c>
      <c r="H93" s="6"/>
      <c r="I93" s="11">
        <v>6</v>
      </c>
      <c r="J93" s="10">
        <f t="shared" si="17"/>
        <v>0.58333333333333337</v>
      </c>
      <c r="K93" s="12">
        <f t="shared" si="18"/>
        <v>0.27200000000000019</v>
      </c>
      <c r="L93" s="13" t="str">
        <f t="shared" si="19"/>
        <v/>
      </c>
      <c r="M93" s="5" t="str">
        <f t="shared" si="20"/>
        <v>🟢 SOBRE PISO</v>
      </c>
      <c r="N93" s="5">
        <v>7</v>
      </c>
    </row>
    <row r="94" spans="1:14" x14ac:dyDescent="0.2">
      <c r="A94" s="4" t="s">
        <v>44</v>
      </c>
      <c r="B94" s="5" t="s">
        <v>19</v>
      </c>
      <c r="C94" s="6"/>
      <c r="D94" s="7">
        <v>1</v>
      </c>
      <c r="E94" s="8" t="str">
        <f t="shared" si="14"/>
        <v/>
      </c>
      <c r="F94" s="9" t="str">
        <f t="shared" si="15"/>
        <v/>
      </c>
      <c r="G94" s="10">
        <f t="shared" si="16"/>
        <v>0.47</v>
      </c>
      <c r="H94" s="6"/>
      <c r="I94" s="11">
        <v>15</v>
      </c>
      <c r="J94" s="10" t="str">
        <f t="shared" si="17"/>
        <v/>
      </c>
      <c r="K94" s="12" t="str">
        <f t="shared" si="18"/>
        <v/>
      </c>
      <c r="L94" s="13" t="str">
        <f t="shared" si="19"/>
        <v/>
      </c>
      <c r="M94" s="5" t="str">
        <f t="shared" si="20"/>
        <v>🟢 SOBRE PISO</v>
      </c>
      <c r="N94" s="5">
        <v>1</v>
      </c>
    </row>
    <row r="95" spans="1:14" x14ac:dyDescent="0.2">
      <c r="A95" s="4" t="s">
        <v>44</v>
      </c>
      <c r="B95" s="5" t="s">
        <v>20</v>
      </c>
      <c r="C95" s="6">
        <v>58</v>
      </c>
      <c r="D95" s="7">
        <v>20</v>
      </c>
      <c r="E95" s="8">
        <f t="shared" si="14"/>
        <v>2.9</v>
      </c>
      <c r="F95" s="9">
        <f t="shared" si="15"/>
        <v>5.4716981132075464</v>
      </c>
      <c r="G95" s="10">
        <f t="shared" si="16"/>
        <v>0.47</v>
      </c>
      <c r="H95" s="6"/>
      <c r="I95" s="11">
        <v>14</v>
      </c>
      <c r="J95" s="10">
        <f t="shared" si="17"/>
        <v>0.79285714285714282</v>
      </c>
      <c r="K95" s="12">
        <f t="shared" si="18"/>
        <v>1.5586206896551729</v>
      </c>
      <c r="L95" s="13" t="str">
        <f t="shared" si="19"/>
        <v/>
      </c>
      <c r="M95" s="5" t="str">
        <f t="shared" si="20"/>
        <v>🟢 SOBRE PISO</v>
      </c>
      <c r="N95" s="5">
        <v>3</v>
      </c>
    </row>
    <row r="96" spans="1:14" x14ac:dyDescent="0.2">
      <c r="A96" s="4" t="s">
        <v>44</v>
      </c>
      <c r="B96" s="5" t="s">
        <v>21</v>
      </c>
      <c r="C96" s="6">
        <v>520</v>
      </c>
      <c r="D96" s="7">
        <v>200</v>
      </c>
      <c r="E96" s="8">
        <f t="shared" si="14"/>
        <v>2.6</v>
      </c>
      <c r="F96" s="9">
        <f t="shared" si="15"/>
        <v>4.9056603773584904</v>
      </c>
      <c r="G96" s="10">
        <f t="shared" si="16"/>
        <v>0.47</v>
      </c>
      <c r="H96" s="6"/>
      <c r="I96" s="11">
        <v>13</v>
      </c>
      <c r="J96" s="10">
        <f t="shared" si="17"/>
        <v>0.8</v>
      </c>
      <c r="K96" s="12">
        <f t="shared" si="18"/>
        <v>1.6500000000000001</v>
      </c>
      <c r="L96" s="13" t="str">
        <f t="shared" si="19"/>
        <v/>
      </c>
      <c r="M96" s="5" t="str">
        <f t="shared" si="20"/>
        <v>🟢 SOBRE PISO</v>
      </c>
      <c r="N96" s="5">
        <v>4</v>
      </c>
    </row>
    <row r="97" spans="1:14" x14ac:dyDescent="0.2">
      <c r="A97" s="4" t="s">
        <v>44</v>
      </c>
      <c r="B97" s="5" t="s">
        <v>22</v>
      </c>
      <c r="C97" s="6">
        <v>2500</v>
      </c>
      <c r="D97" s="7">
        <v>1000</v>
      </c>
      <c r="E97" s="8">
        <f t="shared" si="14"/>
        <v>2.5</v>
      </c>
      <c r="F97" s="9">
        <f t="shared" si="15"/>
        <v>4.7169811320754711</v>
      </c>
      <c r="G97" s="10">
        <f t="shared" si="16"/>
        <v>0.47</v>
      </c>
      <c r="H97" s="6"/>
      <c r="I97" s="11">
        <v>10</v>
      </c>
      <c r="J97" s="10">
        <f t="shared" si="17"/>
        <v>0.75</v>
      </c>
      <c r="K97" s="12">
        <f t="shared" si="18"/>
        <v>1.1200000000000003</v>
      </c>
      <c r="L97" s="13" t="str">
        <f t="shared" si="19"/>
        <v/>
      </c>
      <c r="M97" s="5" t="str">
        <f t="shared" si="20"/>
        <v>🟢 SOBRE PISO</v>
      </c>
      <c r="N97" s="5">
        <v>7</v>
      </c>
    </row>
    <row r="98" spans="1:14" x14ac:dyDescent="0.2">
      <c r="A98" s="4" t="s">
        <v>45</v>
      </c>
      <c r="B98" s="5" t="s">
        <v>19</v>
      </c>
      <c r="C98" s="6"/>
      <c r="D98" s="7">
        <v>1</v>
      </c>
      <c r="E98" s="8" t="str">
        <f t="shared" si="14"/>
        <v/>
      </c>
      <c r="F98" s="9" t="str">
        <f t="shared" si="15"/>
        <v/>
      </c>
      <c r="G98" s="10">
        <f t="shared" si="16"/>
        <v>0.47</v>
      </c>
      <c r="H98" s="6"/>
      <c r="I98" s="11">
        <v>11</v>
      </c>
      <c r="J98" s="10" t="str">
        <f t="shared" si="17"/>
        <v/>
      </c>
      <c r="K98" s="12" t="str">
        <f t="shared" si="18"/>
        <v/>
      </c>
      <c r="L98" s="13" t="str">
        <f t="shared" si="19"/>
        <v/>
      </c>
      <c r="M98" s="5" t="str">
        <f t="shared" si="20"/>
        <v>🟢 SOBRE PISO</v>
      </c>
      <c r="N98" s="5">
        <v>1</v>
      </c>
    </row>
    <row r="99" spans="1:14" x14ac:dyDescent="0.2">
      <c r="A99" s="4" t="s">
        <v>45</v>
      </c>
      <c r="B99" s="5" t="s">
        <v>20</v>
      </c>
      <c r="C99" s="6">
        <v>48</v>
      </c>
      <c r="D99" s="7">
        <v>20</v>
      </c>
      <c r="E99" s="8">
        <f t="shared" si="14"/>
        <v>2.4</v>
      </c>
      <c r="F99" s="9">
        <f t="shared" si="15"/>
        <v>4.5283018867924527</v>
      </c>
      <c r="G99" s="10">
        <f t="shared" si="16"/>
        <v>0.47</v>
      </c>
      <c r="H99" s="6"/>
      <c r="I99" s="11">
        <v>9</v>
      </c>
      <c r="J99" s="10">
        <f t="shared" si="17"/>
        <v>0.73333333333333328</v>
      </c>
      <c r="K99" s="12">
        <f t="shared" si="18"/>
        <v>0.98750000000000004</v>
      </c>
      <c r="L99" s="13" t="str">
        <f t="shared" si="19"/>
        <v/>
      </c>
      <c r="M99" s="5" t="str">
        <f t="shared" si="20"/>
        <v>🟢 SOBRE PISO</v>
      </c>
      <c r="N99" s="5">
        <v>3</v>
      </c>
    </row>
    <row r="100" spans="1:14" x14ac:dyDescent="0.2">
      <c r="A100" s="4" t="s">
        <v>45</v>
      </c>
      <c r="B100" s="5" t="s">
        <v>21</v>
      </c>
      <c r="C100" s="6">
        <v>400</v>
      </c>
      <c r="D100" s="7">
        <v>200</v>
      </c>
      <c r="E100" s="8">
        <f t="shared" si="14"/>
        <v>2</v>
      </c>
      <c r="F100" s="9">
        <f t="shared" si="15"/>
        <v>3.773584905660377</v>
      </c>
      <c r="G100" s="10">
        <f t="shared" si="16"/>
        <v>0.47</v>
      </c>
      <c r="H100" s="6"/>
      <c r="I100" s="11">
        <v>8</v>
      </c>
      <c r="J100" s="10">
        <f t="shared" si="17"/>
        <v>0.75</v>
      </c>
      <c r="K100" s="12">
        <f t="shared" si="18"/>
        <v>1.1200000000000003</v>
      </c>
      <c r="L100" s="13" t="str">
        <f t="shared" si="19"/>
        <v/>
      </c>
      <c r="M100" s="5" t="str">
        <f t="shared" si="20"/>
        <v>🟢 SOBRE PISO</v>
      </c>
      <c r="N100" s="5">
        <v>4</v>
      </c>
    </row>
    <row r="101" spans="1:14" x14ac:dyDescent="0.2">
      <c r="A101" s="4" t="s">
        <v>45</v>
      </c>
      <c r="B101" s="5" t="s">
        <v>22</v>
      </c>
      <c r="C101" s="6">
        <v>1930</v>
      </c>
      <c r="D101" s="7">
        <v>1000</v>
      </c>
      <c r="E101" s="8">
        <f t="shared" si="14"/>
        <v>1.93</v>
      </c>
      <c r="F101" s="9">
        <f t="shared" si="15"/>
        <v>3.641509433962264</v>
      </c>
      <c r="G101" s="10">
        <f t="shared" si="16"/>
        <v>0.47</v>
      </c>
      <c r="H101" s="6"/>
      <c r="I101" s="11">
        <v>7</v>
      </c>
      <c r="J101" s="10">
        <f t="shared" si="17"/>
        <v>0.72428571428571431</v>
      </c>
      <c r="K101" s="12">
        <f t="shared" si="18"/>
        <v>0.92227979274611405</v>
      </c>
      <c r="L101" s="13" t="str">
        <f t="shared" si="19"/>
        <v/>
      </c>
      <c r="M101" s="5" t="str">
        <f t="shared" si="20"/>
        <v>🟢 SOBRE PISO</v>
      </c>
      <c r="N101" s="5">
        <v>7</v>
      </c>
    </row>
    <row r="102" spans="1:14" x14ac:dyDescent="0.2">
      <c r="A102" s="4" t="s">
        <v>46</v>
      </c>
      <c r="B102" s="5" t="s">
        <v>19</v>
      </c>
      <c r="C102" s="6"/>
      <c r="D102" s="7">
        <v>1</v>
      </c>
      <c r="E102" s="8" t="str">
        <f t="shared" ref="E102:E109" si="21">IF(C102="","",C102/D102)</f>
        <v/>
      </c>
      <c r="F102" s="9" t="str">
        <f t="shared" ref="F102:F109" si="22">IF(E102="","",E102/(1-$B$3))</f>
        <v/>
      </c>
      <c r="G102" s="10">
        <f t="shared" ref="G102:G109" si="23">$B$3</f>
        <v>0.47</v>
      </c>
      <c r="H102" s="6"/>
      <c r="I102" s="11">
        <v>20</v>
      </c>
      <c r="J102" s="10" t="str">
        <f t="shared" ref="J102:J109" si="24">IF(OR(I102="",E102=""),"",(I102-E102)/I102)</f>
        <v/>
      </c>
      <c r="K102" s="12" t="str">
        <f t="shared" ref="K102:K109" si="25">IF(OR(I102="",F102=""),"",(I102-F102)/F102)</f>
        <v/>
      </c>
      <c r="L102" s="13" t="str">
        <f t="shared" ref="L102:L109" si="26">IF(OR(I102="",H102=""),"",I102-H102)</f>
        <v/>
      </c>
      <c r="M102" s="5" t="str">
        <f t="shared" ref="M102:M109" si="27">IF(I102="","⚪ SIN PROPUESTA",IF(F102="","🟢 SOBRE PISO",IF(I102&lt;F102*0.95,"🔴 BAJO PISO",IF(I102&gt;F102*1.05,"🟢 SOBRE PISO","🟡 EN PISO"))))</f>
        <v>🟢 SOBRE PISO</v>
      </c>
      <c r="N102" s="5">
        <v>1</v>
      </c>
    </row>
    <row r="103" spans="1:14" x14ac:dyDescent="0.2">
      <c r="A103" s="4" t="s">
        <v>46</v>
      </c>
      <c r="B103" s="5" t="s">
        <v>20</v>
      </c>
      <c r="C103" s="6">
        <v>44</v>
      </c>
      <c r="D103" s="7">
        <v>20</v>
      </c>
      <c r="E103" s="8">
        <f t="shared" si="21"/>
        <v>2.2000000000000002</v>
      </c>
      <c r="F103" s="9">
        <f t="shared" si="22"/>
        <v>4.1509433962264151</v>
      </c>
      <c r="G103" s="10">
        <f t="shared" si="23"/>
        <v>0.47</v>
      </c>
      <c r="H103" s="6">
        <v>19</v>
      </c>
      <c r="I103" s="11">
        <v>19</v>
      </c>
      <c r="J103" s="10">
        <f t="shared" si="24"/>
        <v>0.88421052631578956</v>
      </c>
      <c r="K103" s="12">
        <f t="shared" si="25"/>
        <v>3.5772727272727272</v>
      </c>
      <c r="L103" s="13">
        <f t="shared" si="26"/>
        <v>0</v>
      </c>
      <c r="M103" s="5" t="str">
        <f t="shared" si="27"/>
        <v>🟢 SOBRE PISO</v>
      </c>
      <c r="N103" s="5">
        <v>3</v>
      </c>
    </row>
    <row r="104" spans="1:14" x14ac:dyDescent="0.2">
      <c r="A104" s="4" t="s">
        <v>46</v>
      </c>
      <c r="B104" s="5" t="s">
        <v>21</v>
      </c>
      <c r="C104" s="6">
        <v>480</v>
      </c>
      <c r="D104" s="7">
        <v>200</v>
      </c>
      <c r="E104" s="8">
        <f t="shared" si="21"/>
        <v>2.4</v>
      </c>
      <c r="F104" s="9">
        <f t="shared" si="22"/>
        <v>4.5283018867924527</v>
      </c>
      <c r="G104" s="10">
        <f t="shared" si="23"/>
        <v>0.47</v>
      </c>
      <c r="H104" s="6"/>
      <c r="I104" s="11">
        <v>17</v>
      </c>
      <c r="J104" s="10">
        <f t="shared" si="24"/>
        <v>0.85882352941176465</v>
      </c>
      <c r="K104" s="12">
        <f t="shared" si="25"/>
        <v>2.7541666666666669</v>
      </c>
      <c r="L104" s="13" t="str">
        <f t="shared" si="26"/>
        <v/>
      </c>
      <c r="M104" s="5" t="str">
        <f t="shared" si="27"/>
        <v>🟢 SOBRE PISO</v>
      </c>
      <c r="N104" s="5">
        <v>4</v>
      </c>
    </row>
    <row r="105" spans="1:14" x14ac:dyDescent="0.2">
      <c r="A105" s="4" t="s">
        <v>46</v>
      </c>
      <c r="B105" s="5" t="s">
        <v>22</v>
      </c>
      <c r="C105" s="6">
        <v>2400</v>
      </c>
      <c r="D105" s="7">
        <v>1000</v>
      </c>
      <c r="E105" s="8">
        <f t="shared" si="21"/>
        <v>2.4</v>
      </c>
      <c r="F105" s="9">
        <f t="shared" si="22"/>
        <v>4.5283018867924527</v>
      </c>
      <c r="G105" s="10">
        <f t="shared" si="23"/>
        <v>0.47</v>
      </c>
      <c r="H105" s="6"/>
      <c r="I105" s="11">
        <v>15</v>
      </c>
      <c r="J105" s="10">
        <f t="shared" si="24"/>
        <v>0.84</v>
      </c>
      <c r="K105" s="12">
        <f t="shared" si="25"/>
        <v>2.3125000000000004</v>
      </c>
      <c r="L105" s="13" t="str">
        <f t="shared" si="26"/>
        <v/>
      </c>
      <c r="M105" s="5" t="str">
        <f t="shared" si="27"/>
        <v>🟢 SOBRE PISO</v>
      </c>
      <c r="N105" s="5">
        <v>7</v>
      </c>
    </row>
    <row r="106" spans="1:14" x14ac:dyDescent="0.2">
      <c r="A106" s="4" t="s">
        <v>47</v>
      </c>
      <c r="B106" s="5" t="s">
        <v>19</v>
      </c>
      <c r="C106" s="6"/>
      <c r="D106" s="7">
        <v>1</v>
      </c>
      <c r="E106" s="8" t="str">
        <f t="shared" si="21"/>
        <v/>
      </c>
      <c r="F106" s="9" t="str">
        <f t="shared" si="22"/>
        <v/>
      </c>
      <c r="G106" s="10">
        <f t="shared" si="23"/>
        <v>0.47</v>
      </c>
      <c r="H106" s="6"/>
      <c r="I106" s="11">
        <v>20</v>
      </c>
      <c r="J106" s="10" t="str">
        <f t="shared" si="24"/>
        <v/>
      </c>
      <c r="K106" s="12" t="str">
        <f t="shared" si="25"/>
        <v/>
      </c>
      <c r="L106" s="13" t="str">
        <f t="shared" si="26"/>
        <v/>
      </c>
      <c r="M106" s="5" t="str">
        <f t="shared" si="27"/>
        <v>🟢 SOBRE PISO</v>
      </c>
      <c r="N106" s="5">
        <v>1</v>
      </c>
    </row>
    <row r="107" spans="1:14" x14ac:dyDescent="0.2">
      <c r="A107" s="4" t="s">
        <v>47</v>
      </c>
      <c r="B107" s="5" t="s">
        <v>20</v>
      </c>
      <c r="C107" s="6">
        <v>48</v>
      </c>
      <c r="D107" s="7">
        <v>20</v>
      </c>
      <c r="E107" s="8">
        <f t="shared" si="21"/>
        <v>2.4</v>
      </c>
      <c r="F107" s="9">
        <f t="shared" si="22"/>
        <v>4.5283018867924527</v>
      </c>
      <c r="G107" s="10">
        <f t="shared" si="23"/>
        <v>0.47</v>
      </c>
      <c r="H107" s="6"/>
      <c r="I107" s="11">
        <v>17</v>
      </c>
      <c r="J107" s="10">
        <f t="shared" si="24"/>
        <v>0.85882352941176465</v>
      </c>
      <c r="K107" s="12">
        <f t="shared" si="25"/>
        <v>2.7541666666666669</v>
      </c>
      <c r="L107" s="13" t="str">
        <f t="shared" si="26"/>
        <v/>
      </c>
      <c r="M107" s="5" t="str">
        <f t="shared" si="27"/>
        <v>🟢 SOBRE PISO</v>
      </c>
      <c r="N107" s="5">
        <v>3</v>
      </c>
    </row>
    <row r="108" spans="1:14" x14ac:dyDescent="0.2">
      <c r="A108" s="4" t="s">
        <v>47</v>
      </c>
      <c r="B108" s="5" t="s">
        <v>21</v>
      </c>
      <c r="C108" s="6">
        <v>410</v>
      </c>
      <c r="D108" s="7">
        <v>200</v>
      </c>
      <c r="E108" s="8">
        <f t="shared" si="21"/>
        <v>2.0499999999999998</v>
      </c>
      <c r="F108" s="9">
        <f t="shared" si="22"/>
        <v>3.8679245283018862</v>
      </c>
      <c r="G108" s="10">
        <f t="shared" si="23"/>
        <v>0.47</v>
      </c>
      <c r="H108" s="6"/>
      <c r="I108" s="11">
        <v>16</v>
      </c>
      <c r="J108" s="10">
        <f t="shared" si="24"/>
        <v>0.87187499999999996</v>
      </c>
      <c r="K108" s="12">
        <f t="shared" si="25"/>
        <v>3.1365853658536591</v>
      </c>
      <c r="L108" s="13" t="str">
        <f t="shared" si="26"/>
        <v/>
      </c>
      <c r="M108" s="5" t="str">
        <f t="shared" si="27"/>
        <v>🟢 SOBRE PISO</v>
      </c>
      <c r="N108" s="5">
        <v>4</v>
      </c>
    </row>
    <row r="109" spans="1:14" x14ac:dyDescent="0.2">
      <c r="A109" s="4" t="s">
        <v>47</v>
      </c>
      <c r="B109" s="5" t="s">
        <v>22</v>
      </c>
      <c r="C109" s="6">
        <v>1990</v>
      </c>
      <c r="D109" s="7">
        <v>1000</v>
      </c>
      <c r="E109" s="8">
        <f t="shared" si="21"/>
        <v>1.99</v>
      </c>
      <c r="F109" s="9">
        <f t="shared" si="22"/>
        <v>3.7547169811320753</v>
      </c>
      <c r="G109" s="10">
        <f t="shared" si="23"/>
        <v>0.47</v>
      </c>
      <c r="H109" s="6"/>
      <c r="I109" s="11">
        <v>14</v>
      </c>
      <c r="J109" s="10">
        <f t="shared" si="24"/>
        <v>0.85785714285714287</v>
      </c>
      <c r="K109" s="12">
        <f t="shared" si="25"/>
        <v>2.7286432160804024</v>
      </c>
      <c r="L109" s="13" t="str">
        <f t="shared" si="26"/>
        <v/>
      </c>
      <c r="M109" s="5" t="str">
        <f t="shared" si="27"/>
        <v>🟢 SOBRE PISO</v>
      </c>
      <c r="N109" s="5">
        <v>7</v>
      </c>
    </row>
  </sheetData>
  <autoFilter ref="A5:N109" xr:uid="{00000000-0009-0000-0000-000000000000}"/>
  <mergeCells count="3">
    <mergeCell ref="A1:N1"/>
    <mergeCell ref="A2:N2"/>
    <mergeCell ref="C3:F3"/>
  </mergeCells>
  <conditionalFormatting sqref="J6:J109">
    <cfRule type="cellIs" dxfId="5" priority="2" operator="lessThan">
      <formula>$B$3</formula>
    </cfRule>
    <cfRule type="cellIs" dxfId="4" priority="3" operator="greaterThanOrEqual">
      <formula>$B$3</formula>
    </cfRule>
  </conditionalFormatting>
  <conditionalFormatting sqref="L6:L109">
    <cfRule type="cellIs" dxfId="3" priority="6" operator="lessThan">
      <formula>0</formula>
    </cfRule>
    <cfRule type="cellIs" dxfId="2" priority="7" operator="greaterThan">
      <formula>0</formula>
    </cfRule>
  </conditionalFormatting>
  <conditionalFormatting sqref="M6:M109">
    <cfRule type="expression" dxfId="1" priority="4">
      <formula>SEARCH("BAJO",M6)&gt;0</formula>
    </cfRule>
    <cfRule type="expression" dxfId="0" priority="5">
      <formula>SEARCH("SOBRE",M6)&gt;0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AB648"/>
  </sheetPr>
  <dimension ref="B1:E108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8" sqref="G8"/>
    </sheetView>
  </sheetViews>
  <sheetFormatPr baseColWidth="10" defaultColWidth="8.6640625" defaultRowHeight="15" x14ac:dyDescent="0.2"/>
  <cols>
    <col min="2" max="2" width="30" customWidth="1"/>
    <col min="3" max="3" width="12" customWidth="1"/>
    <col min="4" max="4" width="18" customWidth="1"/>
    <col min="5" max="5" width="18.1640625" customWidth="1"/>
  </cols>
  <sheetData>
    <row r="1" spans="2:5" ht="37.5" customHeight="1" x14ac:dyDescent="0.2">
      <c r="B1" s="16" t="s">
        <v>48</v>
      </c>
      <c r="C1" s="16"/>
      <c r="D1" s="16"/>
    </row>
    <row r="2" spans="2:5" ht="22.25" customHeight="1" x14ac:dyDescent="0.2">
      <c r="B2" s="17" t="s">
        <v>49</v>
      </c>
      <c r="C2" s="17"/>
      <c r="D2" s="17"/>
    </row>
    <row r="3" spans="2:5" ht="23.75" customHeight="1" x14ac:dyDescent="0.2">
      <c r="B3" s="18" t="s">
        <v>50</v>
      </c>
      <c r="C3" s="18"/>
      <c r="D3" s="18"/>
    </row>
    <row r="4" spans="2:5" ht="42" x14ac:dyDescent="0.2">
      <c r="B4" s="3" t="s">
        <v>4</v>
      </c>
      <c r="C4" s="3" t="s">
        <v>5</v>
      </c>
      <c r="D4" s="3" t="s">
        <v>51</v>
      </c>
      <c r="E4" s="3" t="s">
        <v>51</v>
      </c>
    </row>
    <row r="5" spans="2:5" ht="16" x14ac:dyDescent="0.2">
      <c r="B5" s="4" t="str">
        <f>'Pricing Piso Peru'!A6</f>
        <v>AV HUMIC ROOT</v>
      </c>
      <c r="C5" s="5" t="str">
        <f>'Pricing Piso Peru'!B6</f>
        <v>1 L</v>
      </c>
      <c r="D5" s="14">
        <f>'Pricing Piso Peru'!I6</f>
        <v>4.2</v>
      </c>
      <c r="E5" s="21" t="str">
        <f>'Pricing Piso Peru'!M6</f>
        <v>🟢 SOBRE PISO</v>
      </c>
    </row>
    <row r="6" spans="2:5" ht="16" x14ac:dyDescent="0.2">
      <c r="B6" s="4" t="str">
        <f>'Pricing Piso Peru'!A7</f>
        <v>AV HUMIC ROOT</v>
      </c>
      <c r="C6" s="5" t="str">
        <f>'Pricing Piso Peru'!B7</f>
        <v>20 L</v>
      </c>
      <c r="D6" s="14">
        <f>'Pricing Piso Peru'!I7</f>
        <v>3.5</v>
      </c>
      <c r="E6" s="21" t="str">
        <f>'Pricing Piso Peru'!M7</f>
        <v>🟢 SOBRE PISO</v>
      </c>
    </row>
    <row r="7" spans="2:5" ht="16" x14ac:dyDescent="0.2">
      <c r="B7" s="4" t="str">
        <f>'Pricing Piso Peru'!A8</f>
        <v>AV HUMIC ROOT</v>
      </c>
      <c r="C7" s="5" t="str">
        <f>'Pricing Piso Peru'!B8</f>
        <v>200 L</v>
      </c>
      <c r="D7" s="14">
        <f>'Pricing Piso Peru'!I8</f>
        <v>3</v>
      </c>
      <c r="E7" s="21" t="str">
        <f>'Pricing Piso Peru'!M8</f>
        <v>🟢 SOBRE PISO</v>
      </c>
    </row>
    <row r="8" spans="2:5" ht="16" x14ac:dyDescent="0.2">
      <c r="B8" s="4" t="str">
        <f>'Pricing Piso Peru'!A9</f>
        <v>AV HUMIC ROOT</v>
      </c>
      <c r="C8" s="5" t="str">
        <f>'Pricing Piso Peru'!B9</f>
        <v>1000 L</v>
      </c>
      <c r="D8" s="14">
        <f>'Pricing Piso Peru'!I9</f>
        <v>2.5</v>
      </c>
      <c r="E8" s="21" t="str">
        <f>'Pricing Piso Peru'!M9</f>
        <v>🟢 SOBRE PISO</v>
      </c>
    </row>
    <row r="9" spans="2:5" ht="16" x14ac:dyDescent="0.2">
      <c r="B9" s="4" t="str">
        <f>'Pricing Piso Peru'!A10</f>
        <v>AV MAX FULVIC 45%</v>
      </c>
      <c r="C9" s="5" t="str">
        <f>'Pricing Piso Peru'!B10</f>
        <v>1 L</v>
      </c>
      <c r="D9" s="14">
        <f>'Pricing Piso Peru'!I10</f>
        <v>4.2</v>
      </c>
      <c r="E9" s="21" t="str">
        <f>'Pricing Piso Peru'!M10</f>
        <v>🟢 SOBRE PISO</v>
      </c>
    </row>
    <row r="10" spans="2:5" ht="16" x14ac:dyDescent="0.2">
      <c r="B10" s="4" t="str">
        <f>'Pricing Piso Peru'!A11</f>
        <v>AV MAX FULVIC 45%</v>
      </c>
      <c r="C10" s="5" t="str">
        <f>'Pricing Piso Peru'!B11</f>
        <v>20 L</v>
      </c>
      <c r="D10" s="14">
        <f>'Pricing Piso Peru'!I11</f>
        <v>3</v>
      </c>
      <c r="E10" s="21" t="str">
        <f>'Pricing Piso Peru'!M11</f>
        <v>🟡 EN PISO</v>
      </c>
    </row>
    <row r="11" spans="2:5" ht="16" x14ac:dyDescent="0.2">
      <c r="B11" s="4" t="str">
        <f>'Pricing Piso Peru'!A12</f>
        <v>AV MAX FULVIC 45%</v>
      </c>
      <c r="C11" s="5" t="str">
        <f>'Pricing Piso Peru'!B12</f>
        <v>200 L</v>
      </c>
      <c r="D11" s="14">
        <f>'Pricing Piso Peru'!I12</f>
        <v>2.5</v>
      </c>
      <c r="E11" s="21" t="str">
        <f>'Pricing Piso Peru'!M12</f>
        <v>🟢 SOBRE PISO</v>
      </c>
    </row>
    <row r="12" spans="2:5" ht="16" x14ac:dyDescent="0.2">
      <c r="B12" s="4" t="str">
        <f>'Pricing Piso Peru'!A13</f>
        <v>AV MAX FULVIC 45%</v>
      </c>
      <c r="C12" s="5" t="str">
        <f>'Pricing Piso Peru'!B13</f>
        <v>1000 L</v>
      </c>
      <c r="D12" s="14">
        <f>'Pricing Piso Peru'!I13</f>
        <v>2.2000000000000002</v>
      </c>
      <c r="E12" s="21" t="str">
        <f>'Pricing Piso Peru'!M13</f>
        <v>🟡 EN PISO</v>
      </c>
    </row>
    <row r="13" spans="2:5" ht="16" x14ac:dyDescent="0.2">
      <c r="B13" s="4" t="str">
        <f>'Pricing Piso Peru'!A14</f>
        <v>AV AMIN</v>
      </c>
      <c r="C13" s="5" t="str">
        <f>'Pricing Piso Peru'!B14</f>
        <v>1 L</v>
      </c>
      <c r="D13" s="14">
        <f>'Pricing Piso Peru'!I14</f>
        <v>5</v>
      </c>
      <c r="E13" s="21" t="str">
        <f>'Pricing Piso Peru'!M14</f>
        <v>🟢 SOBRE PISO</v>
      </c>
    </row>
    <row r="14" spans="2:5" ht="16" x14ac:dyDescent="0.2">
      <c r="B14" s="4" t="str">
        <f>'Pricing Piso Peru'!A15</f>
        <v>AV AMIN</v>
      </c>
      <c r="C14" s="5" t="str">
        <f>'Pricing Piso Peru'!B15</f>
        <v>20 L</v>
      </c>
      <c r="D14" s="14">
        <f>'Pricing Piso Peru'!I15</f>
        <v>4.2</v>
      </c>
      <c r="E14" s="21" t="str">
        <f>'Pricing Piso Peru'!M15</f>
        <v>🟢 SOBRE PISO</v>
      </c>
    </row>
    <row r="15" spans="2:5" ht="16" x14ac:dyDescent="0.2">
      <c r="B15" s="4" t="str">
        <f>'Pricing Piso Peru'!A16</f>
        <v>AV AMIN</v>
      </c>
      <c r="C15" s="5" t="str">
        <f>'Pricing Piso Peru'!B16</f>
        <v>200 L</v>
      </c>
      <c r="D15" s="14">
        <f>'Pricing Piso Peru'!I16</f>
        <v>3.5</v>
      </c>
      <c r="E15" s="21" t="str">
        <f>'Pricing Piso Peru'!M16</f>
        <v>🟢 SOBRE PISO</v>
      </c>
    </row>
    <row r="16" spans="2:5" ht="16" x14ac:dyDescent="0.2">
      <c r="B16" s="4" t="str">
        <f>'Pricing Piso Peru'!A17</f>
        <v>AV AMIN</v>
      </c>
      <c r="C16" s="5" t="str">
        <f>'Pricing Piso Peru'!B17</f>
        <v>1000 L</v>
      </c>
      <c r="D16" s="14">
        <f>'Pricing Piso Peru'!I17</f>
        <v>3</v>
      </c>
      <c r="E16" s="21" t="str">
        <f>'Pricing Piso Peru'!M17</f>
        <v>🟢 SOBRE PISO</v>
      </c>
    </row>
    <row r="17" spans="2:5" ht="16" x14ac:dyDescent="0.2">
      <c r="B17" s="4" t="str">
        <f>'Pricing Piso Peru'!A18</f>
        <v>AV AMIN SUGAR</v>
      </c>
      <c r="C17" s="5" t="str">
        <f>'Pricing Piso Peru'!B18</f>
        <v>1 L</v>
      </c>
      <c r="D17" s="14">
        <f>'Pricing Piso Peru'!I18</f>
        <v>8</v>
      </c>
      <c r="E17" s="21" t="str">
        <f>'Pricing Piso Peru'!M18</f>
        <v>🟢 SOBRE PISO</v>
      </c>
    </row>
    <row r="18" spans="2:5" ht="16" x14ac:dyDescent="0.2">
      <c r="B18" s="4" t="str">
        <f>'Pricing Piso Peru'!A19</f>
        <v>AV AMIN SUGAR</v>
      </c>
      <c r="C18" s="5" t="str">
        <f>'Pricing Piso Peru'!B19</f>
        <v>20 L</v>
      </c>
      <c r="D18" s="14">
        <f>'Pricing Piso Peru'!I19</f>
        <v>7.5</v>
      </c>
      <c r="E18" s="21" t="str">
        <f>'Pricing Piso Peru'!M19</f>
        <v>🟢 SOBRE PISO</v>
      </c>
    </row>
    <row r="19" spans="2:5" ht="16" x14ac:dyDescent="0.2">
      <c r="B19" s="4" t="str">
        <f>'Pricing Piso Peru'!A20</f>
        <v>AV AMIN SUGAR</v>
      </c>
      <c r="C19" s="5" t="str">
        <f>'Pricing Piso Peru'!B20</f>
        <v>200 L</v>
      </c>
      <c r="D19" s="14">
        <f>'Pricing Piso Peru'!I20</f>
        <v>6</v>
      </c>
      <c r="E19" s="21" t="str">
        <f>'Pricing Piso Peru'!M20</f>
        <v>🟢 SOBRE PISO</v>
      </c>
    </row>
    <row r="20" spans="2:5" ht="16" x14ac:dyDescent="0.2">
      <c r="B20" s="4" t="str">
        <f>'Pricing Piso Peru'!A21</f>
        <v>AV AMIN SUGAR</v>
      </c>
      <c r="C20" s="5" t="str">
        <f>'Pricing Piso Peru'!B21</f>
        <v>1000 L</v>
      </c>
      <c r="D20" s="14">
        <f>'Pricing Piso Peru'!I21</f>
        <v>5</v>
      </c>
      <c r="E20" s="21" t="str">
        <f>'Pricing Piso Peru'!M21</f>
        <v>🟢 SOBRE PISO</v>
      </c>
    </row>
    <row r="21" spans="2:5" ht="16" x14ac:dyDescent="0.2">
      <c r="B21" s="4" t="str">
        <f>'Pricing Piso Peru'!A22</f>
        <v>AV ROOT MAX</v>
      </c>
      <c r="C21" s="5" t="str">
        <f>'Pricing Piso Peru'!B22</f>
        <v>1 L</v>
      </c>
      <c r="D21" s="14">
        <f>'Pricing Piso Peru'!I22</f>
        <v>15</v>
      </c>
      <c r="E21" s="21" t="str">
        <f>'Pricing Piso Peru'!M22</f>
        <v>🟢 SOBRE PISO</v>
      </c>
    </row>
    <row r="22" spans="2:5" ht="16" x14ac:dyDescent="0.2">
      <c r="B22" s="4" t="str">
        <f>'Pricing Piso Peru'!A23</f>
        <v>AV ROOT MAX</v>
      </c>
      <c r="C22" s="5" t="str">
        <f>'Pricing Piso Peru'!B23</f>
        <v>20 L</v>
      </c>
      <c r="D22" s="14">
        <f>'Pricing Piso Peru'!I23</f>
        <v>13.8</v>
      </c>
      <c r="E22" s="21" t="str">
        <f>'Pricing Piso Peru'!M23</f>
        <v>🟢 SOBRE PISO</v>
      </c>
    </row>
    <row r="23" spans="2:5" ht="16" x14ac:dyDescent="0.2">
      <c r="B23" s="4" t="str">
        <f>'Pricing Piso Peru'!A24</f>
        <v>AV ROOT MAX</v>
      </c>
      <c r="C23" s="5" t="str">
        <f>'Pricing Piso Peru'!B24</f>
        <v>200 L</v>
      </c>
      <c r="D23" s="14">
        <f>'Pricing Piso Peru'!I24</f>
        <v>12</v>
      </c>
      <c r="E23" s="21" t="str">
        <f>'Pricing Piso Peru'!M24</f>
        <v>🟢 SOBRE PISO</v>
      </c>
    </row>
    <row r="24" spans="2:5" ht="16" x14ac:dyDescent="0.2">
      <c r="B24" s="4" t="str">
        <f>'Pricing Piso Peru'!A25</f>
        <v>AV ROOT MAX</v>
      </c>
      <c r="C24" s="5" t="str">
        <f>'Pricing Piso Peru'!B25</f>
        <v>1000 L</v>
      </c>
      <c r="D24" s="14">
        <f>'Pricing Piso Peru'!I25</f>
        <v>11</v>
      </c>
      <c r="E24" s="21" t="str">
        <f>'Pricing Piso Peru'!M25</f>
        <v>🟢 SOBRE PISO</v>
      </c>
    </row>
    <row r="25" spans="2:5" ht="16" x14ac:dyDescent="0.2">
      <c r="B25" s="4" t="str">
        <f>'Pricing Piso Peru'!A26</f>
        <v>AV ALGAP 30</v>
      </c>
      <c r="C25" s="5" t="str">
        <f>'Pricing Piso Peru'!B26</f>
        <v>1 L</v>
      </c>
      <c r="D25" s="14">
        <f>'Pricing Piso Peru'!I26</f>
        <v>11</v>
      </c>
      <c r="E25" s="21" t="str">
        <f>'Pricing Piso Peru'!M26</f>
        <v>🟢 SOBRE PISO</v>
      </c>
    </row>
    <row r="26" spans="2:5" ht="16" x14ac:dyDescent="0.2">
      <c r="B26" s="4" t="str">
        <f>'Pricing Piso Peru'!A27</f>
        <v>AV ALGAP 30</v>
      </c>
      <c r="C26" s="5" t="str">
        <f>'Pricing Piso Peru'!B27</f>
        <v>20 L</v>
      </c>
      <c r="D26" s="14">
        <f>'Pricing Piso Peru'!I27</f>
        <v>10</v>
      </c>
      <c r="E26" s="21" t="str">
        <f>'Pricing Piso Peru'!M27</f>
        <v>🟢 SOBRE PISO</v>
      </c>
    </row>
    <row r="27" spans="2:5" ht="16" x14ac:dyDescent="0.2">
      <c r="B27" s="4" t="str">
        <f>'Pricing Piso Peru'!A28</f>
        <v>AV ALGAP 30</v>
      </c>
      <c r="C27" s="5" t="str">
        <f>'Pricing Piso Peru'!B28</f>
        <v>200 L</v>
      </c>
      <c r="D27" s="14">
        <f>'Pricing Piso Peru'!I28</f>
        <v>8</v>
      </c>
      <c r="E27" s="21" t="str">
        <f>'Pricing Piso Peru'!M28</f>
        <v>🟢 SOBRE PISO</v>
      </c>
    </row>
    <row r="28" spans="2:5" ht="16" x14ac:dyDescent="0.2">
      <c r="B28" s="4" t="str">
        <f>'Pricing Piso Peru'!A29</f>
        <v>AV ALGAP 30</v>
      </c>
      <c r="C28" s="5" t="str">
        <f>'Pricing Piso Peru'!B29</f>
        <v>1000 L</v>
      </c>
      <c r="D28" s="14">
        <f>'Pricing Piso Peru'!I29</f>
        <v>5.8</v>
      </c>
      <c r="E28" s="21" t="str">
        <f>'Pricing Piso Peru'!M29</f>
        <v>🟢 SOBRE PISO</v>
      </c>
    </row>
    <row r="29" spans="2:5" ht="16" x14ac:dyDescent="0.2">
      <c r="B29" s="4" t="str">
        <f>'Pricing Piso Peru'!A30</f>
        <v>AV SILFORTE</v>
      </c>
      <c r="C29" s="5" t="str">
        <f>'Pricing Piso Peru'!B30</f>
        <v>1 L</v>
      </c>
      <c r="D29" s="14">
        <f>'Pricing Piso Peru'!I30</f>
        <v>14</v>
      </c>
      <c r="E29" s="21" t="str">
        <f>'Pricing Piso Peru'!M30</f>
        <v>🟢 SOBRE PISO</v>
      </c>
    </row>
    <row r="30" spans="2:5" ht="16" x14ac:dyDescent="0.2">
      <c r="B30" s="4" t="str">
        <f>'Pricing Piso Peru'!A31</f>
        <v>AV SILFORTE</v>
      </c>
      <c r="C30" s="5" t="str">
        <f>'Pricing Piso Peru'!B31</f>
        <v>20 L</v>
      </c>
      <c r="D30" s="14">
        <f>'Pricing Piso Peru'!I31</f>
        <v>13</v>
      </c>
      <c r="E30" s="21" t="str">
        <f>'Pricing Piso Peru'!M31</f>
        <v>🟢 SOBRE PISO</v>
      </c>
    </row>
    <row r="31" spans="2:5" ht="16" x14ac:dyDescent="0.2">
      <c r="B31" s="4" t="str">
        <f>'Pricing Piso Peru'!A32</f>
        <v>AV SILFORTE</v>
      </c>
      <c r="C31" s="5" t="str">
        <f>'Pricing Piso Peru'!B32</f>
        <v>200 L</v>
      </c>
      <c r="D31" s="14">
        <f>'Pricing Piso Peru'!I32</f>
        <v>12</v>
      </c>
      <c r="E31" s="21" t="str">
        <f>'Pricing Piso Peru'!M32</f>
        <v>🟢 SOBRE PISO</v>
      </c>
    </row>
    <row r="32" spans="2:5" ht="16" x14ac:dyDescent="0.2">
      <c r="B32" s="4" t="str">
        <f>'Pricing Piso Peru'!A33</f>
        <v>AV SILFORTE</v>
      </c>
      <c r="C32" s="5" t="str">
        <f>'Pricing Piso Peru'!B33</f>
        <v>1000 L</v>
      </c>
      <c r="D32" s="14">
        <f>'Pricing Piso Peru'!I33</f>
        <v>10</v>
      </c>
      <c r="E32" s="21" t="str">
        <f>'Pricing Piso Peru'!M33</f>
        <v>🟢 SOBRE PISO</v>
      </c>
    </row>
    <row r="33" spans="2:5" ht="16" x14ac:dyDescent="0.2">
      <c r="B33" s="4" t="str">
        <f>'Pricing Piso Peru'!A34</f>
        <v>GREEN GUARDIAN MAX</v>
      </c>
      <c r="C33" s="5" t="str">
        <f>'Pricing Piso Peru'!B34</f>
        <v>1 L</v>
      </c>
      <c r="D33" s="14">
        <f>'Pricing Piso Peru'!I34</f>
        <v>5</v>
      </c>
      <c r="E33" s="21" t="str">
        <f>'Pricing Piso Peru'!M34</f>
        <v>🟢 SOBRE PISO</v>
      </c>
    </row>
    <row r="34" spans="2:5" ht="16" x14ac:dyDescent="0.2">
      <c r="B34" s="4" t="str">
        <f>'Pricing Piso Peru'!A35</f>
        <v>GREEN GUARDIAN MAX</v>
      </c>
      <c r="C34" s="5" t="str">
        <f>'Pricing Piso Peru'!B35</f>
        <v>20 L</v>
      </c>
      <c r="D34" s="14">
        <f>'Pricing Piso Peru'!I35</f>
        <v>4.5</v>
      </c>
      <c r="E34" s="21" t="str">
        <f>'Pricing Piso Peru'!M35</f>
        <v>🟢 SOBRE PISO</v>
      </c>
    </row>
    <row r="35" spans="2:5" ht="16" x14ac:dyDescent="0.2">
      <c r="B35" s="4" t="str">
        <f>'Pricing Piso Peru'!A36</f>
        <v>GREEN GUARDIAN MAX</v>
      </c>
      <c r="C35" s="5" t="str">
        <f>'Pricing Piso Peru'!B36</f>
        <v>200 L</v>
      </c>
      <c r="D35" s="14">
        <f>'Pricing Piso Peru'!I36</f>
        <v>4</v>
      </c>
      <c r="E35" s="21" t="str">
        <f>'Pricing Piso Peru'!M36</f>
        <v>🟢 SOBRE PISO</v>
      </c>
    </row>
    <row r="36" spans="2:5" ht="16" x14ac:dyDescent="0.2">
      <c r="B36" s="4" t="str">
        <f>'Pricing Piso Peru'!A37</f>
        <v>GREEN GUARDIAN MAX</v>
      </c>
      <c r="C36" s="5" t="str">
        <f>'Pricing Piso Peru'!B37</f>
        <v>1000 L</v>
      </c>
      <c r="D36" s="14">
        <f>'Pricing Piso Peru'!I37</f>
        <v>3.5</v>
      </c>
      <c r="E36" s="21" t="str">
        <f>'Pricing Piso Peru'!M37</f>
        <v>🟡 EN PISO</v>
      </c>
    </row>
    <row r="37" spans="2:5" ht="16" x14ac:dyDescent="0.2">
      <c r="B37" s="4" t="str">
        <f>'Pricing Piso Peru'!A38</f>
        <v>AV15 40-20</v>
      </c>
      <c r="C37" s="5" t="str">
        <f>'Pricing Piso Peru'!B38</f>
        <v>1 L</v>
      </c>
      <c r="D37" s="14">
        <f>'Pricing Piso Peru'!I38</f>
        <v>5</v>
      </c>
      <c r="E37" s="21" t="str">
        <f>'Pricing Piso Peru'!M38</f>
        <v>🟢 SOBRE PISO</v>
      </c>
    </row>
    <row r="38" spans="2:5" ht="16" x14ac:dyDescent="0.2">
      <c r="B38" s="4" t="str">
        <f>'Pricing Piso Peru'!A39</f>
        <v>AV15 40-20</v>
      </c>
      <c r="C38" s="5" t="str">
        <f>'Pricing Piso Peru'!B39</f>
        <v>20 L</v>
      </c>
      <c r="D38" s="14">
        <f>'Pricing Piso Peru'!I39</f>
        <v>4</v>
      </c>
      <c r="E38" s="21" t="str">
        <f>'Pricing Piso Peru'!M39</f>
        <v>🟢 SOBRE PISO</v>
      </c>
    </row>
    <row r="39" spans="2:5" ht="16" x14ac:dyDescent="0.2">
      <c r="B39" s="4" t="str">
        <f>'Pricing Piso Peru'!A40</f>
        <v>AV15 40-20</v>
      </c>
      <c r="C39" s="5" t="str">
        <f>'Pricing Piso Peru'!B40</f>
        <v>200 L</v>
      </c>
      <c r="D39" s="14">
        <f>'Pricing Piso Peru'!I40</f>
        <v>3</v>
      </c>
      <c r="E39" s="21" t="str">
        <f>'Pricing Piso Peru'!M40</f>
        <v>🟡 EN PISO</v>
      </c>
    </row>
    <row r="40" spans="2:5" ht="16" x14ac:dyDescent="0.2">
      <c r="B40" s="4" t="str">
        <f>'Pricing Piso Peru'!A41</f>
        <v>AV15 40-20</v>
      </c>
      <c r="C40" s="5" t="str">
        <f>'Pricing Piso Peru'!B41</f>
        <v>1000 L</v>
      </c>
      <c r="D40" s="14">
        <f>'Pricing Piso Peru'!I41</f>
        <v>2.8</v>
      </c>
      <c r="E40" s="21" t="str">
        <f>'Pricing Piso Peru'!M41</f>
        <v>🟡 EN PISO</v>
      </c>
    </row>
    <row r="41" spans="2:5" ht="16" x14ac:dyDescent="0.2">
      <c r="B41" s="4" t="str">
        <f>'Pricing Piso Peru'!A42</f>
        <v>AV PLUS POTASIO</v>
      </c>
      <c r="C41" s="5" t="str">
        <f>'Pricing Piso Peru'!B42</f>
        <v>1 L</v>
      </c>
      <c r="D41" s="14">
        <f>'Pricing Piso Peru'!I42</f>
        <v>5.5</v>
      </c>
      <c r="E41" s="21" t="str">
        <f>'Pricing Piso Peru'!M42</f>
        <v>🟢 SOBRE PISO</v>
      </c>
    </row>
    <row r="42" spans="2:5" ht="16" x14ac:dyDescent="0.2">
      <c r="B42" s="4" t="str">
        <f>'Pricing Piso Peru'!A43</f>
        <v>AV PLUS POTASIO</v>
      </c>
      <c r="C42" s="5" t="str">
        <f>'Pricing Piso Peru'!B43</f>
        <v>20 L</v>
      </c>
      <c r="D42" s="14">
        <f>'Pricing Piso Peru'!I43</f>
        <v>4</v>
      </c>
      <c r="E42" s="21" t="str">
        <f>'Pricing Piso Peru'!M43</f>
        <v>🟢 SOBRE PISO</v>
      </c>
    </row>
    <row r="43" spans="2:5" ht="16" x14ac:dyDescent="0.2">
      <c r="B43" s="4" t="str">
        <f>'Pricing Piso Peru'!A44</f>
        <v>AV PLUS POTASIO</v>
      </c>
      <c r="C43" s="5" t="str">
        <f>'Pricing Piso Peru'!B44</f>
        <v>200 L</v>
      </c>
      <c r="D43" s="14">
        <f>'Pricing Piso Peru'!I44</f>
        <v>3.5</v>
      </c>
      <c r="E43" s="21" t="str">
        <f>'Pricing Piso Peru'!M44</f>
        <v>🟢 SOBRE PISO</v>
      </c>
    </row>
    <row r="44" spans="2:5" ht="16" x14ac:dyDescent="0.2">
      <c r="B44" s="4" t="str">
        <f>'Pricing Piso Peru'!A45</f>
        <v>AV PLUS POTASIO</v>
      </c>
      <c r="C44" s="5" t="str">
        <f>'Pricing Piso Peru'!B45</f>
        <v>1000 L</v>
      </c>
      <c r="D44" s="14">
        <f>'Pricing Piso Peru'!I45</f>
        <v>2.8</v>
      </c>
      <c r="E44" s="21" t="str">
        <f>'Pricing Piso Peru'!M45</f>
        <v>🟡 EN PISO</v>
      </c>
    </row>
    <row r="45" spans="2:5" ht="16" x14ac:dyDescent="0.2">
      <c r="B45" s="4" t="str">
        <f>'Pricing Piso Peru'!A46</f>
        <v>AV PLUS MAGNESIO</v>
      </c>
      <c r="C45" s="5" t="str">
        <f>'Pricing Piso Peru'!B46</f>
        <v>1 L</v>
      </c>
      <c r="D45" s="14">
        <f>'Pricing Piso Peru'!I46</f>
        <v>7</v>
      </c>
      <c r="E45" s="21" t="str">
        <f>'Pricing Piso Peru'!M46</f>
        <v>🟢 SOBRE PISO</v>
      </c>
    </row>
    <row r="46" spans="2:5" ht="16" x14ac:dyDescent="0.2">
      <c r="B46" s="4" t="str">
        <f>'Pricing Piso Peru'!A47</f>
        <v>AV PLUS MAGNESIO</v>
      </c>
      <c r="C46" s="5" t="str">
        <f>'Pricing Piso Peru'!B47</f>
        <v>20 L</v>
      </c>
      <c r="D46" s="14">
        <f>'Pricing Piso Peru'!I47</f>
        <v>5.5</v>
      </c>
      <c r="E46" s="21" t="str">
        <f>'Pricing Piso Peru'!M47</f>
        <v>🟢 SOBRE PISO</v>
      </c>
    </row>
    <row r="47" spans="2:5" ht="16" x14ac:dyDescent="0.2">
      <c r="B47" s="4" t="str">
        <f>'Pricing Piso Peru'!A48</f>
        <v>AV PLUS MAGNESIO</v>
      </c>
      <c r="C47" s="5" t="str">
        <f>'Pricing Piso Peru'!B48</f>
        <v>200 L</v>
      </c>
      <c r="D47" s="14">
        <f>'Pricing Piso Peru'!I48</f>
        <v>5</v>
      </c>
      <c r="E47" s="21" t="str">
        <f>'Pricing Piso Peru'!M48</f>
        <v>🟢 SOBRE PISO</v>
      </c>
    </row>
    <row r="48" spans="2:5" ht="16" x14ac:dyDescent="0.2">
      <c r="B48" s="4" t="str">
        <f>'Pricing Piso Peru'!A49</f>
        <v>AV PLUS MAGNESIO</v>
      </c>
      <c r="C48" s="5" t="str">
        <f>'Pricing Piso Peru'!B49</f>
        <v>1000 L</v>
      </c>
      <c r="D48" s="14">
        <f>'Pricing Piso Peru'!I49</f>
        <v>4</v>
      </c>
      <c r="E48" s="21" t="str">
        <f>'Pricing Piso Peru'!M49</f>
        <v>🟢 SOBRE PISO</v>
      </c>
    </row>
    <row r="49" spans="2:5" ht="16" x14ac:dyDescent="0.2">
      <c r="B49" s="4" t="str">
        <f>'Pricing Piso Peru'!A50</f>
        <v>AV PLUS CALCIO</v>
      </c>
      <c r="C49" s="5" t="str">
        <f>'Pricing Piso Peru'!B50</f>
        <v>1 L</v>
      </c>
      <c r="D49" s="14">
        <f>'Pricing Piso Peru'!I50</f>
        <v>5.5</v>
      </c>
      <c r="E49" s="21" t="str">
        <f>'Pricing Piso Peru'!M50</f>
        <v>🟢 SOBRE PISO</v>
      </c>
    </row>
    <row r="50" spans="2:5" ht="16" x14ac:dyDescent="0.2">
      <c r="B50" s="4" t="str">
        <f>'Pricing Piso Peru'!A51</f>
        <v>AV PLUS CALCIO</v>
      </c>
      <c r="C50" s="5" t="str">
        <f>'Pricing Piso Peru'!B51</f>
        <v>20 L</v>
      </c>
      <c r="D50" s="14">
        <f>'Pricing Piso Peru'!I51</f>
        <v>4.5</v>
      </c>
      <c r="E50" s="21" t="str">
        <f>'Pricing Piso Peru'!M51</f>
        <v>🟢 SOBRE PISO</v>
      </c>
    </row>
    <row r="51" spans="2:5" ht="16" x14ac:dyDescent="0.2">
      <c r="B51" s="4" t="str">
        <f>'Pricing Piso Peru'!A52</f>
        <v>AV PLUS CALCIO</v>
      </c>
      <c r="C51" s="5" t="str">
        <f>'Pricing Piso Peru'!B52</f>
        <v>200 L</v>
      </c>
      <c r="D51" s="14">
        <f>'Pricing Piso Peru'!I52</f>
        <v>3.8</v>
      </c>
      <c r="E51" s="21" t="str">
        <f>'Pricing Piso Peru'!M52</f>
        <v>🟢 SOBRE PISO</v>
      </c>
    </row>
    <row r="52" spans="2:5" ht="16" x14ac:dyDescent="0.2">
      <c r="B52" s="4" t="str">
        <f>'Pricing Piso Peru'!A53</f>
        <v>AV PLUS CALCIO</v>
      </c>
      <c r="C52" s="5" t="str">
        <f>'Pricing Piso Peru'!B53</f>
        <v>1000 L</v>
      </c>
      <c r="D52" s="14">
        <f>'Pricing Piso Peru'!I53</f>
        <v>3</v>
      </c>
      <c r="E52" s="21" t="str">
        <f>'Pricing Piso Peru'!M53</f>
        <v>🟢 SOBRE PISO</v>
      </c>
    </row>
    <row r="53" spans="2:5" ht="16" x14ac:dyDescent="0.2">
      <c r="B53" s="4" t="str">
        <f>'Pricing Piso Peru'!A54</f>
        <v>AV PLUS CALCIO BORO</v>
      </c>
      <c r="C53" s="5" t="str">
        <f>'Pricing Piso Peru'!B54</f>
        <v>1 L</v>
      </c>
      <c r="D53" s="14">
        <f>'Pricing Piso Peru'!I54</f>
        <v>7</v>
      </c>
      <c r="E53" s="21" t="str">
        <f>'Pricing Piso Peru'!M54</f>
        <v>🟢 SOBRE PISO</v>
      </c>
    </row>
    <row r="54" spans="2:5" ht="16" x14ac:dyDescent="0.2">
      <c r="B54" s="4" t="str">
        <f>'Pricing Piso Peru'!A55</f>
        <v>AV PLUS CALCIO BORO</v>
      </c>
      <c r="C54" s="5" t="str">
        <f>'Pricing Piso Peru'!B55</f>
        <v>20 L</v>
      </c>
      <c r="D54" s="14">
        <f>'Pricing Piso Peru'!I55</f>
        <v>5</v>
      </c>
      <c r="E54" s="21" t="str">
        <f>'Pricing Piso Peru'!M55</f>
        <v>🟢 SOBRE PISO</v>
      </c>
    </row>
    <row r="55" spans="2:5" ht="16" x14ac:dyDescent="0.2">
      <c r="B55" s="4" t="str">
        <f>'Pricing Piso Peru'!A56</f>
        <v>AV PLUS CALCIO BORO</v>
      </c>
      <c r="C55" s="5" t="str">
        <f>'Pricing Piso Peru'!B56</f>
        <v>200 L</v>
      </c>
      <c r="D55" s="14">
        <f>'Pricing Piso Peru'!I56</f>
        <v>4</v>
      </c>
      <c r="E55" s="21" t="str">
        <f>'Pricing Piso Peru'!M56</f>
        <v>🟢 SOBRE PISO</v>
      </c>
    </row>
    <row r="56" spans="2:5" ht="16" x14ac:dyDescent="0.2">
      <c r="B56" s="4" t="str">
        <f>'Pricing Piso Peru'!A57</f>
        <v>AV PLUS CALCIO BORO</v>
      </c>
      <c r="C56" s="5" t="str">
        <f>'Pricing Piso Peru'!B57</f>
        <v>1000 L</v>
      </c>
      <c r="D56" s="14">
        <f>'Pricing Piso Peru'!I57</f>
        <v>3</v>
      </c>
      <c r="E56" s="21" t="str">
        <f>'Pricing Piso Peru'!M57</f>
        <v>🟢 SOBRE PISO</v>
      </c>
    </row>
    <row r="57" spans="2:5" ht="16" x14ac:dyDescent="0.2">
      <c r="B57" s="4" t="str">
        <f>'Pricing Piso Peru'!A58</f>
        <v>AV PLUS ZINC</v>
      </c>
      <c r="C57" s="5" t="str">
        <f>'Pricing Piso Peru'!B58</f>
        <v>1 L</v>
      </c>
      <c r="D57" s="14">
        <f>'Pricing Piso Peru'!I58</f>
        <v>9</v>
      </c>
      <c r="E57" s="21" t="str">
        <f>'Pricing Piso Peru'!M58</f>
        <v>🟢 SOBRE PISO</v>
      </c>
    </row>
    <row r="58" spans="2:5" ht="16" x14ac:dyDescent="0.2">
      <c r="B58" s="4" t="str">
        <f>'Pricing Piso Peru'!A59</f>
        <v>AV PLUS ZINC</v>
      </c>
      <c r="C58" s="5" t="str">
        <f>'Pricing Piso Peru'!B59</f>
        <v>20 L</v>
      </c>
      <c r="D58" s="14">
        <f>'Pricing Piso Peru'!I59</f>
        <v>7.5</v>
      </c>
      <c r="E58" s="21" t="str">
        <f>'Pricing Piso Peru'!M59</f>
        <v>🟢 SOBRE PISO</v>
      </c>
    </row>
    <row r="59" spans="2:5" ht="16" x14ac:dyDescent="0.2">
      <c r="B59" s="4" t="str">
        <f>'Pricing Piso Peru'!A60</f>
        <v>AV PLUS ZINC</v>
      </c>
      <c r="C59" s="5" t="str">
        <f>'Pricing Piso Peru'!B60</f>
        <v>200 L</v>
      </c>
      <c r="D59" s="14">
        <f>'Pricing Piso Peru'!I60</f>
        <v>6.8</v>
      </c>
      <c r="E59" s="21" t="str">
        <f>'Pricing Piso Peru'!M60</f>
        <v>🟢 SOBRE PISO</v>
      </c>
    </row>
    <row r="60" spans="2:5" ht="16" x14ac:dyDescent="0.2">
      <c r="B60" s="4" t="str">
        <f>'Pricing Piso Peru'!A61</f>
        <v>AV PLUS ZINC</v>
      </c>
      <c r="C60" s="5" t="str">
        <f>'Pricing Piso Peru'!B61</f>
        <v>1000 L</v>
      </c>
      <c r="D60" s="14">
        <f>'Pricing Piso Peru'!I61</f>
        <v>5</v>
      </c>
      <c r="E60" s="21" t="str">
        <f>'Pricing Piso Peru'!M61</f>
        <v>🟢 SOBRE PISO</v>
      </c>
    </row>
    <row r="61" spans="2:5" ht="16" x14ac:dyDescent="0.2">
      <c r="B61" s="4" t="str">
        <f>'Pricing Piso Peru'!A62</f>
        <v>AV PLUS ZINC MANGANESO</v>
      </c>
      <c r="C61" s="5" t="str">
        <f>'Pricing Piso Peru'!B62</f>
        <v>1 L</v>
      </c>
      <c r="D61" s="14">
        <f>'Pricing Piso Peru'!I62</f>
        <v>8</v>
      </c>
      <c r="E61" s="21" t="str">
        <f>'Pricing Piso Peru'!M62</f>
        <v>🟢 SOBRE PISO</v>
      </c>
    </row>
    <row r="62" spans="2:5" ht="16" x14ac:dyDescent="0.2">
      <c r="B62" s="4" t="str">
        <f>'Pricing Piso Peru'!A63</f>
        <v>AV PLUS ZINC MANGANESO</v>
      </c>
      <c r="C62" s="5" t="str">
        <f>'Pricing Piso Peru'!B63</f>
        <v>20 L</v>
      </c>
      <c r="D62" s="14">
        <f>'Pricing Piso Peru'!I63</f>
        <v>5.8</v>
      </c>
      <c r="E62" s="21" t="str">
        <f>'Pricing Piso Peru'!M63</f>
        <v>🟢 SOBRE PISO</v>
      </c>
    </row>
    <row r="63" spans="2:5" ht="16" x14ac:dyDescent="0.2">
      <c r="B63" s="4" t="str">
        <f>'Pricing Piso Peru'!A64</f>
        <v>AV PLUS ZINC MANGANESO</v>
      </c>
      <c r="C63" s="5" t="str">
        <f>'Pricing Piso Peru'!B64</f>
        <v>200 L</v>
      </c>
      <c r="D63" s="14">
        <f>'Pricing Piso Peru'!I64</f>
        <v>4.5</v>
      </c>
      <c r="E63" s="21" t="str">
        <f>'Pricing Piso Peru'!M64</f>
        <v>🟢 SOBRE PISO</v>
      </c>
    </row>
    <row r="64" spans="2:5" ht="16" x14ac:dyDescent="0.2">
      <c r="B64" s="4" t="str">
        <f>'Pricing Piso Peru'!A65</f>
        <v>AV PLUS ZINC MANGANESO</v>
      </c>
      <c r="C64" s="5" t="str">
        <f>'Pricing Piso Peru'!B65</f>
        <v>1000 L</v>
      </c>
      <c r="D64" s="14">
        <f>'Pricing Piso Peru'!I65</f>
        <v>3</v>
      </c>
      <c r="E64" s="21" t="str">
        <f>'Pricing Piso Peru'!M65</f>
        <v>🟢 SOBRE PISO</v>
      </c>
    </row>
    <row r="65" spans="2:5" ht="16" x14ac:dyDescent="0.2">
      <c r="B65" s="4" t="str">
        <f>'Pricing Piso Peru'!A66</f>
        <v>AV PLUS BORO</v>
      </c>
      <c r="C65" s="5" t="str">
        <f>'Pricing Piso Peru'!B66</f>
        <v>1 L</v>
      </c>
      <c r="D65" s="14">
        <f>'Pricing Piso Peru'!I66</f>
        <v>5.5</v>
      </c>
      <c r="E65" s="21" t="str">
        <f>'Pricing Piso Peru'!M66</f>
        <v>🟢 SOBRE PISO</v>
      </c>
    </row>
    <row r="66" spans="2:5" ht="16" x14ac:dyDescent="0.2">
      <c r="B66" s="4" t="str">
        <f>'Pricing Piso Peru'!A67</f>
        <v>AV PLUS BORO</v>
      </c>
      <c r="C66" s="5" t="str">
        <f>'Pricing Piso Peru'!B67</f>
        <v>20 L</v>
      </c>
      <c r="D66" s="14">
        <f>'Pricing Piso Peru'!I67</f>
        <v>4.5</v>
      </c>
      <c r="E66" s="21" t="str">
        <f>'Pricing Piso Peru'!M67</f>
        <v>🟢 SOBRE PISO</v>
      </c>
    </row>
    <row r="67" spans="2:5" ht="16" x14ac:dyDescent="0.2">
      <c r="B67" s="4" t="str">
        <f>'Pricing Piso Peru'!A68</f>
        <v>AV PLUS BORO</v>
      </c>
      <c r="C67" s="5" t="str">
        <f>'Pricing Piso Peru'!B68</f>
        <v>200 L</v>
      </c>
      <c r="D67" s="14">
        <f>'Pricing Piso Peru'!I68</f>
        <v>3.8</v>
      </c>
      <c r="E67" s="21" t="str">
        <f>'Pricing Piso Peru'!M68</f>
        <v>🟢 SOBRE PISO</v>
      </c>
    </row>
    <row r="68" spans="2:5" ht="16" x14ac:dyDescent="0.2">
      <c r="B68" s="4" t="str">
        <f>'Pricing Piso Peru'!A69</f>
        <v>AV PLUS BORO</v>
      </c>
      <c r="C68" s="5" t="str">
        <f>'Pricing Piso Peru'!B69</f>
        <v>1000 L</v>
      </c>
      <c r="D68" s="14">
        <f>'Pricing Piso Peru'!I69</f>
        <v>3</v>
      </c>
      <c r="E68" s="21" t="str">
        <f>'Pricing Piso Peru'!M69</f>
        <v>🟢 SOBRE PISO</v>
      </c>
    </row>
    <row r="69" spans="2:5" ht="16" x14ac:dyDescent="0.2">
      <c r="B69" s="4" t="str">
        <f>'Pricing Piso Peru'!A70</f>
        <v>AV PLUS HIERRO</v>
      </c>
      <c r="C69" s="5" t="str">
        <f>'Pricing Piso Peru'!B70</f>
        <v>1 L</v>
      </c>
      <c r="D69" s="14">
        <f>'Pricing Piso Peru'!I70</f>
        <v>7</v>
      </c>
      <c r="E69" s="21" t="str">
        <f>'Pricing Piso Peru'!M70</f>
        <v>🟢 SOBRE PISO</v>
      </c>
    </row>
    <row r="70" spans="2:5" ht="16" x14ac:dyDescent="0.2">
      <c r="B70" s="4" t="str">
        <f>'Pricing Piso Peru'!A71</f>
        <v>AV PLUS HIERRO</v>
      </c>
      <c r="C70" s="5" t="str">
        <f>'Pricing Piso Peru'!B71</f>
        <v>20 L</v>
      </c>
      <c r="D70" s="14">
        <f>'Pricing Piso Peru'!I71</f>
        <v>5</v>
      </c>
      <c r="E70" s="21" t="str">
        <f>'Pricing Piso Peru'!M71</f>
        <v>🟢 SOBRE PISO</v>
      </c>
    </row>
    <row r="71" spans="2:5" ht="16" x14ac:dyDescent="0.2">
      <c r="B71" s="4" t="str">
        <f>'Pricing Piso Peru'!A72</f>
        <v>AV PLUS HIERRO</v>
      </c>
      <c r="C71" s="5" t="str">
        <f>'Pricing Piso Peru'!B72</f>
        <v>200 L</v>
      </c>
      <c r="D71" s="14">
        <f>'Pricing Piso Peru'!I72</f>
        <v>4</v>
      </c>
      <c r="E71" s="21" t="str">
        <f>'Pricing Piso Peru'!M72</f>
        <v>🟢 SOBRE PISO</v>
      </c>
    </row>
    <row r="72" spans="2:5" ht="16" x14ac:dyDescent="0.2">
      <c r="B72" s="4" t="str">
        <f>'Pricing Piso Peru'!A73</f>
        <v>AV PLUS HIERRO</v>
      </c>
      <c r="C72" s="5" t="str">
        <f>'Pricing Piso Peru'!B73</f>
        <v>1000 L</v>
      </c>
      <c r="D72" s="14">
        <f>'Pricing Piso Peru'!I73</f>
        <v>3</v>
      </c>
      <c r="E72" s="21" t="str">
        <f>'Pricing Piso Peru'!M73</f>
        <v>🟢 SOBRE PISO</v>
      </c>
    </row>
    <row r="73" spans="2:5" ht="16" x14ac:dyDescent="0.2">
      <c r="B73" s="4" t="str">
        <f>'Pricing Piso Peru'!A74</f>
        <v>AV PLUS NUTRI MIX</v>
      </c>
      <c r="C73" s="5" t="str">
        <f>'Pricing Piso Peru'!B74</f>
        <v>1 L</v>
      </c>
      <c r="D73" s="14">
        <f>'Pricing Piso Peru'!I74</f>
        <v>10</v>
      </c>
      <c r="E73" s="21" t="str">
        <f>'Pricing Piso Peru'!M74</f>
        <v>🟢 SOBRE PISO</v>
      </c>
    </row>
    <row r="74" spans="2:5" ht="16" x14ac:dyDescent="0.2">
      <c r="B74" s="4" t="str">
        <f>'Pricing Piso Peru'!A75</f>
        <v>AV PLUS NUTRI MIX</v>
      </c>
      <c r="C74" s="5" t="str">
        <f>'Pricing Piso Peru'!B75</f>
        <v>20 L</v>
      </c>
      <c r="D74" s="14">
        <f>'Pricing Piso Peru'!I75</f>
        <v>8.5</v>
      </c>
      <c r="E74" s="21" t="str">
        <f>'Pricing Piso Peru'!M75</f>
        <v>🟢 SOBRE PISO</v>
      </c>
    </row>
    <row r="75" spans="2:5" ht="16" x14ac:dyDescent="0.2">
      <c r="B75" s="4" t="str">
        <f>'Pricing Piso Peru'!A76</f>
        <v>AV PLUS NUTRI MIX</v>
      </c>
      <c r="C75" s="5" t="str">
        <f>'Pricing Piso Peru'!B76</f>
        <v>200 L</v>
      </c>
      <c r="D75" s="14">
        <f>'Pricing Piso Peru'!I76</f>
        <v>7</v>
      </c>
      <c r="E75" s="21" t="str">
        <f>'Pricing Piso Peru'!M76</f>
        <v>🟢 SOBRE PISO</v>
      </c>
    </row>
    <row r="76" spans="2:5" ht="16" x14ac:dyDescent="0.2">
      <c r="B76" s="4" t="str">
        <f>'Pricing Piso Peru'!A77</f>
        <v>AV PLUS NUTRI MIX</v>
      </c>
      <c r="C76" s="5" t="str">
        <f>'Pricing Piso Peru'!B77</f>
        <v>1000 L</v>
      </c>
      <c r="D76" s="14">
        <f>'Pricing Piso Peru'!I77</f>
        <v>6</v>
      </c>
      <c r="E76" s="21" t="str">
        <f>'Pricing Piso Peru'!M77</f>
        <v>🟢 SOBRE PISO</v>
      </c>
    </row>
    <row r="77" spans="2:5" ht="16" x14ac:dyDescent="0.2">
      <c r="B77" s="4" t="str">
        <f>'Pricing Piso Peru'!A78</f>
        <v>AV PLUS NP-MIX</v>
      </c>
      <c r="C77" s="5" t="str">
        <f>'Pricing Piso Peru'!B78</f>
        <v>1 L</v>
      </c>
      <c r="D77" s="14">
        <f>'Pricing Piso Peru'!I78</f>
        <v>10</v>
      </c>
      <c r="E77" s="21" t="str">
        <f>'Pricing Piso Peru'!M78</f>
        <v>🟢 SOBRE PISO</v>
      </c>
    </row>
    <row r="78" spans="2:5" ht="16" x14ac:dyDescent="0.2">
      <c r="B78" s="4" t="str">
        <f>'Pricing Piso Peru'!A79</f>
        <v>AV PLUS NP-MIX</v>
      </c>
      <c r="C78" s="5" t="str">
        <f>'Pricing Piso Peru'!B79</f>
        <v>20 L</v>
      </c>
      <c r="D78" s="14">
        <f>'Pricing Piso Peru'!I79</f>
        <v>8.5</v>
      </c>
      <c r="E78" s="21" t="str">
        <f>'Pricing Piso Peru'!M79</f>
        <v>🟢 SOBRE PISO</v>
      </c>
    </row>
    <row r="79" spans="2:5" ht="16" x14ac:dyDescent="0.2">
      <c r="B79" s="4" t="str">
        <f>'Pricing Piso Peru'!A80</f>
        <v>AV PLUS NP-MIX</v>
      </c>
      <c r="C79" s="5" t="str">
        <f>'Pricing Piso Peru'!B80</f>
        <v>200 L</v>
      </c>
      <c r="D79" s="14">
        <f>'Pricing Piso Peru'!I80</f>
        <v>7</v>
      </c>
      <c r="E79" s="21" t="str">
        <f>'Pricing Piso Peru'!M80</f>
        <v>🟢 SOBRE PISO</v>
      </c>
    </row>
    <row r="80" spans="2:5" ht="16" x14ac:dyDescent="0.2">
      <c r="B80" s="4" t="str">
        <f>'Pricing Piso Peru'!A81</f>
        <v>AV PLUS NP-MIX</v>
      </c>
      <c r="C80" s="5" t="str">
        <f>'Pricing Piso Peru'!B81</f>
        <v>1000 L</v>
      </c>
      <c r="D80" s="14">
        <f>'Pricing Piso Peru'!I81</f>
        <v>6</v>
      </c>
      <c r="E80" s="21" t="str">
        <f>'Pricing Piso Peru'!M81</f>
        <v>🟢 SOBRE PISO</v>
      </c>
    </row>
    <row r="81" spans="2:5" ht="16" x14ac:dyDescent="0.2">
      <c r="B81" s="4" t="str">
        <f>'Pricing Piso Peru'!A82</f>
        <v>AV PLUS MICRO MIX</v>
      </c>
      <c r="C81" s="5" t="str">
        <f>'Pricing Piso Peru'!B82</f>
        <v>1 L</v>
      </c>
      <c r="D81" s="14">
        <f>'Pricing Piso Peru'!I82</f>
        <v>8</v>
      </c>
      <c r="E81" s="21" t="str">
        <f>'Pricing Piso Peru'!M82</f>
        <v>🟢 SOBRE PISO</v>
      </c>
    </row>
    <row r="82" spans="2:5" ht="16" x14ac:dyDescent="0.2">
      <c r="B82" s="4" t="str">
        <f>'Pricing Piso Peru'!A83</f>
        <v>AV PLUS MICRO MIX</v>
      </c>
      <c r="C82" s="5" t="str">
        <f>'Pricing Piso Peru'!B83</f>
        <v>20 L</v>
      </c>
      <c r="D82" s="14">
        <f>'Pricing Piso Peru'!I83</f>
        <v>6.8</v>
      </c>
      <c r="E82" s="21" t="str">
        <f>'Pricing Piso Peru'!M83</f>
        <v>🟢 SOBRE PISO</v>
      </c>
    </row>
    <row r="83" spans="2:5" ht="16" x14ac:dyDescent="0.2">
      <c r="B83" s="4" t="str">
        <f>'Pricing Piso Peru'!A84</f>
        <v>AV PLUS MICRO MIX</v>
      </c>
      <c r="C83" s="5" t="str">
        <f>'Pricing Piso Peru'!B84</f>
        <v>200 L</v>
      </c>
      <c r="D83" s="14">
        <f>'Pricing Piso Peru'!I84</f>
        <v>5</v>
      </c>
      <c r="E83" s="21" t="str">
        <f>'Pricing Piso Peru'!M84</f>
        <v>🟢 SOBRE PISO</v>
      </c>
    </row>
    <row r="84" spans="2:5" ht="16" x14ac:dyDescent="0.2">
      <c r="B84" s="4" t="str">
        <f>'Pricing Piso Peru'!A85</f>
        <v>AV PLUS MICRO MIX</v>
      </c>
      <c r="C84" s="5" t="str">
        <f>'Pricing Piso Peru'!B85</f>
        <v>1000 L</v>
      </c>
      <c r="D84" s="14">
        <f>'Pricing Piso Peru'!I85</f>
        <v>4.5</v>
      </c>
      <c r="E84" s="21" t="str">
        <f>'Pricing Piso Peru'!M85</f>
        <v>🟢 SOBRE PISO</v>
      </c>
    </row>
    <row r="85" spans="2:5" ht="16" x14ac:dyDescent="0.2">
      <c r="B85" s="4" t="str">
        <f>'Pricing Piso Peru'!A86</f>
        <v>AV PLUS MACRO FRUIT</v>
      </c>
      <c r="C85" s="5" t="str">
        <f>'Pricing Piso Peru'!B86</f>
        <v>1 L</v>
      </c>
      <c r="D85" s="14">
        <f>'Pricing Piso Peru'!I86</f>
        <v>10</v>
      </c>
      <c r="E85" s="21" t="str">
        <f>'Pricing Piso Peru'!M86</f>
        <v>🟢 SOBRE PISO</v>
      </c>
    </row>
    <row r="86" spans="2:5" ht="16" x14ac:dyDescent="0.2">
      <c r="B86" s="4" t="str">
        <f>'Pricing Piso Peru'!A87</f>
        <v>AV PLUS MACRO FRUIT</v>
      </c>
      <c r="C86" s="5" t="str">
        <f>'Pricing Piso Peru'!B87</f>
        <v>20 L</v>
      </c>
      <c r="D86" s="14">
        <f>'Pricing Piso Peru'!I87</f>
        <v>8.5</v>
      </c>
      <c r="E86" s="21" t="str">
        <f>'Pricing Piso Peru'!M87</f>
        <v>🟢 SOBRE PISO</v>
      </c>
    </row>
    <row r="87" spans="2:5" ht="16" x14ac:dyDescent="0.2">
      <c r="B87" s="4" t="str">
        <f>'Pricing Piso Peru'!A88</f>
        <v>AV PLUS MACRO FRUIT</v>
      </c>
      <c r="C87" s="5" t="str">
        <f>'Pricing Piso Peru'!B88</f>
        <v>200 L</v>
      </c>
      <c r="D87" s="14">
        <f>'Pricing Piso Peru'!I88</f>
        <v>7</v>
      </c>
      <c r="E87" s="21" t="str">
        <f>'Pricing Piso Peru'!M88</f>
        <v>🟢 SOBRE PISO</v>
      </c>
    </row>
    <row r="88" spans="2:5" ht="16" x14ac:dyDescent="0.2">
      <c r="B88" s="4" t="str">
        <f>'Pricing Piso Peru'!A89</f>
        <v>AV PLUS MACRO FRUIT</v>
      </c>
      <c r="C88" s="5" t="str">
        <f>'Pricing Piso Peru'!B89</f>
        <v>1000 L</v>
      </c>
      <c r="D88" s="14">
        <f>'Pricing Piso Peru'!I89</f>
        <v>6</v>
      </c>
      <c r="E88" s="21" t="str">
        <f>'Pricing Piso Peru'!M89</f>
        <v>🟢 SOBRE PISO</v>
      </c>
    </row>
    <row r="89" spans="2:5" ht="16" x14ac:dyDescent="0.2">
      <c r="B89" s="4" t="str">
        <f>'Pricing Piso Peru'!A90</f>
        <v>AV MOVE</v>
      </c>
      <c r="C89" s="5" t="str">
        <f>'Pricing Piso Peru'!B90</f>
        <v>1 L</v>
      </c>
      <c r="D89" s="14">
        <f>'Pricing Piso Peru'!I90</f>
        <v>10</v>
      </c>
      <c r="E89" s="21" t="str">
        <f>'Pricing Piso Peru'!M90</f>
        <v>🟢 SOBRE PISO</v>
      </c>
    </row>
    <row r="90" spans="2:5" ht="16" x14ac:dyDescent="0.2">
      <c r="B90" s="4" t="str">
        <f>'Pricing Piso Peru'!A91</f>
        <v>AV MOVE</v>
      </c>
      <c r="C90" s="5" t="str">
        <f>'Pricing Piso Peru'!B91</f>
        <v>20 L</v>
      </c>
      <c r="D90" s="14">
        <f>'Pricing Piso Peru'!I91</f>
        <v>8.5</v>
      </c>
      <c r="E90" s="21" t="str">
        <f>'Pricing Piso Peru'!M91</f>
        <v>🟢 SOBRE PISO</v>
      </c>
    </row>
    <row r="91" spans="2:5" ht="16" x14ac:dyDescent="0.2">
      <c r="B91" s="4" t="str">
        <f>'Pricing Piso Peru'!A92</f>
        <v>AV MOVE</v>
      </c>
      <c r="C91" s="5" t="str">
        <f>'Pricing Piso Peru'!B92</f>
        <v>200 L</v>
      </c>
      <c r="D91" s="14">
        <f>'Pricing Piso Peru'!I92</f>
        <v>7</v>
      </c>
      <c r="E91" s="21" t="str">
        <f>'Pricing Piso Peru'!M92</f>
        <v>🟢 SOBRE PISO</v>
      </c>
    </row>
    <row r="92" spans="2:5" ht="16" x14ac:dyDescent="0.2">
      <c r="B92" s="4" t="str">
        <f>'Pricing Piso Peru'!A93</f>
        <v>AV MOVE</v>
      </c>
      <c r="C92" s="5" t="str">
        <f>'Pricing Piso Peru'!B93</f>
        <v>1000 L</v>
      </c>
      <c r="D92" s="14">
        <f>'Pricing Piso Peru'!I93</f>
        <v>6</v>
      </c>
      <c r="E92" s="21" t="str">
        <f>'Pricing Piso Peru'!M93</f>
        <v>🟢 SOBRE PISO</v>
      </c>
    </row>
    <row r="93" spans="2:5" ht="16" x14ac:dyDescent="0.2">
      <c r="B93" s="4" t="str">
        <f>'Pricing Piso Peru'!A94</f>
        <v>AV BALANCE</v>
      </c>
      <c r="C93" s="5" t="str">
        <f>'Pricing Piso Peru'!B94</f>
        <v>1 L</v>
      </c>
      <c r="D93" s="14">
        <f>'Pricing Piso Peru'!I94</f>
        <v>15</v>
      </c>
      <c r="E93" s="21" t="str">
        <f>'Pricing Piso Peru'!M94</f>
        <v>🟢 SOBRE PISO</v>
      </c>
    </row>
    <row r="94" spans="2:5" ht="16" x14ac:dyDescent="0.2">
      <c r="B94" s="4" t="str">
        <f>'Pricing Piso Peru'!A95</f>
        <v>AV BALANCE</v>
      </c>
      <c r="C94" s="5" t="str">
        <f>'Pricing Piso Peru'!B95</f>
        <v>20 L</v>
      </c>
      <c r="D94" s="14">
        <f>'Pricing Piso Peru'!I95</f>
        <v>14</v>
      </c>
      <c r="E94" s="21" t="str">
        <f>'Pricing Piso Peru'!M95</f>
        <v>🟢 SOBRE PISO</v>
      </c>
    </row>
    <row r="95" spans="2:5" ht="16" x14ac:dyDescent="0.2">
      <c r="B95" s="4" t="str">
        <f>'Pricing Piso Peru'!A96</f>
        <v>AV BALANCE</v>
      </c>
      <c r="C95" s="5" t="str">
        <f>'Pricing Piso Peru'!B96</f>
        <v>200 L</v>
      </c>
      <c r="D95" s="14">
        <f>'Pricing Piso Peru'!I96</f>
        <v>13</v>
      </c>
      <c r="E95" s="21" t="str">
        <f>'Pricing Piso Peru'!M96</f>
        <v>🟢 SOBRE PISO</v>
      </c>
    </row>
    <row r="96" spans="2:5" ht="16" x14ac:dyDescent="0.2">
      <c r="B96" s="4" t="str">
        <f>'Pricing Piso Peru'!A97</f>
        <v>AV BALANCE</v>
      </c>
      <c r="C96" s="5" t="str">
        <f>'Pricing Piso Peru'!B97</f>
        <v>1000 L</v>
      </c>
      <c r="D96" s="14">
        <f>'Pricing Piso Peru'!I97</f>
        <v>10</v>
      </c>
      <c r="E96" s="21" t="str">
        <f>'Pricing Piso Peru'!M97</f>
        <v>🟢 SOBRE PISO</v>
      </c>
    </row>
    <row r="97" spans="2:5" ht="16" x14ac:dyDescent="0.2">
      <c r="B97" s="4" t="str">
        <f>'Pricing Piso Peru'!A98</f>
        <v>AV BLOOM</v>
      </c>
      <c r="C97" s="5" t="str">
        <f>'Pricing Piso Peru'!B98</f>
        <v>1 L</v>
      </c>
      <c r="D97" s="14">
        <f>'Pricing Piso Peru'!I98</f>
        <v>11</v>
      </c>
      <c r="E97" s="21" t="str">
        <f>'Pricing Piso Peru'!M98</f>
        <v>🟢 SOBRE PISO</v>
      </c>
    </row>
    <row r="98" spans="2:5" ht="16" x14ac:dyDescent="0.2">
      <c r="B98" s="4" t="str">
        <f>'Pricing Piso Peru'!A99</f>
        <v>AV BLOOM</v>
      </c>
      <c r="C98" s="5" t="str">
        <f>'Pricing Piso Peru'!B99</f>
        <v>20 L</v>
      </c>
      <c r="D98" s="14">
        <f>'Pricing Piso Peru'!I99</f>
        <v>9</v>
      </c>
      <c r="E98" s="21" t="str">
        <f>'Pricing Piso Peru'!M99</f>
        <v>🟢 SOBRE PISO</v>
      </c>
    </row>
    <row r="99" spans="2:5" ht="16" x14ac:dyDescent="0.2">
      <c r="B99" s="4" t="str">
        <f>'Pricing Piso Peru'!A100</f>
        <v>AV BLOOM</v>
      </c>
      <c r="C99" s="5" t="str">
        <f>'Pricing Piso Peru'!B100</f>
        <v>200 L</v>
      </c>
      <c r="D99" s="14">
        <f>'Pricing Piso Peru'!I100</f>
        <v>8</v>
      </c>
      <c r="E99" s="21" t="str">
        <f>'Pricing Piso Peru'!M100</f>
        <v>🟢 SOBRE PISO</v>
      </c>
    </row>
    <row r="100" spans="2:5" ht="16" x14ac:dyDescent="0.2">
      <c r="B100" s="4" t="str">
        <f>'Pricing Piso Peru'!A101</f>
        <v>AV BLOOM</v>
      </c>
      <c r="C100" s="5" t="str">
        <f>'Pricing Piso Peru'!B101</f>
        <v>1000 L</v>
      </c>
      <c r="D100" s="14">
        <f>'Pricing Piso Peru'!I101</f>
        <v>7</v>
      </c>
      <c r="E100" s="21" t="str">
        <f>'Pricing Piso Peru'!M101</f>
        <v>🟢 SOBRE PISO</v>
      </c>
    </row>
    <row r="101" spans="2:5" ht="16" x14ac:dyDescent="0.2">
      <c r="B101" s="4" t="str">
        <f>'Pricing Piso Peru'!A102</f>
        <v>AV CYTO PRIME</v>
      </c>
      <c r="C101" s="5" t="str">
        <f>'Pricing Piso Peru'!B102</f>
        <v>1 L</v>
      </c>
      <c r="D101" s="14">
        <f>'Pricing Piso Peru'!I102</f>
        <v>20</v>
      </c>
      <c r="E101" s="21" t="str">
        <f>'Pricing Piso Peru'!M102</f>
        <v>🟢 SOBRE PISO</v>
      </c>
    </row>
    <row r="102" spans="2:5" ht="16" x14ac:dyDescent="0.2">
      <c r="B102" s="4" t="str">
        <f>'Pricing Piso Peru'!A103</f>
        <v>AV CYTO PRIME</v>
      </c>
      <c r="C102" s="5" t="str">
        <f>'Pricing Piso Peru'!B103</f>
        <v>20 L</v>
      </c>
      <c r="D102" s="14">
        <f>'Pricing Piso Peru'!I103</f>
        <v>19</v>
      </c>
      <c r="E102" s="21" t="str">
        <f>'Pricing Piso Peru'!M103</f>
        <v>🟢 SOBRE PISO</v>
      </c>
    </row>
    <row r="103" spans="2:5" ht="16" x14ac:dyDescent="0.2">
      <c r="B103" s="4" t="str">
        <f>'Pricing Piso Peru'!A104</f>
        <v>AV CYTO PRIME</v>
      </c>
      <c r="C103" s="5" t="str">
        <f>'Pricing Piso Peru'!B104</f>
        <v>200 L</v>
      </c>
      <c r="D103" s="14">
        <f>'Pricing Piso Peru'!I104</f>
        <v>17</v>
      </c>
      <c r="E103" s="21" t="str">
        <f>'Pricing Piso Peru'!M104</f>
        <v>🟢 SOBRE PISO</v>
      </c>
    </row>
    <row r="104" spans="2:5" ht="16" x14ac:dyDescent="0.2">
      <c r="B104" s="4" t="str">
        <f>'Pricing Piso Peru'!A105</f>
        <v>AV CYTO PRIME</v>
      </c>
      <c r="C104" s="5" t="str">
        <f>'Pricing Piso Peru'!B105</f>
        <v>1000 L</v>
      </c>
      <c r="D104" s="14">
        <f>'Pricing Piso Peru'!I105</f>
        <v>15</v>
      </c>
      <c r="E104" s="21" t="str">
        <f>'Pricing Piso Peru'!M105</f>
        <v>🟢 SOBRE PISO</v>
      </c>
    </row>
    <row r="105" spans="2:5" ht="16" x14ac:dyDescent="0.2">
      <c r="B105" s="4" t="str">
        <f>'Pricing Piso Peru'!A106</f>
        <v>AV BIOSOLARIS</v>
      </c>
      <c r="C105" s="5" t="str">
        <f>'Pricing Piso Peru'!B106</f>
        <v>1 L</v>
      </c>
      <c r="D105" s="14">
        <f>'Pricing Piso Peru'!I106</f>
        <v>20</v>
      </c>
      <c r="E105" s="21" t="str">
        <f>'Pricing Piso Peru'!M106</f>
        <v>🟢 SOBRE PISO</v>
      </c>
    </row>
    <row r="106" spans="2:5" ht="16" x14ac:dyDescent="0.2">
      <c r="B106" s="4" t="str">
        <f>'Pricing Piso Peru'!A107</f>
        <v>AV BIOSOLARIS</v>
      </c>
      <c r="C106" s="5" t="str">
        <f>'Pricing Piso Peru'!B107</f>
        <v>20 L</v>
      </c>
      <c r="D106" s="14">
        <f>'Pricing Piso Peru'!I107</f>
        <v>17</v>
      </c>
      <c r="E106" s="21" t="str">
        <f>'Pricing Piso Peru'!M107</f>
        <v>🟢 SOBRE PISO</v>
      </c>
    </row>
    <row r="107" spans="2:5" ht="16" x14ac:dyDescent="0.2">
      <c r="B107" s="4" t="str">
        <f>'Pricing Piso Peru'!A108</f>
        <v>AV BIOSOLARIS</v>
      </c>
      <c r="C107" s="5" t="str">
        <f>'Pricing Piso Peru'!B108</f>
        <v>200 L</v>
      </c>
      <c r="D107" s="14">
        <f>'Pricing Piso Peru'!I108</f>
        <v>16</v>
      </c>
      <c r="E107" s="21" t="str">
        <f>'Pricing Piso Peru'!M108</f>
        <v>🟢 SOBRE PISO</v>
      </c>
    </row>
    <row r="108" spans="2:5" ht="16" x14ac:dyDescent="0.2">
      <c r="B108" s="4" t="str">
        <f>'Pricing Piso Peru'!A109</f>
        <v>AV BIOSOLARIS</v>
      </c>
      <c r="C108" s="5" t="str">
        <f>'Pricing Piso Peru'!B109</f>
        <v>1000 L</v>
      </c>
      <c r="D108" s="14">
        <f>'Pricing Piso Peru'!I109</f>
        <v>14</v>
      </c>
      <c r="E108" s="21" t="str">
        <f>'Pricing Piso Peru'!M109</f>
        <v>🟢 SOBRE PISO</v>
      </c>
    </row>
  </sheetData>
  <mergeCells count="3">
    <mergeCell ref="B1:D1"/>
    <mergeCell ref="B2:D2"/>
    <mergeCell ref="B3:D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Pricing Piso Peru</vt:lpstr>
      <vt:lpstr>precios piso peru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Javier Almeida</cp:lastModifiedBy>
  <cp:revision>0</cp:revision>
  <dcterms:created xsi:type="dcterms:W3CDTF">2026-04-16T20:48:31Z</dcterms:created>
  <dcterms:modified xsi:type="dcterms:W3CDTF">2026-04-27T19:06:41Z</dcterms:modified>
  <dc:language>en-US</dc:language>
</cp:coreProperties>
</file>