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RUPO AGROVECA\AGROVECA PERU\REPORTE DE VENTAS\2026\"/>
    </mc:Choice>
  </mc:AlternateContent>
  <xr:revisionPtr revIDLastSave="0" documentId="13_ncr:1_{52F10DFD-451A-4B7E-88A4-0DB4840F487B}" xr6:coauthVersionLast="47" xr6:coauthVersionMax="47" xr10:uidLastSave="{00000000-0000-0000-0000-000000000000}"/>
  <bookViews>
    <workbookView xWindow="-108" yWindow="-108" windowWidth="23256" windowHeight="12456" xr2:uid="{727290CF-8874-4586-B821-D92532E90A15}"/>
  </bookViews>
  <sheets>
    <sheet name="RESUMEN" sheetId="9" r:id="rId1"/>
    <sheet name="Hoja1" sheetId="10" state="hidden" r:id="rId2"/>
    <sheet name="VENTAS JULIO" sheetId="5" r:id="rId3"/>
    <sheet name="VENTAS ACUMULADAS 2026" sheetId="7" r:id="rId4"/>
  </sheets>
  <definedNames>
    <definedName name="_xlnm._FilterDatabase" localSheetId="1" hidden="1">Hoja1!$C$4:$C$35</definedName>
    <definedName name="_xlnm._FilterDatabase" localSheetId="3" hidden="1">'VENTAS ACUMULADAS 2026'!$B$6:$K$112</definedName>
    <definedName name="_xlnm._FilterDatabase" localSheetId="2" hidden="1">'VENTAS JULIO'!$A$6:$K$6</definedName>
    <definedName name="_xlnm.Print_Titles" localSheetId="2">'VENTAS JULIO'!$2:$6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5" l="1"/>
  <c r="I134" i="7"/>
</calcChain>
</file>

<file path=xl/sharedStrings.xml><?xml version="1.0" encoding="utf-8"?>
<sst xmlns="http://schemas.openxmlformats.org/spreadsheetml/2006/main" count="1061" uniqueCount="316">
  <si>
    <t>AGROVECA PERU S.A.C. - RUC: 20609014963</t>
  </si>
  <si>
    <t>NUMERO</t>
  </si>
  <si>
    <t>DENOMINACION O RAZON SOCIAL</t>
  </si>
  <si>
    <t>TOTAL</t>
  </si>
  <si>
    <t>DOLARES</t>
  </si>
  <si>
    <t>CONCEPTO</t>
  </si>
  <si>
    <t>E001</t>
  </si>
  <si>
    <t>FAMILY FARMS PERÚ S.R.L</t>
  </si>
  <si>
    <t>PERIODO</t>
  </si>
  <si>
    <t>FECHA EMISION</t>
  </si>
  <si>
    <t>FECHA VENCIMIENTO</t>
  </si>
  <si>
    <t>SERIE</t>
  </si>
  <si>
    <t>FACTURA</t>
  </si>
  <si>
    <t>FORMATO 14.1: REGISTRO DE VENTAS (Expresado en Dolares)</t>
  </si>
  <si>
    <t>Total general</t>
  </si>
  <si>
    <t>Suma de DOLARES</t>
  </si>
  <si>
    <t>VENDEDOR</t>
  </si>
  <si>
    <t>OSCAR INFANTE</t>
  </si>
  <si>
    <t>VENTAS ACUMULADAS POR CLIENTES</t>
  </si>
  <si>
    <t>VENTAS ACUMULADAS POR VENDEDOR</t>
  </si>
  <si>
    <t>(Todas)</t>
  </si>
  <si>
    <t>.</t>
  </si>
  <si>
    <t>NICOLL NAVARRO</t>
  </si>
  <si>
    <t>PERIODO : ENERO A DICIEMBRE 2026</t>
  </si>
  <si>
    <t>01 ENERO 2026</t>
  </si>
  <si>
    <t>05/01/2026</t>
  </si>
  <si>
    <t>05/04/2026</t>
  </si>
  <si>
    <t>06/01/2026</t>
  </si>
  <si>
    <t>06/04/2026</t>
  </si>
  <si>
    <t>300 LTS VECASIL FORTE</t>
  </si>
  <si>
    <t>180 LTS VECASIL FORTE</t>
  </si>
  <si>
    <t>160 LTS VECASIL FORTE</t>
  </si>
  <si>
    <t>320 LTS VECASIL FORTE</t>
  </si>
  <si>
    <t>AGRICOLA GUILI S.A.C</t>
  </si>
  <si>
    <t>20 LTS ALGAP</t>
  </si>
  <si>
    <t>AGRICOLA SERENGUETI SAC</t>
  </si>
  <si>
    <t>21/02/2026</t>
  </si>
  <si>
    <t>07/01/2026</t>
  </si>
  <si>
    <t>13/01/2026</t>
  </si>
  <si>
    <t>14/03/2026</t>
  </si>
  <si>
    <t>PROCESOS AGROINDUSTRIALES SOCIEDAD ANONIMA</t>
  </si>
  <si>
    <t>470 LTS AV PLUS MICRO MIX</t>
  </si>
  <si>
    <t>OMAR ATALAYA</t>
  </si>
  <si>
    <t>360 LTS VECASIL FORTE</t>
  </si>
  <si>
    <t>13/04/2026</t>
  </si>
  <si>
    <t>20 LTS REGALIA MAX</t>
  </si>
  <si>
    <t>SOCIEDAD AGRICOLA 3P S.A.C.</t>
  </si>
  <si>
    <t>27/02/2026</t>
  </si>
  <si>
    <t>15/01/2026</t>
  </si>
  <si>
    <t xml:space="preserve">ALLPA FARMS PERU S.A.C. </t>
  </si>
  <si>
    <t>500 LTS VECA MAX FULVIC</t>
  </si>
  <si>
    <t>19/01/2026</t>
  </si>
  <si>
    <t>18/02/2026</t>
  </si>
  <si>
    <t>16/03/2026</t>
  </si>
  <si>
    <t xml:space="preserve">SUN FRUITS EXPORTS S.A. </t>
  </si>
  <si>
    <t>31 TLS VECA MANGANESO</t>
  </si>
  <si>
    <t>9 TLS VECA MANGANESO</t>
  </si>
  <si>
    <t>20/01/2026</t>
  </si>
  <si>
    <t>20/04/2026</t>
  </si>
  <si>
    <t>BOMAREA S.R.L.</t>
  </si>
  <si>
    <t>2450 LTS VECASIL FORTE</t>
  </si>
  <si>
    <t>22/01/2026</t>
  </si>
  <si>
    <t>22/04/2026</t>
  </si>
  <si>
    <t>CORPORACION AGROLATINA S.A.C</t>
  </si>
  <si>
    <t>40 LTS ALGAP</t>
  </si>
  <si>
    <t xml:space="preserve">EPIC FARMS S.A.C. </t>
  </si>
  <si>
    <t>75 LTS VECA AMIN</t>
  </si>
  <si>
    <t xml:space="preserve">AMFRESH PERU AGRISIL S.R.L. </t>
  </si>
  <si>
    <t>142 LTS ALGAP, 53 LTS VECA ROOT MAX</t>
  </si>
  <si>
    <t>ANTONIO GONZALES</t>
  </si>
  <si>
    <t>AGRICOLA COPACABANA DE CHINCHA S.A</t>
  </si>
  <si>
    <t>30/01/2026</t>
  </si>
  <si>
    <t>2 LTS REGALIA MAX</t>
  </si>
  <si>
    <t xml:space="preserve">AGROPECUARIA A.D.H. S.A.C. </t>
  </si>
  <si>
    <t>25/02/2026</t>
  </si>
  <si>
    <t>32 LTS REGALIA MAX</t>
  </si>
  <si>
    <t>32 LTS SILFORTE, 45 AV PLUS POTASIO</t>
  </si>
  <si>
    <t>78 LTS VECASIL, 78 LTS VECA HUMIC ROOT</t>
  </si>
  <si>
    <t>23/01/2026</t>
  </si>
  <si>
    <t>23/04/2026</t>
  </si>
  <si>
    <t>26/01/2026</t>
  </si>
  <si>
    <t>31/03/2026</t>
  </si>
  <si>
    <t>AGRICOLA CARMEN LUISA S.A.C.</t>
  </si>
  <si>
    <t>AGRO TIERRA VID S.A.C.</t>
  </si>
  <si>
    <t>480 LTS REGALIA MAX</t>
  </si>
  <si>
    <t>02. FEBRERO 2026</t>
  </si>
  <si>
    <t>02/02/2026</t>
  </si>
  <si>
    <t>SUREXPORT PERU BERRIES S.A.C</t>
  </si>
  <si>
    <t>03/04/2026</t>
  </si>
  <si>
    <t>296 VECA ROOT MAX</t>
  </si>
  <si>
    <t xml:space="preserve">POB S.A.C. </t>
  </si>
  <si>
    <t>254 VECA ROOT MAX</t>
  </si>
  <si>
    <t>03/02/2026</t>
  </si>
  <si>
    <t>300 LTS VECA PLUS MAGNESIO</t>
  </si>
  <si>
    <t>03/06/2026</t>
  </si>
  <si>
    <t>AGRICOLA HUARMEY S.A.C.</t>
  </si>
  <si>
    <t>05/02/2026</t>
  </si>
  <si>
    <t>06/05/2026</t>
  </si>
  <si>
    <t>LISBETH AGUIRRE</t>
  </si>
  <si>
    <t>11/02/2026</t>
  </si>
  <si>
    <t>12/02/2026</t>
  </si>
  <si>
    <t>12/05/2026</t>
  </si>
  <si>
    <t>UVICA S.A.C.</t>
  </si>
  <si>
    <t>48 LTS REGALIA</t>
  </si>
  <si>
    <t>13/05/2026</t>
  </si>
  <si>
    <t>12/06/2026</t>
  </si>
  <si>
    <t>SOCIEDAD AGRICOLA DON LUIS S.A</t>
  </si>
  <si>
    <t>247 LTS CYTO PRIME</t>
  </si>
  <si>
    <t>260 LTS VECA ROOT MAX</t>
  </si>
  <si>
    <t>AGROINDUSTRIA CAMPO VERDE S.A.C</t>
  </si>
  <si>
    <t>23 LTS CYTO PRIME</t>
  </si>
  <si>
    <t>16 LTS CYTO PRIME</t>
  </si>
  <si>
    <t>INVERSIONES AJS S.A.C.</t>
  </si>
  <si>
    <t>13/02/2026</t>
  </si>
  <si>
    <t>2 LTS AV PLUS NUTRIMIX</t>
  </si>
  <si>
    <t>LIFONCIO MEZA ANTONIO</t>
  </si>
  <si>
    <t>AGRICOLA PAMPA VERDE S.A.C</t>
  </si>
  <si>
    <t>23/02/2026</t>
  </si>
  <si>
    <t>24/02/2026</t>
  </si>
  <si>
    <t>23/06/2026</t>
  </si>
  <si>
    <t>24/06/2026</t>
  </si>
  <si>
    <t>30 LTS VECA PLUS MANGNESIO</t>
  </si>
  <si>
    <t>58 LTS VECA PLUS MANGNESIO</t>
  </si>
  <si>
    <t>751 LTS VECA PLUS MANGNESIO</t>
  </si>
  <si>
    <t>256 LTS VECA PLUS CALCIO</t>
  </si>
  <si>
    <t>26/02/2026</t>
  </si>
  <si>
    <t>28/03/2026</t>
  </si>
  <si>
    <t>CORPORACION AGRICOLA OLMOS S.A</t>
  </si>
  <si>
    <t>134 LTS REGALIA MAX</t>
  </si>
  <si>
    <t>95 LTS VECA AMIN</t>
  </si>
  <si>
    <t>40 LTS VECA PLUS MANGANESO</t>
  </si>
  <si>
    <t>03. MARZO 2026</t>
  </si>
  <si>
    <t>02/03/2026</t>
  </si>
  <si>
    <t>03/03/2026</t>
  </si>
  <si>
    <t>CORPORACION ESAN E &amp; F SOCIEDAD ANONIMA CERRADA</t>
  </si>
  <si>
    <t>31/05/2026</t>
  </si>
  <si>
    <t>1000 LTS VECASIL FORTE</t>
  </si>
  <si>
    <t>30/06/2026</t>
  </si>
  <si>
    <t>200 LTS MAGNESIO</t>
  </si>
  <si>
    <t>04/03/2026</t>
  </si>
  <si>
    <t>02/06/2026</t>
  </si>
  <si>
    <t>60 TLS REGALIA MAXX</t>
  </si>
  <si>
    <t>241 TLS REGALIA MAXX</t>
  </si>
  <si>
    <t>GIDDINGS BERRIES PERU S.A.C.</t>
  </si>
  <si>
    <t>02/04/2026</t>
  </si>
  <si>
    <t>88 lts ALGAP 30</t>
  </si>
  <si>
    <t>MALLQUI ROMERO VICTOR RAUL</t>
  </si>
  <si>
    <t>07/03/2026</t>
  </si>
  <si>
    <t>20 TLS ALGAP 30, 20 LTS AMIN SUGAR</t>
  </si>
  <si>
    <t>05/03/2026</t>
  </si>
  <si>
    <t xml:space="preserve">	SOCIEDAD EXPORTADORA VERFRUT SOCIEDAD ANONIMA CERRADA</t>
  </si>
  <si>
    <t>20 lts VECASIL FORTE</t>
  </si>
  <si>
    <t>PATRICIA VALLADARES</t>
  </si>
  <si>
    <t>09/03/2026</t>
  </si>
  <si>
    <t>10/03/2026</t>
  </si>
  <si>
    <t>6 LTS AV SILFORTE</t>
  </si>
  <si>
    <t>VALLE AZUL FARMS S.A.C.</t>
  </si>
  <si>
    <t>12/03/2026</t>
  </si>
  <si>
    <t>13/03/2026</t>
  </si>
  <si>
    <t>11/05/2026</t>
  </si>
  <si>
    <t>156 LTS VECA HUMIC ROOT, 150 LTS VECASIL FORTE</t>
  </si>
  <si>
    <t>96 LTS REGALIA</t>
  </si>
  <si>
    <t xml:space="preserve">GRANDBERRY PERU S.A.C. </t>
  </si>
  <si>
    <t>12/04/2026</t>
  </si>
  <si>
    <t>A</t>
  </si>
  <si>
    <t>04/04/2026</t>
  </si>
  <si>
    <t>18/03/2026</t>
  </si>
  <si>
    <t>16/06/2026</t>
  </si>
  <si>
    <t>LUNA QUINTANILLA BRYAN ALEXANDER</t>
  </si>
  <si>
    <t>36 LTS HUMIC ROOT, 24 LTS VECA POTASIO, 36 LTS VECA FULVIC, 24 LTS CALCIO BORO</t>
  </si>
  <si>
    <t>19/03/2026</t>
  </si>
  <si>
    <t>18/05/2026</t>
  </si>
  <si>
    <t>80 LTS VECA HUMIC ROOT</t>
  </si>
  <si>
    <t xml:space="preserve">MANUELITA FYH S.A.C. </t>
  </si>
  <si>
    <t>20/03/2026</t>
  </si>
  <si>
    <t>19/04/2026</t>
  </si>
  <si>
    <t>420 VECA ZINC</t>
  </si>
  <si>
    <t>19/05/2026</t>
  </si>
  <si>
    <t>40 LTS VECASIL FORTE</t>
  </si>
  <si>
    <t>438 LTS AV SILIFORTE</t>
  </si>
  <si>
    <t>23/03/2026</t>
  </si>
  <si>
    <t>27/07/2026</t>
  </si>
  <si>
    <t>626 LTS VECA MOVE</t>
  </si>
  <si>
    <t>32 ÑTS VECA MOVE</t>
  </si>
  <si>
    <t>50 LTS VECA PLUS BORO</t>
  </si>
  <si>
    <t>25/05/2026</t>
  </si>
  <si>
    <t>I Q F DEL PERU SA</t>
  </si>
  <si>
    <t>27/03/2026</t>
  </si>
  <si>
    <t>25/06/2026</t>
  </si>
  <si>
    <t>300 LTS VECA ROOT MAX</t>
  </si>
  <si>
    <t>600 LTS VECASIL FORTE</t>
  </si>
  <si>
    <t>28/06/2026</t>
  </si>
  <si>
    <t>200 LTS ALGAP</t>
  </si>
  <si>
    <t>29/06/2026</t>
  </si>
  <si>
    <t>200 LTS ALGAP, 144 LTS VECA AMIN,  620 VECA ROOT MAX</t>
  </si>
  <si>
    <t>30/05/2026</t>
  </si>
  <si>
    <t>04. ABRIL 2026</t>
  </si>
  <si>
    <t>600 LTS VECA ROOT MAX</t>
  </si>
  <si>
    <t>05/07/2026</t>
  </si>
  <si>
    <t>07/04/2026</t>
  </si>
  <si>
    <t>06/07/2026</t>
  </si>
  <si>
    <t>05/08/2026</t>
  </si>
  <si>
    <t>425 LTS VECA ROOT MAX</t>
  </si>
  <si>
    <t>200 LTS VECA MAGNESIO</t>
  </si>
  <si>
    <t>08/04/2026</t>
  </si>
  <si>
    <t>07/06/2026</t>
  </si>
  <si>
    <t>60 lts AV PLUS BORO</t>
  </si>
  <si>
    <t>09/04/2026</t>
  </si>
  <si>
    <t>08/07/2026</t>
  </si>
  <si>
    <t>660 LTS VECASIL FORTE</t>
  </si>
  <si>
    <t>15/04/2026</t>
  </si>
  <si>
    <t>13/08/2026</t>
  </si>
  <si>
    <t>200 LTS AV ROOT MAX</t>
  </si>
  <si>
    <t>16/04/2026</t>
  </si>
  <si>
    <t>15/06/2026</t>
  </si>
  <si>
    <t>60 LTS AV PLUS BORO</t>
  </si>
  <si>
    <t>22/05/2026</t>
  </si>
  <si>
    <t xml:space="preserve">AGROEXPORTACIONES SANTA MARIA MAGDALENA E.I.R.L </t>
  </si>
  <si>
    <t>20 LTS AV AMIN SUGAR</t>
  </si>
  <si>
    <t>40 LTS AV ROOT MAX</t>
  </si>
  <si>
    <t xml:space="preserve">SUR NATURAL S.A.C. </t>
  </si>
  <si>
    <t>21/06/2026</t>
  </si>
  <si>
    <t xml:space="preserve">AGROINDUSTRIAL P &amp; L S.A.C. </t>
  </si>
  <si>
    <t>2 LTS AV AMIN SUGAR, 2 LTS AV PLUS MACRO FRUIT</t>
  </si>
  <si>
    <t>27/04/2026</t>
  </si>
  <si>
    <t>25/08/2026</t>
  </si>
  <si>
    <t>AGRICOLA ALAYA SOCIEDAD ANONIMA</t>
  </si>
  <si>
    <t>420 AV BIOSOLARIS</t>
  </si>
  <si>
    <t>SUSAN DIAZ</t>
  </si>
  <si>
    <t xml:space="preserve">AGROVISION PERU S.A.C. </t>
  </si>
  <si>
    <t>220 LTS REGALIA MAX</t>
  </si>
  <si>
    <t>28/04/2026</t>
  </si>
  <si>
    <t>26/08/2026</t>
  </si>
  <si>
    <t>200 LTS ALGAP 30</t>
  </si>
  <si>
    <t>200 LTS AV MAGNESIO</t>
  </si>
  <si>
    <t>200 LTS AV MAGNESIO / 200 ÑTS AV ROOT MAX</t>
  </si>
  <si>
    <t>30 LTS REGALIA MAX</t>
  </si>
  <si>
    <t>29/04/2026</t>
  </si>
  <si>
    <t>10/08/2026</t>
  </si>
  <si>
    <t>1020 LTS VECA ROOT MAX, 5 LT VECA ROOT MAX</t>
  </si>
  <si>
    <t>05. MAYO 2026</t>
  </si>
  <si>
    <t>140 LTS REGALIA MAX</t>
  </si>
  <si>
    <t>04/05/2026</t>
  </si>
  <si>
    <t>200 LTS BIOSOLARIS</t>
  </si>
  <si>
    <t>01/09/2026</t>
  </si>
  <si>
    <t>05/05/2026</t>
  </si>
  <si>
    <t>VIVEROS EL TAMBO S.A.C.</t>
  </si>
  <si>
    <t>80 LTS AV PLUS HIERRO</t>
  </si>
  <si>
    <t>04/07/2026</t>
  </si>
  <si>
    <t>04/06/2026</t>
  </si>
  <si>
    <t>REITER PERUVIAN BERRY S.A.</t>
  </si>
  <si>
    <t>206 LTS REGALIA MAXX</t>
  </si>
  <si>
    <t>03/08/2026</t>
  </si>
  <si>
    <t>448 LTS VECA ROOT MAX</t>
  </si>
  <si>
    <t>600 LTS REGALIA MAXX</t>
  </si>
  <si>
    <t>08/06/2026</t>
  </si>
  <si>
    <t>27/05/2026</t>
  </si>
  <si>
    <t>07/05/2026</t>
  </si>
  <si>
    <t>04/09/2026</t>
  </si>
  <si>
    <t>08/09/2026</t>
  </si>
  <si>
    <t>14/05/2026</t>
  </si>
  <si>
    <t>12/08/2026</t>
  </si>
  <si>
    <t>600 LTS VECASIL FORTE (BIDON 20 L) LOTE PE L2 24</t>
  </si>
  <si>
    <t>40 LTS AV AMIN</t>
  </si>
  <si>
    <t>17/06/2026</t>
  </si>
  <si>
    <t>80 LTS AV SILFORTE</t>
  </si>
  <si>
    <t>19/09/2026</t>
  </si>
  <si>
    <t>26/05/2026</t>
  </si>
  <si>
    <t xml:space="preserve">800 AV SILFORTE </t>
  </si>
  <si>
    <t>AGRICOLA CAMPO NOBLE S.A.C</t>
  </si>
  <si>
    <t>06. JUNIO 2026</t>
  </si>
  <si>
    <t>220 LTS AV BIOSOLARIS</t>
  </si>
  <si>
    <t>400 LTS AV BIOSOLARIS</t>
  </si>
  <si>
    <t>240 AV SILFORTE</t>
  </si>
  <si>
    <t>164 LTS REGALIA MAXX</t>
  </si>
  <si>
    <t>01/10/2026</t>
  </si>
  <si>
    <t>200 LTS AV PLUS MAGNESIO (CILINDRO 200 L)LOTE: PE L3 25</t>
  </si>
  <si>
    <t>03/10/2026</t>
  </si>
  <si>
    <t>2 LTS AV BIOSOLARIS BOTELLA1LT</t>
  </si>
  <si>
    <t>18 LTS AV BIOSOLARIS BOTELLA1LT</t>
  </si>
  <si>
    <t>11/06/2026</t>
  </si>
  <si>
    <t>100 LTS AV PLUS MICRO MIX</t>
  </si>
  <si>
    <t>AGROINMOBILIARIA DEL NORTE S.A.C</t>
  </si>
  <si>
    <t>11/07/2026</t>
  </si>
  <si>
    <t>20 LTS AV SILFORTE</t>
  </si>
  <si>
    <t>13/09/2026</t>
  </si>
  <si>
    <t>280 LTS AV SILFORTE</t>
  </si>
  <si>
    <t>19/06/2026</t>
  </si>
  <si>
    <t>420 LTS REGALIA MAX</t>
  </si>
  <si>
    <t>200 LTS AV SILFORTE</t>
  </si>
  <si>
    <t>22/06/2026</t>
  </si>
  <si>
    <t>100 LTS  AV SILFORTE</t>
  </si>
  <si>
    <t>28/09/2026</t>
  </si>
  <si>
    <t>160 LTS AV SILFORTE</t>
  </si>
  <si>
    <t>260 LTS AV SILFORTE</t>
  </si>
  <si>
    <t>300 LTS AV SILFORTE</t>
  </si>
  <si>
    <t>PERIODO :  JULIO 2026</t>
  </si>
  <si>
    <t>20/09/2026</t>
  </si>
  <si>
    <t>07. JULIO 2026</t>
  </si>
  <si>
    <t xml:space="preserve">DOLE PERU S.R.L. </t>
  </si>
  <si>
    <t>1090 LTS AV SILFORTE</t>
  </si>
  <si>
    <t>04/10/2026</t>
  </si>
  <si>
    <t>240 LTS REGALIA MAXX</t>
  </si>
  <si>
    <t>13/07/2026</t>
  </si>
  <si>
    <t>11/10/2026</t>
  </si>
  <si>
    <t>40 LTS AV SILFORTE</t>
  </si>
  <si>
    <t>140 LTS ALGAP 30</t>
  </si>
  <si>
    <t>26 LTS REGALIA MAX</t>
  </si>
  <si>
    <t>100 LTS REGALIA</t>
  </si>
  <si>
    <t>14/07/2026</t>
  </si>
  <si>
    <t>100 LTS AV SILFORTE</t>
  </si>
  <si>
    <t>40 LTS AV PLUS MAGNESIO</t>
  </si>
  <si>
    <t>24 LTS REGALIA MAXX</t>
  </si>
  <si>
    <t>PROCAN TECHSELL E.I.R.L.</t>
  </si>
  <si>
    <t>150 LTS AV SILFORTE</t>
  </si>
  <si>
    <t>PERIODO :  01.01.2026 AL 20.07.2026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</si>
</sst>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,###,##0.00"/>
    <numFmt numFmtId="165" formatCode="###,##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D0D0D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A3DB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164" fontId="2" fillId="2" borderId="0" xfId="0" applyNumberFormat="1" applyFont="1" applyFill="1"/>
    <xf numFmtId="0" fontId="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quotePrefix="1" applyFont="1" applyFill="1"/>
    <xf numFmtId="0" fontId="4" fillId="2" borderId="3" xfId="0" applyFont="1" applyFill="1" applyBorder="1"/>
    <xf numFmtId="43" fontId="2" fillId="2" borderId="0" xfId="1" applyFont="1" applyFill="1"/>
    <xf numFmtId="43" fontId="4" fillId="2" borderId="3" xfId="1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pivotButton="1"/>
    <xf numFmtId="43" fontId="0" fillId="0" borderId="0" xfId="0" applyNumberFormat="1"/>
    <xf numFmtId="0" fontId="0" fillId="2" borderId="0" xfId="0" applyFill="1"/>
    <xf numFmtId="0" fontId="2" fillId="2" borderId="0" xfId="0" quotePrefix="1" applyFont="1" applyFill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/>
    </xf>
    <xf numFmtId="43" fontId="0" fillId="2" borderId="0" xfId="0" applyNumberFormat="1" applyFill="1"/>
    <xf numFmtId="0" fontId="2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7" fillId="4" borderId="0" xfId="0" applyFont="1" applyFill="1"/>
    <xf numFmtId="43" fontId="2" fillId="2" borderId="0" xfId="0" applyNumberFormat="1" applyFont="1" applyFill="1"/>
    <xf numFmtId="43" fontId="2" fillId="2" borderId="0" xfId="1" quotePrefix="1" applyFont="1" applyFill="1"/>
    <xf numFmtId="43" fontId="7" fillId="4" borderId="0" xfId="1" applyFont="1" applyFill="1"/>
    <xf numFmtId="14" fontId="2" fillId="2" borderId="0" xfId="0" quotePrefix="1" applyNumberFormat="1" applyFont="1" applyFill="1" applyAlignment="1">
      <alignment horizontal="left"/>
    </xf>
    <xf numFmtId="0" fontId="4" fillId="2" borderId="0" xfId="0" quotePrefix="1" applyFont="1" applyFill="1" applyAlignment="1">
      <alignment horizontal="center"/>
    </xf>
    <xf numFmtId="0" fontId="2" fillId="2" borderId="0" xfId="0" quotePrefix="1" applyFont="1" applyFill="1" applyAlignment="1">
      <alignment horizontal="left"/>
    </xf>
    <xf numFmtId="0" fontId="2" fillId="5" borderId="0" xfId="0" applyFont="1" applyFill="1"/>
    <xf numFmtId="165" fontId="2" fillId="2" borderId="0" xfId="0" applyNumberFormat="1" applyFont="1" applyFill="1"/>
    <xf numFmtId="14" fontId="2" fillId="2" borderId="0" xfId="0" applyNumberFormat="1" applyFont="1" applyFill="1"/>
    <xf numFmtId="0" fontId="7" fillId="4" borderId="0" xfId="0" applyFont="1" applyFill="1" applyAlignment="1">
      <alignment wrapText="1"/>
    </xf>
  </cellXfs>
  <cellStyles count="4">
    <cellStyle name="Millares" xfId="1" builtinId="3"/>
    <cellStyle name="Millares 2" xfId="2" xr:uid="{6163C014-F0B6-4388-8194-4665C0FB09BE}"/>
    <cellStyle name="Millares 3" xfId="3" xr:uid="{66854CFF-6A82-48C5-ACC8-D3C3A1A2CBEA}"/>
    <cellStyle name="Normal" xfId="0" builtinId="0"/>
  </cellStyles>
  <dxfs count="4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3.729471180559" createdVersion="8" refreshedVersion="8" minRefreshableVersion="3" recordCount="125" xr:uid="{CAF742F6-E15F-4942-B9EC-BD334888FCC7}">
  <cacheSource type="worksheet">
    <worksheetSource ref="B6:K131" sheet="VENTAS ACUMULADAS 2026"/>
  </cacheSource>
  <cacheFields count="10">
    <cacheField name="PERIODO" numFmtId="43">
      <sharedItems count="7">
        <s v="01 ENERO 2026"/>
        <s v="02. FEBRERO 2026"/>
        <s v="03. MARZO 2026"/>
        <s v="04. ABRIL 2026"/>
        <s v="05. MAYO 2026"/>
        <s v="06. JUNIO 2026"/>
        <s v="07. JULIO 2026"/>
      </sharedItems>
    </cacheField>
    <cacheField name="FECHA EMISION" numFmtId="0">
      <sharedItems containsDate="1" containsMixedTypes="1" minDate="2026-03-26T00:00:00" maxDate="2026-07-21T00:00:00"/>
    </cacheField>
    <cacheField name="FECHA VENCIMIENTO" numFmtId="0">
      <sharedItems containsDate="1" containsMixedTypes="1" minDate="2026-04-19T00:00:00" maxDate="2026-12-17T00:00:00"/>
    </cacheField>
    <cacheField name="SERIE" numFmtId="0">
      <sharedItems/>
    </cacheField>
    <cacheField name="FACTURA" numFmtId="0">
      <sharedItems containsSemiMixedTypes="0" containsString="0" containsNumber="1" containsInteger="1" minValue="897" maxValue="1133"/>
    </cacheField>
    <cacheField name="NUMERO" numFmtId="0">
      <sharedItems containsSemiMixedTypes="0" containsString="0" containsNumber="1" containsInteger="1" minValue="10237050008" maxValue="20614560011"/>
    </cacheField>
    <cacheField name="DENOMINACION O RAZON SOCIAL" numFmtId="0">
      <sharedItems count="45">
        <s v="FAMILY FARMS PERÚ S.R.L"/>
        <s v="AGRICOLA GUILI S.A.C"/>
        <s v="AGRICOLA SERENGUETI SAC"/>
        <s v="PROCESOS AGROINDUSTRIALES SOCIEDAD ANONIMA"/>
        <s v="SOCIEDAD AGRICOLA 3P S.A.C."/>
        <s v="AGRICOLA HUARMEY S.A.C."/>
        <s v="ALLPA FARMS PERU S.A.C. "/>
        <s v="SUN FRUITS EXPORTS S.A. "/>
        <s v="BOMAREA S.R.L."/>
        <s v="CORPORACION AGROLATINA S.A.C"/>
        <s v="EPIC FARMS S.A.C. "/>
        <s v="AMFRESH PERU AGRISIL S.R.L. "/>
        <s v="AGRICOLA COPACABANA DE CHINCHA S.A"/>
        <s v="AGROPECUARIA A.D.H. S.A.C. "/>
        <s v="AGRICOLA CARMEN LUISA S.A.C."/>
        <s v="AGRO TIERRA VID S.A.C."/>
        <s v="SUREXPORT PERU BERRIES S.A.C"/>
        <s v="POB S.A.C. "/>
        <s v="UVICA S.A.C."/>
        <s v="SOCIEDAD AGRICOLA DON LUIS S.A"/>
        <s v="AGROINDUSTRIA CAMPO VERDE S.A.C"/>
        <s v="INVERSIONES AJS S.A.C."/>
        <s v="LIFONCIO MEZA ANTONIO"/>
        <s v="AGRICOLA PAMPA VERDE S.A.C"/>
        <s v="CORPORACION AGRICOLA OLMOS S.A"/>
        <s v="CORPORACION ESAN E &amp; F SOCIEDAD ANONIMA CERRADA"/>
        <s v="GIDDINGS BERRIES PERU S.A.C."/>
        <s v="MALLQUI ROMERO VICTOR RAUL"/>
        <s v="_x0009_SOCIEDAD EXPORTADORA VERFRUT SOCIEDAD ANONIMA CERRADA"/>
        <s v="VALLE AZUL FARMS S.A.C."/>
        <s v="GRANDBERRY PERU S.A.C. "/>
        <s v="LUNA QUINTANILLA BRYAN ALEXANDER"/>
        <s v="MANUELITA FYH S.A.C. "/>
        <s v="I Q F DEL PERU SA"/>
        <s v="AGROEXPORTACIONES SANTA MARIA MAGDALENA E.I.R.L "/>
        <s v="AGROINDUSTRIAL P &amp; L S.A.C. "/>
        <s v="AGRICOLA ALAYA SOCIEDAD ANONIMA"/>
        <s v="AGROVISION PERU S.A.C. "/>
        <s v="SUR NATURAL S.A.C. "/>
        <s v="AGRICOLA CAMPO NOBLE S.A.C"/>
        <s v="VIVEROS EL TAMBO S.A.C."/>
        <s v="REITER PERUVIAN BERRY S.A."/>
        <s v="AGROINMOBILIARIA DEL NORTE S.A.C"/>
        <s v="DOLE PERU S.R.L. "/>
        <s v="PROCAN TECHSELL E.I.R.L."/>
      </sharedItems>
    </cacheField>
    <cacheField name="DOLARES" numFmtId="43">
      <sharedItems containsSemiMixedTypes="0" containsString="0" containsNumber="1" minValue="17" maxValue="24500"/>
    </cacheField>
    <cacheField name="CONCEPTO" numFmtId="0">
      <sharedItems/>
    </cacheField>
    <cacheField name="VENDEDOR" numFmtId="0">
      <sharedItems count="7">
        <s v="NICOLL NAVARRO"/>
        <s v="OSCAR INFANTE"/>
        <s v="OMAR ATALAYA"/>
        <s v="ANTONIO GONZALES"/>
        <s v="LISBETH AGUIRRE"/>
        <s v="PATRICIA VALLADARES"/>
        <s v="SUSAN DIA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x v="0"/>
    <s v="05/01/2026"/>
    <s v="05/04/2026"/>
    <s v="E001"/>
    <n v="897"/>
    <n v="20606133139"/>
    <x v="0"/>
    <n v="4200"/>
    <s v="300 LTS VECASIL FORTE"/>
    <x v="0"/>
  </r>
  <r>
    <x v="0"/>
    <s v="06/01/2026"/>
    <s v="06/04/2026"/>
    <s v="E001"/>
    <n v="901"/>
    <n v="20546512364"/>
    <x v="1"/>
    <n v="2484"/>
    <s v="180 LTS VECASIL FORTE"/>
    <x v="1"/>
  </r>
  <r>
    <x v="0"/>
    <s v="06/01/2026"/>
    <s v="06/04/2026"/>
    <s v="E001"/>
    <n v="902"/>
    <n v="20546512364"/>
    <x v="1"/>
    <n v="2208"/>
    <s v="160 LTS VECASIL FORTE"/>
    <x v="1"/>
  </r>
  <r>
    <x v="0"/>
    <s v="06/01/2026"/>
    <s v="06/04/2026"/>
    <s v="E001"/>
    <n v="903"/>
    <n v="20546512364"/>
    <x v="1"/>
    <n v="4416"/>
    <s v="320 LTS VECASIL FORTE"/>
    <x v="1"/>
  </r>
  <r>
    <x v="0"/>
    <s v="07/01/2026"/>
    <s v="21/02/2026"/>
    <s v="E001"/>
    <n v="904"/>
    <n v="20494738423"/>
    <x v="2"/>
    <n v="160"/>
    <s v="20 LTS ALGAP"/>
    <x v="0"/>
  </r>
  <r>
    <x v="0"/>
    <s v="13/01/2026"/>
    <s v="14/03/2026"/>
    <s v="E001"/>
    <n v="907"/>
    <n v="20100227542"/>
    <x v="3"/>
    <n v="3149"/>
    <s v="470 LTS AV PLUS MICRO MIX"/>
    <x v="1"/>
  </r>
  <r>
    <x v="0"/>
    <s v="13/01/2026"/>
    <s v="27/02/2026"/>
    <s v="E001"/>
    <n v="908"/>
    <n v="20566144434"/>
    <x v="4"/>
    <n v="760"/>
    <s v="20 LTS REGALIA MAX"/>
    <x v="0"/>
  </r>
  <r>
    <x v="0"/>
    <s v="13/01/2026"/>
    <s v="13/04/2026"/>
    <s v="E001"/>
    <n v="910"/>
    <n v="20109930751"/>
    <x v="5"/>
    <n v="3780"/>
    <s v="360 LTS VECASIL FORTE"/>
    <x v="2"/>
  </r>
  <r>
    <x v="0"/>
    <s v="15/01/2026"/>
    <s v="16/03/2026"/>
    <s v="E001"/>
    <n v="911"/>
    <n v="20612693804"/>
    <x v="6"/>
    <n v="1400"/>
    <s v="500 LTS VECA MAX FULVIC"/>
    <x v="0"/>
  </r>
  <r>
    <x v="0"/>
    <s v="19/01/2026"/>
    <s v="18/02/2026"/>
    <s v="E001"/>
    <n v="912"/>
    <n v="20494586810"/>
    <x v="7"/>
    <n v="186"/>
    <s v="31 TLS VECA MANGANESO"/>
    <x v="1"/>
  </r>
  <r>
    <x v="0"/>
    <s v="19/01/2026"/>
    <s v="18/02/2026"/>
    <s v="E001"/>
    <n v="913"/>
    <n v="20494586810"/>
    <x v="7"/>
    <n v="54"/>
    <s v="9 TLS VECA MANGANESO"/>
    <x v="1"/>
  </r>
  <r>
    <x v="0"/>
    <s v="20/01/2026"/>
    <s v="20/04/2026"/>
    <s v="E001"/>
    <n v="914"/>
    <n v="20606009284"/>
    <x v="8"/>
    <n v="24500"/>
    <s v="2450 LTS VECASIL FORTE"/>
    <x v="2"/>
  </r>
  <r>
    <x v="0"/>
    <s v="22/01/2026"/>
    <s v="22/04/2026"/>
    <s v="E001"/>
    <n v="916"/>
    <n v="20176770474"/>
    <x v="9"/>
    <n v="400"/>
    <s v="40 LTS ALGAP"/>
    <x v="0"/>
  </r>
  <r>
    <x v="0"/>
    <s v="23/01/2026"/>
    <s v="23/01/2026"/>
    <s v="E001"/>
    <n v="917"/>
    <n v="20607158763"/>
    <x v="10"/>
    <n v="600"/>
    <s v="75 LTS VECA AMIN"/>
    <x v="3"/>
  </r>
  <r>
    <x v="0"/>
    <s v="23/01/2026"/>
    <s v="23/04/2026"/>
    <s v="E001"/>
    <n v="918"/>
    <n v="20614560011"/>
    <x v="11"/>
    <n v="2624"/>
    <s v="142 LTS ALGAP, 53 LTS VECA ROOT MAX"/>
    <x v="1"/>
  </r>
  <r>
    <x v="0"/>
    <s v="26/01/2026"/>
    <s v="30/01/2026"/>
    <s v="E001"/>
    <n v="920"/>
    <n v="20367336081"/>
    <x v="12"/>
    <n v="80"/>
    <s v="2 LTS REGALIA MAX"/>
    <x v="1"/>
  </r>
  <r>
    <x v="0"/>
    <s v="26/01/2026"/>
    <s v="25/02/2026"/>
    <s v="E001"/>
    <n v="921"/>
    <n v="20480514212"/>
    <x v="13"/>
    <n v="1056"/>
    <s v="32 LTS REGALIA MAX"/>
    <x v="2"/>
  </r>
  <r>
    <x v="0"/>
    <s v="26/01/2026"/>
    <s v="25/02/2026"/>
    <s v="E001"/>
    <n v="922"/>
    <n v="20480514212"/>
    <x v="13"/>
    <n v="545"/>
    <s v="32 LTS SILFORTE, 45 AV PLUS POTASIO"/>
    <x v="2"/>
  </r>
  <r>
    <x v="0"/>
    <s v="30/01/2026"/>
    <s v="31/03/2026"/>
    <s v="E001"/>
    <n v="925"/>
    <n v="20452634873"/>
    <x v="14"/>
    <n v="1310.4000000000001"/>
    <s v="78 LTS VECASIL, 78 LTS VECA HUMIC ROOT"/>
    <x v="1"/>
  </r>
  <r>
    <x v="0"/>
    <s v="30/01/2026"/>
    <s v="30/01/2026"/>
    <s v="E001"/>
    <n v="926"/>
    <n v="20611762543"/>
    <x v="15"/>
    <n v="16320"/>
    <s v="480 LTS REGALIA MAX"/>
    <x v="1"/>
  </r>
  <r>
    <x v="1"/>
    <s v="02/02/2026"/>
    <s v="03/04/2026"/>
    <s v="E001"/>
    <n v="928"/>
    <n v="20612887234"/>
    <x v="16"/>
    <n v="4144"/>
    <s v="296 VECA ROOT MAX"/>
    <x v="0"/>
  </r>
  <r>
    <x v="1"/>
    <s v="02/02/2026"/>
    <s v="03/04/2026"/>
    <s v="E001"/>
    <n v="929"/>
    <n v="20612065668"/>
    <x v="17"/>
    <n v="3556"/>
    <s v="254 VECA ROOT MAX"/>
    <x v="0"/>
  </r>
  <r>
    <x v="1"/>
    <s v="03/02/2026"/>
    <s v="03/06/2026"/>
    <s v="E001"/>
    <n v="930"/>
    <n v="20600697511"/>
    <x v="18"/>
    <n v="1404"/>
    <s v="300 LTS VECA PLUS MAGNESIO"/>
    <x v="4"/>
  </r>
  <r>
    <x v="1"/>
    <s v="05/02/2026"/>
    <s v="06/05/2026"/>
    <s v="E001"/>
    <n v="934"/>
    <n v="20109930751"/>
    <x v="5"/>
    <n v="3150"/>
    <s v="300 LTS VECASIL FORTE"/>
    <x v="2"/>
  </r>
  <r>
    <x v="1"/>
    <s v="11/02/2026"/>
    <s v="12/05/2026"/>
    <s v="E001"/>
    <n v="936"/>
    <n v="20176770474"/>
    <x v="9"/>
    <n v="400"/>
    <s v="40 LTS ALGAP"/>
    <x v="4"/>
  </r>
  <r>
    <x v="1"/>
    <s v="12/02/2026"/>
    <s v="13/05/2026"/>
    <s v="E001"/>
    <n v="937"/>
    <n v="20600697511"/>
    <x v="18"/>
    <n v="1872"/>
    <s v="48 LTS REGALIA"/>
    <x v="4"/>
  </r>
  <r>
    <x v="1"/>
    <s v="12/02/2026"/>
    <s v="12/06/2026"/>
    <s v="E001"/>
    <n v="938"/>
    <n v="20325346435"/>
    <x v="19"/>
    <n v="4693"/>
    <s v="247 LTS CYTO PRIME"/>
    <x v="1"/>
  </r>
  <r>
    <x v="1"/>
    <s v="12/02/2026"/>
    <s v="13/04/2026"/>
    <s v="E001"/>
    <n v="939"/>
    <n v="20612065668"/>
    <x v="17"/>
    <n v="3640"/>
    <s v="260 LTS VECA ROOT MAX"/>
    <x v="1"/>
  </r>
  <r>
    <x v="1"/>
    <s v="12/02/2026"/>
    <s v="12/06/2026"/>
    <s v="E001"/>
    <n v="940"/>
    <n v="20502072006"/>
    <x v="20"/>
    <n v="437"/>
    <s v="23 LTS CYTO PRIME"/>
    <x v="1"/>
  </r>
  <r>
    <x v="1"/>
    <s v="12/02/2026"/>
    <s v="12/06/2026"/>
    <s v="E001"/>
    <n v="941"/>
    <n v="20608162926"/>
    <x v="21"/>
    <n v="304"/>
    <s v="16 LTS CYTO PRIME"/>
    <x v="1"/>
  </r>
  <r>
    <x v="1"/>
    <s v="13/02/2026"/>
    <s v="12/02/2026"/>
    <s v="E001"/>
    <n v="945"/>
    <n v="10707557686"/>
    <x v="22"/>
    <n v="17"/>
    <s v="2 LTS AV PLUS NUTRIMIX"/>
    <x v="4"/>
  </r>
  <r>
    <x v="1"/>
    <s v="18/02/2026"/>
    <d v="2026-04-19T00:00:00"/>
    <s v="E001"/>
    <n v="948"/>
    <n v="20452634873"/>
    <x v="14"/>
    <n v="1365"/>
    <s v="78 LTS VECASIL, 78 LTS VECA HUMIC ROOT"/>
    <x v="4"/>
  </r>
  <r>
    <x v="1"/>
    <s v="23/02/2026"/>
    <s v="23/06/2026"/>
    <s v="E001"/>
    <n v="952"/>
    <n v="20608162926"/>
    <x v="21"/>
    <n v="222"/>
    <s v="30 LTS VECA PLUS MANGNESIO"/>
    <x v="1"/>
  </r>
  <r>
    <x v="1"/>
    <s v="23/02/2026"/>
    <s v="23/06/2026"/>
    <s v="E001"/>
    <n v="953"/>
    <n v="20502072006"/>
    <x v="20"/>
    <n v="429.2"/>
    <s v="58 LTS VECA PLUS MANGNESIO"/>
    <x v="1"/>
  </r>
  <r>
    <x v="1"/>
    <s v="23/02/2026"/>
    <s v="23/06/2026"/>
    <s v="E001"/>
    <n v="954"/>
    <n v="20325346435"/>
    <x v="19"/>
    <n v="5557.4"/>
    <s v="751 LTS VECA PLUS MANGNESIO"/>
    <x v="1"/>
  </r>
  <r>
    <x v="1"/>
    <s v="24/02/2026"/>
    <s v="24/06/2026"/>
    <s v="E001"/>
    <n v="956"/>
    <n v="20509113573"/>
    <x v="23"/>
    <n v="1126.4000000000001"/>
    <s v="256 LTS VECA PLUS CALCIO"/>
    <x v="4"/>
  </r>
  <r>
    <x v="1"/>
    <s v="26/02/2026"/>
    <s v="28/03/2026"/>
    <s v="E001"/>
    <n v="957"/>
    <n v="20494586810"/>
    <x v="7"/>
    <n v="240"/>
    <s v="40 LTS VECA PLUS MANGANESO"/>
    <x v="1"/>
  </r>
  <r>
    <x v="1"/>
    <s v="26/02/2026"/>
    <s v="27/05/2026"/>
    <s v="E001"/>
    <n v="958"/>
    <n v="20614560011"/>
    <x v="11"/>
    <n v="665"/>
    <s v="95 LTS VECA AMIN"/>
    <x v="1"/>
  </r>
  <r>
    <x v="1"/>
    <s v="26/02/2026"/>
    <s v="27/05/2026"/>
    <s v="E001"/>
    <n v="960"/>
    <n v="20563196387"/>
    <x v="24"/>
    <n v="4958"/>
    <s v="134 LTS REGALIA MAX"/>
    <x v="2"/>
  </r>
  <r>
    <x v="2"/>
    <s v="02/03/2026"/>
    <s v="31/05/2026"/>
    <s v="E001"/>
    <n v="965"/>
    <n v="20608328409"/>
    <x v="25"/>
    <n v="5180"/>
    <s v="140 LTS REGALIA MAX"/>
    <x v="4"/>
  </r>
  <r>
    <x v="2"/>
    <s v="02/03/2026"/>
    <s v="31/05/2026"/>
    <s v="E001"/>
    <n v="966"/>
    <n v="20606009284"/>
    <x v="8"/>
    <n v="10000"/>
    <s v="1000 LTS VECASIL FORTE"/>
    <x v="2"/>
  </r>
  <r>
    <x v="2"/>
    <s v="03/03/2026"/>
    <s v="30/06/2026"/>
    <s v="E001"/>
    <n v="967"/>
    <n v="20600697511"/>
    <x v="18"/>
    <n v="936"/>
    <s v="200 LTS MAGNESIO"/>
    <x v="4"/>
  </r>
  <r>
    <x v="2"/>
    <s v="04/03/2026"/>
    <s v="02/04/2026"/>
    <s v="E001"/>
    <n v="968"/>
    <n v="20565586247"/>
    <x v="26"/>
    <n v="1232"/>
    <s v="88 lts ALGAP 30"/>
    <x v="1"/>
  </r>
  <r>
    <x v="2"/>
    <s v="04/03/2026"/>
    <s v="02/06/2026"/>
    <s v="E001"/>
    <n v="969"/>
    <n v="20600697511"/>
    <x v="18"/>
    <n v="2340"/>
    <s v="60 TLS REGALIA MAXX"/>
    <x v="4"/>
  </r>
  <r>
    <x v="2"/>
    <s v="04/03/2026"/>
    <s v="02/06/2026"/>
    <s v="E001"/>
    <n v="970"/>
    <n v="20608328409"/>
    <x v="25"/>
    <n v="8917"/>
    <s v="241 TLS REGALIA MAXX"/>
    <x v="4"/>
  </r>
  <r>
    <x v="2"/>
    <s v="04/03/2026"/>
    <s v="07/03/2026"/>
    <s v="E001"/>
    <n v="971"/>
    <n v="10237050008"/>
    <x v="27"/>
    <n v="320"/>
    <s v="20 TLS ALGAP 30, 20 LTS AMIN SUGAR"/>
    <x v="1"/>
  </r>
  <r>
    <x v="2"/>
    <s v="05/03/2026"/>
    <s v="04/04/2026"/>
    <s v="E001"/>
    <n v="972"/>
    <n v="20601438586"/>
    <x v="28"/>
    <n v="200"/>
    <s v="20 lts VECASIL FORTE"/>
    <x v="5"/>
  </r>
  <r>
    <x v="2"/>
    <s v="09/03/2026"/>
    <s v="09/03/2026"/>
    <s v="E001"/>
    <n v="975"/>
    <n v="20613808893"/>
    <x v="29"/>
    <n v="96"/>
    <s v="6 LTS AV SILFORTE"/>
    <x v="3"/>
  </r>
  <r>
    <x v="2"/>
    <s v="10/03/2026"/>
    <s v="08/06/2026"/>
    <s v="E001"/>
    <n v="976"/>
    <n v="20606009284"/>
    <x v="8"/>
    <n v="10000"/>
    <s v="1000 LTS VECASIL FORTE"/>
    <x v="2"/>
  </r>
  <r>
    <x v="2"/>
    <s v="12/03/2026"/>
    <s v="11/05/2026"/>
    <s v="E001"/>
    <n v="977"/>
    <n v="20452634873"/>
    <x v="14"/>
    <n v="2646"/>
    <s v="156 LTS VECA HUMIC ROOT, 150 LTS VECASIL FORTE"/>
    <x v="4"/>
  </r>
  <r>
    <x v="2"/>
    <s v="13/03/2026"/>
    <s v="12/04/2026"/>
    <s v="E001"/>
    <n v="978"/>
    <n v="20602691439"/>
    <x v="30"/>
    <n v="3840"/>
    <s v="96 LTS REGALIA"/>
    <x v="1"/>
  </r>
  <r>
    <x v="2"/>
    <s v="18/03/2026"/>
    <s v="16/06/2026"/>
    <s v="E001"/>
    <n v="979"/>
    <n v="20606133139"/>
    <x v="0"/>
    <n v="6132"/>
    <s v="438 LTS AV SILIFORTE"/>
    <x v="4"/>
  </r>
  <r>
    <x v="2"/>
    <s v="18/03/2026"/>
    <s v="16/06/2026"/>
    <s v="E001"/>
    <n v="981"/>
    <n v="10724616572"/>
    <x v="31"/>
    <n v="522"/>
    <s v="36 LTS HUMIC ROOT, 24 LTS VECA POTASIO, 36 LTS VECA FULVIC, 24 LTS CALCIO BORO"/>
    <x v="1"/>
  </r>
  <r>
    <x v="2"/>
    <s v="19/03/2026"/>
    <s v="18/05/2026"/>
    <s v="E001"/>
    <n v="982"/>
    <n v="20452634873"/>
    <x v="14"/>
    <n v="280"/>
    <s v="80 LTS VECA HUMIC ROOT"/>
    <x v="4"/>
  </r>
  <r>
    <x v="2"/>
    <s v="20/03/2026"/>
    <s v="19/04/2026"/>
    <s v="E001"/>
    <n v="983"/>
    <n v="20411051782"/>
    <x v="32"/>
    <n v="3150"/>
    <s v="420 VECA ZINC"/>
    <x v="1"/>
  </r>
  <r>
    <x v="2"/>
    <s v="20/03/2026"/>
    <s v="19/05/2026"/>
    <s v="E001"/>
    <n v="984"/>
    <n v="20601438586"/>
    <x v="28"/>
    <n v="400"/>
    <s v="40 LTS VECASIL FORTE"/>
    <x v="5"/>
  </r>
  <r>
    <x v="2"/>
    <s v="23/03/2026"/>
    <s v="27/07/2026"/>
    <s v="E001"/>
    <n v="985"/>
    <n v="20325346435"/>
    <x v="19"/>
    <n v="5477.5"/>
    <s v="626 LTS VECA MOVE"/>
    <x v="1"/>
  </r>
  <r>
    <x v="2"/>
    <s v="23/03/2026"/>
    <s v="27/07/2026"/>
    <s v="E001"/>
    <n v="986"/>
    <n v="20608162926"/>
    <x v="21"/>
    <n v="280"/>
    <s v="32 ÑTS VECA MOVE"/>
    <x v="1"/>
  </r>
  <r>
    <x v="2"/>
    <d v="2026-03-26T00:00:00"/>
    <s v="25/05/2026"/>
    <s v="E001"/>
    <n v="989"/>
    <n v="20452634873"/>
    <x v="14"/>
    <n v="250"/>
    <s v="50 LTS VECA PLUS BORO"/>
    <x v="4"/>
  </r>
  <r>
    <x v="2"/>
    <s v="27/03/2026"/>
    <s v="25/06/2026"/>
    <s v="E001"/>
    <n v="990"/>
    <n v="20100032709"/>
    <x v="33"/>
    <n v="4200"/>
    <s v="300 LTS VECA ROOT MAX"/>
    <x v="1"/>
  </r>
  <r>
    <x v="2"/>
    <s v="27/03/2026"/>
    <s v="25/06/2026"/>
    <s v="E001"/>
    <n v="991"/>
    <n v="20100032709"/>
    <x v="33"/>
    <n v="7920"/>
    <s v="600 LTS VECASIL FORTE"/>
    <x v="1"/>
  </r>
  <r>
    <x v="2"/>
    <d v="2026-03-30T00:00:00"/>
    <s v="28/06/2026"/>
    <s v="E001"/>
    <n v="992"/>
    <n v="20176770474"/>
    <x v="9"/>
    <n v="2000"/>
    <s v="200 LTS ALGAP"/>
    <x v="4"/>
  </r>
  <r>
    <x v="2"/>
    <d v="2026-03-31T00:00:00"/>
    <s v="29/06/2026"/>
    <s v="E001"/>
    <n v="993"/>
    <n v="20614560011"/>
    <x v="11"/>
    <n v="11248"/>
    <s v="200 LTS ALGAP, 144 LTS VECA AMIN,  620 VECA ROOT MAX"/>
    <x v="1"/>
  </r>
  <r>
    <x v="2"/>
    <d v="2026-03-31T00:00:00"/>
    <s v="30/05/2026"/>
    <s v="E001"/>
    <n v="998"/>
    <n v="20601438586"/>
    <x v="28"/>
    <n v="400"/>
    <s v="40 LTS VECASIL FORTE"/>
    <x v="5"/>
  </r>
  <r>
    <x v="3"/>
    <s v="06/04/2026"/>
    <s v="05/07/2026"/>
    <s v="E001"/>
    <n v="1001"/>
    <n v="20100032709"/>
    <x v="33"/>
    <n v="8100"/>
    <s v="600 LTS VECA ROOT MAX"/>
    <x v="1"/>
  </r>
  <r>
    <x v="3"/>
    <s v="07/04/2026"/>
    <s v="05/08/2026"/>
    <s v="E001"/>
    <n v="1003"/>
    <n v="20600697511"/>
    <x v="18"/>
    <n v="936"/>
    <s v="200 LTS VECA MAGNESIO"/>
    <x v="4"/>
  </r>
  <r>
    <x v="3"/>
    <s v="07/04/2026"/>
    <s v="05/08/2026"/>
    <s v="E001"/>
    <n v="1004"/>
    <n v="20600697511"/>
    <x v="18"/>
    <n v="936"/>
    <s v="200 LTS VECA MAGNESIO"/>
    <x v="4"/>
  </r>
  <r>
    <x v="3"/>
    <s v="07/04/2026"/>
    <s v="06/07/2026"/>
    <s v="E001"/>
    <n v="1005"/>
    <n v="20100032709"/>
    <x v="33"/>
    <n v="5737.5"/>
    <s v="425 LTS VECA ROOT MAX"/>
    <x v="1"/>
  </r>
  <r>
    <x v="3"/>
    <s v="08/04/2026"/>
    <s v="07/06/2026"/>
    <s v="E001"/>
    <n v="1006"/>
    <n v="20452634873"/>
    <x v="14"/>
    <n v="300"/>
    <s v="60 lts AV PLUS BORO"/>
    <x v="4"/>
  </r>
  <r>
    <x v="3"/>
    <s v="09/04/2026"/>
    <s v="08/07/2026"/>
    <s v="E001"/>
    <n v="1008"/>
    <n v="20100032709"/>
    <x v="33"/>
    <n v="8712"/>
    <s v="660 LTS VECASIL FORTE"/>
    <x v="1"/>
  </r>
  <r>
    <x v="3"/>
    <s v="15/04/2026"/>
    <s v="13/08/2026"/>
    <s v="E001"/>
    <n v="1009"/>
    <n v="20600697511"/>
    <x v="18"/>
    <n v="2800"/>
    <s v="200 LTS AV ROOT MAX"/>
    <x v="4"/>
  </r>
  <r>
    <x v="3"/>
    <s v="16/04/2026"/>
    <s v="15/06/2026"/>
    <s v="E001"/>
    <n v="1011"/>
    <n v="20452634873"/>
    <x v="14"/>
    <n v="300"/>
    <s v="60 LTS AV PLUS BORO"/>
    <x v="4"/>
  </r>
  <r>
    <x v="3"/>
    <s v="22/04/2026"/>
    <s v="22/05/2026"/>
    <s v="E001"/>
    <n v="1013"/>
    <n v="20606000937"/>
    <x v="34"/>
    <n v="200"/>
    <s v="20 LTS AV AMIN SUGAR"/>
    <x v="5"/>
  </r>
  <r>
    <x v="3"/>
    <s v="22/04/2026"/>
    <s v="21/06/2026"/>
    <s v="E001"/>
    <n v="1015"/>
    <n v="20452634873"/>
    <x v="14"/>
    <n v="300"/>
    <s v="60 LTS AV PLUS BORO"/>
    <x v="4"/>
  </r>
  <r>
    <x v="3"/>
    <s v="23/04/2026"/>
    <s v="23/04/2026"/>
    <s v="E001"/>
    <n v="1019"/>
    <n v="20612865320"/>
    <x v="35"/>
    <n v="33"/>
    <s v="2 LTS AV AMIN SUGAR, 2 LTS AV PLUS MACRO FRUIT"/>
    <x v="4"/>
  </r>
  <r>
    <x v="3"/>
    <s v="27/04/2026"/>
    <s v="25/08/2026"/>
    <s v="E001"/>
    <n v="1020"/>
    <n v="20600750276"/>
    <x v="36"/>
    <n v="6300"/>
    <s v="420 AV BIOSOLARIS"/>
    <x v="6"/>
  </r>
  <r>
    <x v="3"/>
    <s v="27/04/2026"/>
    <d v="2026-10-24T00:00:00"/>
    <s v="E001"/>
    <n v="1022"/>
    <n v="20554556192"/>
    <x v="37"/>
    <n v="6600"/>
    <s v="220 LTS REGALIA MAX"/>
    <x v="2"/>
  </r>
  <r>
    <x v="3"/>
    <s v="27/04/2026"/>
    <s v="27/04/2026"/>
    <s v="E001"/>
    <n v="1023"/>
    <n v="20609962331"/>
    <x v="38"/>
    <n v="480"/>
    <s v="40 LTS AV ROOT MAX"/>
    <x v="1"/>
  </r>
  <r>
    <x v="3"/>
    <s v="28/04/2026"/>
    <s v="27/07/2026"/>
    <s v="E001"/>
    <n v="1025"/>
    <n v="20176770474"/>
    <x v="9"/>
    <n v="2000"/>
    <s v="200 LTS ALGAP 30"/>
    <x v="4"/>
  </r>
  <r>
    <x v="3"/>
    <s v="28/04/2026"/>
    <s v="26/08/2026"/>
    <s v="E001"/>
    <n v="1026"/>
    <n v="20600697511"/>
    <x v="18"/>
    <n v="936"/>
    <s v="200 LTS AV MAGNESIO"/>
    <x v="4"/>
  </r>
  <r>
    <x v="3"/>
    <s v="28/04/2026"/>
    <s v="26/08/2026"/>
    <s v="E001"/>
    <n v="1027"/>
    <n v="20600697511"/>
    <x v="18"/>
    <n v="3736"/>
    <s v="200 LTS AV MAGNESIO / 200 ÑTS AV ROOT MAX"/>
    <x v="4"/>
  </r>
  <r>
    <x v="3"/>
    <s v="28/04/2026"/>
    <s v="26/08/2026"/>
    <s v="E001"/>
    <n v="1028"/>
    <n v="20600697511"/>
    <x v="18"/>
    <n v="1170"/>
    <s v="30 LTS REGALIA MAX"/>
    <x v="4"/>
  </r>
  <r>
    <x v="3"/>
    <s v="29/04/2026"/>
    <s v="10/08/2026"/>
    <s v="E001"/>
    <n v="1031"/>
    <n v="20100032709"/>
    <x v="33"/>
    <n v="13857.5"/>
    <s v="1020 LTS VECA ROOT MAX, 5 LT VECA ROOT MAX"/>
    <x v="1"/>
  </r>
  <r>
    <x v="4"/>
    <s v="04/05/2026"/>
    <s v="01/09/2026"/>
    <s v="E001"/>
    <n v="1035"/>
    <n v="20600720679"/>
    <x v="39"/>
    <n v="2600"/>
    <s v="200 LTS BIOSOLARIS"/>
    <x v="6"/>
  </r>
  <r>
    <x v="4"/>
    <s v="05/05/2026"/>
    <s v="04/06/2026"/>
    <s v="E001"/>
    <n v="1038"/>
    <n v="20530296637"/>
    <x v="40"/>
    <n v="600"/>
    <s v="80 LTS AV PLUS HIERRO"/>
    <x v="5"/>
  </r>
  <r>
    <x v="4"/>
    <s v="05/05/2026"/>
    <s v="04/07/2026"/>
    <s v="E001"/>
    <n v="1039"/>
    <n v="20610390341"/>
    <x v="41"/>
    <n v="7725"/>
    <s v="206 LTS REGALIA MAXX"/>
    <x v="4"/>
  </r>
  <r>
    <x v="4"/>
    <s v="05/05/2026"/>
    <s v="03/08/2026"/>
    <s v="E001"/>
    <n v="1040"/>
    <n v="20100032709"/>
    <x v="33"/>
    <n v="7920"/>
    <s v="600 LTS VECASIL FORTE"/>
    <x v="1"/>
  </r>
  <r>
    <x v="4"/>
    <s v="05/05/2026"/>
    <s v="03/08/2026"/>
    <s v="E001"/>
    <n v="1041"/>
    <n v="20614560011"/>
    <x v="11"/>
    <n v="5376"/>
    <s v="448 LTS VECA ROOT MAX"/>
    <x v="1"/>
  </r>
  <r>
    <x v="4"/>
    <s v="05/05/2026"/>
    <s v="03/08/2026"/>
    <s v="E001"/>
    <n v="1042"/>
    <n v="20606133139"/>
    <x v="0"/>
    <n v="19800"/>
    <s v="600 LTS REGALIA MAXX"/>
    <x v="4"/>
  </r>
  <r>
    <x v="4"/>
    <s v="07/05/2026"/>
    <s v="04/09/2026"/>
    <s v="E001"/>
    <n v="1043"/>
    <n v="20600697511"/>
    <x v="18"/>
    <n v="1170"/>
    <s v="30 LTS REGALIA MAX"/>
    <x v="4"/>
  </r>
  <r>
    <x v="4"/>
    <s v="11/05/2026"/>
    <s v="08/09/2026"/>
    <s v="E001"/>
    <n v="1044"/>
    <n v="20606133139"/>
    <x v="0"/>
    <n v="19800"/>
    <s v="600 LTS REGALIA MAXX"/>
    <x v="4"/>
  </r>
  <r>
    <x v="4"/>
    <s v="14/05/2026"/>
    <s v="12/08/2026"/>
    <s v="E001"/>
    <n v="1048"/>
    <n v="20100032709"/>
    <x v="33"/>
    <n v="8712"/>
    <s v="600 LTS VECASIL FORTE (BIDON 20 L) LOTE PE L2 24"/>
    <x v="1"/>
  </r>
  <r>
    <x v="4"/>
    <s v="14/05/2026"/>
    <s v="12/08/2026"/>
    <s v="E001"/>
    <n v="1049"/>
    <n v="20100032709"/>
    <x v="33"/>
    <n v="320"/>
    <s v="40 LTS AV AMIN"/>
    <x v="1"/>
  </r>
  <r>
    <x v="4"/>
    <s v="18/05/2026"/>
    <s v="17/06/2026"/>
    <s v="E001"/>
    <n v="1053"/>
    <n v="20601438586"/>
    <x v="28"/>
    <n v="800"/>
    <s v="80 LTS AV SILFORTE"/>
    <x v="5"/>
  </r>
  <r>
    <x v="4"/>
    <s v="22/05/2026"/>
    <s v="19/09/2026"/>
    <s v="E001"/>
    <n v="1058"/>
    <n v="20600697511"/>
    <x v="18"/>
    <n v="936"/>
    <s v="200 LTS AV MAGNESIO"/>
    <x v="4"/>
  </r>
  <r>
    <x v="4"/>
    <s v="26/05/2026"/>
    <d v="2026-08-24T00:00:00"/>
    <s v="E001"/>
    <n v="1062"/>
    <n v="20109930751"/>
    <x v="5"/>
    <n v="8400"/>
    <s v="800 AV SILFORTE "/>
    <x v="2"/>
  </r>
  <r>
    <x v="5"/>
    <d v="2026-06-01T00:00:00"/>
    <d v="2026-09-29T00:00:00"/>
    <s v="E001"/>
    <n v="1075"/>
    <n v="20600720679"/>
    <x v="39"/>
    <n v="2860"/>
    <s v="220 LTS AV BIOSOLARIS"/>
    <x v="6"/>
  </r>
  <r>
    <x v="5"/>
    <d v="2026-06-01T00:00:00"/>
    <d v="2026-09-29T00:00:00"/>
    <s v="E001"/>
    <n v="1074"/>
    <n v="20600750276"/>
    <x v="36"/>
    <n v="5200"/>
    <s v="400 LTS AV BIOSOLARIS"/>
    <x v="6"/>
  </r>
  <r>
    <x v="5"/>
    <d v="2026-06-01T00:00:00"/>
    <d v="2026-08-30T00:00:00"/>
    <s v="E001"/>
    <n v="1076"/>
    <n v="20601438586"/>
    <x v="28"/>
    <n v="2400"/>
    <s v="240 AV SILFORTE"/>
    <x v="5"/>
  </r>
  <r>
    <x v="5"/>
    <d v="2026-06-01T00:00:00"/>
    <d v="2026-08-30T00:00:00"/>
    <s v="E001"/>
    <n v="1077"/>
    <n v="20608328409"/>
    <x v="25"/>
    <n v="6068"/>
    <s v="164 LTS REGALIA MAXX"/>
    <x v="4"/>
  </r>
  <r>
    <x v="5"/>
    <s v="03/06/2026"/>
    <s v="01/10/2026"/>
    <s v="E001"/>
    <n v="1078"/>
    <n v="20600697511"/>
    <x v="18"/>
    <n v="936"/>
    <s v="200 LTS AV PLUS MAGNESIO (CILINDRO 200 L)LOTE: PE L3 25"/>
    <x v="4"/>
  </r>
  <r>
    <x v="5"/>
    <d v="2026-06-05T00:00:00"/>
    <s v="03/10/2026"/>
    <s v="E001"/>
    <n v="1079"/>
    <n v="20600720679"/>
    <x v="39"/>
    <n v="26"/>
    <s v="2 LTS AV BIOSOLARIS BOTELLA1LT"/>
    <x v="6"/>
  </r>
  <r>
    <x v="5"/>
    <d v="2026-06-05T00:00:00"/>
    <s v="03/10/2026"/>
    <s v="E001"/>
    <n v="1080"/>
    <n v="20600720679"/>
    <x v="39"/>
    <n v="234"/>
    <s v="18 LTS AV BIOSOLARIS BOTELLA1LT"/>
    <x v="6"/>
  </r>
  <r>
    <x v="5"/>
    <s v="11/06/2026"/>
    <d v="2026-10-09T00:00:00"/>
    <s v="E001"/>
    <n v="1084"/>
    <n v="20600697511"/>
    <x v="18"/>
    <n v="850"/>
    <s v="100 LTS AV PLUS MICRO MIX"/>
    <x v="4"/>
  </r>
  <r>
    <x v="5"/>
    <s v="11/06/2026"/>
    <s v="11/07/2026"/>
    <s v="E001"/>
    <n v="1085"/>
    <n v="20611897023"/>
    <x v="42"/>
    <n v="240"/>
    <s v="20 LTS AV SILFORTE"/>
    <x v="5"/>
  </r>
  <r>
    <x v="5"/>
    <s v="15/06/2026"/>
    <s v="13/09/2026"/>
    <s v="E001"/>
    <n v="1089"/>
    <n v="20601438586"/>
    <x v="28"/>
    <n v="2800"/>
    <s v="280 LTS AV SILFORTE"/>
    <x v="5"/>
  </r>
  <r>
    <x v="5"/>
    <s v="19/06/2026"/>
    <d v="2026-12-16T00:00:00"/>
    <s v="E001"/>
    <n v="1092"/>
    <n v="20554556192"/>
    <x v="37"/>
    <n v="12600"/>
    <s v="420 LTS REGALIA MAX"/>
    <x v="2"/>
  </r>
  <r>
    <x v="5"/>
    <s v="22/06/2026"/>
    <s v="20/09/2026"/>
    <s v="E001"/>
    <n v="1094"/>
    <n v="20176770474"/>
    <x v="9"/>
    <n v="2200"/>
    <s v="200 LTS AV SILFORTE"/>
    <x v="4"/>
  </r>
  <r>
    <x v="5"/>
    <d v="2026-06-25T00:00:00"/>
    <d v="2026-08-24T00:00:00"/>
    <s v="E001"/>
    <n v="1099"/>
    <n v="20452634873"/>
    <x v="14"/>
    <n v="1350"/>
    <s v="100 LTS  AV SILFORTE"/>
    <x v="4"/>
  </r>
  <r>
    <x v="5"/>
    <s v="30/06/2026"/>
    <s v="28/09/2026"/>
    <s v="E001"/>
    <n v="1101"/>
    <n v="20601438586"/>
    <x v="28"/>
    <n v="1600"/>
    <s v="160 LTS AV SILFORTE"/>
    <x v="5"/>
  </r>
  <r>
    <x v="5"/>
    <s v="30/06/2026"/>
    <d v="2026-08-29T00:00:00"/>
    <s v="E001"/>
    <n v="1102"/>
    <n v="20612065668"/>
    <x v="17"/>
    <n v="3120"/>
    <s v="260 LTS AV SILFORTE"/>
    <x v="3"/>
  </r>
  <r>
    <x v="5"/>
    <s v="30/06/2026"/>
    <d v="2026-08-29T00:00:00"/>
    <s v="E001"/>
    <n v="1103"/>
    <n v="20612887234"/>
    <x v="16"/>
    <n v="3600"/>
    <s v="300 LTS AV SILFORTE"/>
    <x v="3"/>
  </r>
  <r>
    <x v="6"/>
    <s v="06/07/2026"/>
    <d v="2026-07-21T00:00:00"/>
    <s v="E001"/>
    <n v="1108"/>
    <n v="20602431178"/>
    <x v="43"/>
    <n v="8720"/>
    <s v="1090 LTS AV SILFORTE"/>
    <x v="5"/>
  </r>
  <r>
    <x v="6"/>
    <s v="06/07/2026"/>
    <s v="04/10/2026"/>
    <s v="E001"/>
    <n v="1109"/>
    <n v="20601438586"/>
    <x v="28"/>
    <n v="200"/>
    <s v="20 LTS AV SILFORTE"/>
    <x v="5"/>
  </r>
  <r>
    <x v="6"/>
    <s v="08/07/2026"/>
    <s v="08/07/2026"/>
    <s v="E001"/>
    <n v="1112"/>
    <n v="20611762543"/>
    <x v="15"/>
    <n v="8145.6350836022302"/>
    <s v="240 LTS REGALIA MAXX"/>
    <x v="3"/>
  </r>
  <r>
    <x v="6"/>
    <s v="13/07/2026"/>
    <s v="11/10/2026"/>
    <s v="E001"/>
    <n v="1114"/>
    <n v="20601438586"/>
    <x v="28"/>
    <n v="400"/>
    <s v="40 LTS AV SILFORTE"/>
    <x v="5"/>
  </r>
  <r>
    <x v="6"/>
    <s v="13/07/2026"/>
    <d v="2026-08-12T00:00:00"/>
    <s v="E001"/>
    <n v="1115"/>
    <n v="20530296637"/>
    <x v="40"/>
    <n v="1400"/>
    <s v="140 LTS ALGAP 30"/>
    <x v="5"/>
  </r>
  <r>
    <x v="6"/>
    <s v="13/07/2026"/>
    <d v="2026-11-10T00:00:00"/>
    <s v="E001"/>
    <n v="1117"/>
    <n v="20608162926"/>
    <x v="21"/>
    <n v="1040"/>
    <s v="26 LTS REGALIA MAX"/>
    <x v="1"/>
  </r>
  <r>
    <x v="6"/>
    <s v="13/07/2026"/>
    <d v="2026-11-10T00:00:00"/>
    <s v="E001"/>
    <n v="1118"/>
    <n v="20502072006"/>
    <x v="20"/>
    <n v="800"/>
    <s v="20 LTS REGALIA MAX"/>
    <x v="1"/>
  </r>
  <r>
    <x v="6"/>
    <s v="13/07/2026"/>
    <d v="2026-11-10T00:00:00"/>
    <s v="E001"/>
    <n v="1119"/>
    <n v="20325346435"/>
    <x v="19"/>
    <n v="4000"/>
    <s v="100 LTS REGALIA"/>
    <x v="1"/>
  </r>
  <r>
    <x v="6"/>
    <s v="14/07/2026"/>
    <d v="2026-09-12T00:00:00"/>
    <s v="E001"/>
    <n v="1121"/>
    <n v="20452634873"/>
    <x v="14"/>
    <n v="1350"/>
    <s v="100 LTS AV SILFORTE"/>
    <x v="4"/>
  </r>
  <r>
    <x v="6"/>
    <d v="2026-07-15T00:00:00"/>
    <d v="2026-11-12T00:00:00"/>
    <s v="E001"/>
    <n v="1122"/>
    <n v="20600697511"/>
    <x v="18"/>
    <n v="187.2"/>
    <s v="40 LTS AV PLUS MAGNESIO"/>
    <x v="4"/>
  </r>
  <r>
    <x v="6"/>
    <d v="2026-07-15T00:00:00"/>
    <d v="2026-11-12T00:00:00"/>
    <s v="E001"/>
    <n v="1123"/>
    <n v="20600697511"/>
    <x v="18"/>
    <n v="936"/>
    <s v="24 LTS REGALIA MAXX"/>
    <x v="4"/>
  </r>
  <r>
    <x v="6"/>
    <d v="2026-07-20T00:00:00"/>
    <d v="2026-09-18T00:00:00"/>
    <s v="E001"/>
    <n v="1132"/>
    <n v="20452634873"/>
    <x v="14"/>
    <n v="2025"/>
    <s v="150 LTS AV SILFORTE"/>
    <x v="4"/>
  </r>
  <r>
    <x v="6"/>
    <d v="2026-07-20T00:00:00"/>
    <d v="2026-07-20T00:00:00"/>
    <s v="E001"/>
    <n v="1133"/>
    <n v="20610679987"/>
    <x v="44"/>
    <n v="240"/>
    <s v="20 LTS AV SILFORTE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701AB-0CDF-4793-9E42-2A6D99D2A5B2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11:J20" firstHeaderRow="1" firstDataRow="2" firstDataCol="1" rowPageCount="1" colPageCount="1"/>
  <pivotFields count="10"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6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39"/>
        <item x="42"/>
        <item x="43"/>
        <item x="44"/>
        <item t="default"/>
      </items>
    </pivotField>
    <pivotField dataField="1" compact="0" numFmtId="43" outline="0" showAll="0"/>
    <pivotField compact="0" outline="0" showAll="0"/>
    <pivotField axis="axisRow" compact="0" outline="0" showAll="0">
      <items count="8">
        <item x="1"/>
        <item x="0"/>
        <item x="2"/>
        <item x="3"/>
        <item x="4"/>
        <item x="5"/>
        <item x="6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hier="-1"/>
  </pageFields>
  <dataFields count="1">
    <dataField name="Suma de DOLARES" fld="7" baseField="0" baseItem="0" numFmtId="43"/>
  </dataFields>
  <formats count="2">
    <format dxfId="1">
      <pivotArea outline="0" fieldPosition="0">
        <references count="1">
          <reference field="9" count="0" selected="0"/>
        </references>
      </pivotArea>
    </format>
    <format dxfId="0">
      <pivotArea dataOnly="0" labelOnly="1" outline="0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ED5AA-5B2E-46F8-B491-ADB15B809313}" name="TablaDiná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28:J75" firstHeaderRow="1" firstDataRow="2" firstDataCol="1" rowPageCount="1" colPageCount="1"/>
  <pivotFields count="10"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6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8"/>
        <item x="35"/>
        <item x="36"/>
        <item x="37"/>
        <item x="40"/>
        <item x="41"/>
        <item x="39"/>
        <item x="42"/>
        <item x="43"/>
        <item x="44"/>
        <item t="default"/>
      </items>
    </pivotField>
    <pivotField dataField="1" compact="0" numFmtId="43" outline="0" showAll="0"/>
    <pivotField compact="0" outline="0" showAll="0"/>
    <pivotField axis="axisPage" compact="0" outline="0" multipleItemSelectionAllowed="1" showAll="0">
      <items count="8">
        <item x="1"/>
        <item x="0"/>
        <item x="2"/>
        <item x="3"/>
        <item x="4"/>
        <item x="5"/>
        <item x="6"/>
        <item t="default"/>
      </items>
    </pivotField>
  </pivotFields>
  <rowFields count="1">
    <field x="6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9" hier="-1"/>
  </pageFields>
  <dataFields count="1">
    <dataField name="Suma de DOLARES" fld="7" baseField="0" baseItem="0" numFmtId="43"/>
  </dataFields>
  <formats count="2">
    <format dxfId="3">
      <pivotArea outline="0" fieldPosition="0">
        <references count="1">
          <reference field="6" count="0" selected="0"/>
        </references>
      </pivotArea>
    </format>
    <format dxfId="2">
      <pivotArea dataOnly="0" labelOnly="1" outline="0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A210-D02D-4611-8803-ACB98A77FC14}">
  <dimension ref="A1:L81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4" sqref="B4"/>
    </sheetView>
  </sheetViews>
  <sheetFormatPr baseColWidth="10" defaultRowHeight="14.4" x14ac:dyDescent="0.3"/>
  <cols>
    <col min="1" max="1" width="5.21875" style="15" customWidth="1"/>
    <col min="2" max="2" width="60.44140625" style="15" bestFit="1" customWidth="1"/>
    <col min="3" max="9" width="17.5546875" style="15" bestFit="1" customWidth="1"/>
    <col min="10" max="10" width="12.44140625" style="15" bestFit="1" customWidth="1"/>
    <col min="11" max="13" width="20.44140625" style="15" bestFit="1" customWidth="1"/>
    <col min="14" max="14" width="12.44140625" style="15" bestFit="1" customWidth="1"/>
    <col min="15" max="16384" width="11.5546875" style="15"/>
  </cols>
  <sheetData>
    <row r="1" spans="1:10" ht="4.8" customHeight="1" x14ac:dyDescent="0.3"/>
    <row r="2" spans="1:10" ht="15.6" x14ac:dyDescent="0.3">
      <c r="B2" s="2" t="s">
        <v>0</v>
      </c>
    </row>
    <row r="3" spans="1:10" x14ac:dyDescent="0.3">
      <c r="B3" s="20" t="s">
        <v>13</v>
      </c>
    </row>
    <row r="4" spans="1:10" x14ac:dyDescent="0.3">
      <c r="B4" s="20" t="s">
        <v>23</v>
      </c>
    </row>
    <row r="5" spans="1:10" ht="9" customHeight="1" x14ac:dyDescent="0.3">
      <c r="B5" s="4"/>
    </row>
    <row r="6" spans="1:10" ht="9" customHeight="1" x14ac:dyDescent="0.3">
      <c r="B6" s="4"/>
    </row>
    <row r="7" spans="1:10" x14ac:dyDescent="0.3">
      <c r="A7" s="21">
        <v>2</v>
      </c>
      <c r="B7" s="21" t="s">
        <v>19</v>
      </c>
    </row>
    <row r="8" spans="1:10" ht="4.2" customHeight="1" x14ac:dyDescent="0.3">
      <c r="A8" s="21"/>
      <c r="B8" s="21"/>
    </row>
    <row r="9" spans="1:10" x14ac:dyDescent="0.3">
      <c r="A9" s="21"/>
      <c r="B9" s="13" t="s">
        <v>2</v>
      </c>
      <c r="C9" t="s">
        <v>20</v>
      </c>
    </row>
    <row r="11" spans="1:10" x14ac:dyDescent="0.3">
      <c r="B11" s="13" t="s">
        <v>15</v>
      </c>
      <c r="C11" s="13" t="s">
        <v>8</v>
      </c>
      <c r="D11"/>
      <c r="E11"/>
      <c r="F11"/>
      <c r="G11"/>
      <c r="H11"/>
      <c r="I11"/>
      <c r="J11"/>
    </row>
    <row r="12" spans="1:10" x14ac:dyDescent="0.3">
      <c r="B12" s="13" t="s">
        <v>16</v>
      </c>
      <c r="C12" t="s">
        <v>24</v>
      </c>
      <c r="D12" t="s">
        <v>85</v>
      </c>
      <c r="E12" t="s">
        <v>131</v>
      </c>
      <c r="F12" t="s">
        <v>196</v>
      </c>
      <c r="G12" t="s">
        <v>240</v>
      </c>
      <c r="H12" t="s">
        <v>270</v>
      </c>
      <c r="I12" t="s">
        <v>298</v>
      </c>
      <c r="J12" t="s">
        <v>14</v>
      </c>
    </row>
    <row r="13" spans="1:10" x14ac:dyDescent="0.3">
      <c r="B13" s="15" t="s">
        <v>17</v>
      </c>
      <c r="C13" s="18">
        <v>32831.4</v>
      </c>
      <c r="D13" s="18">
        <v>16187.6</v>
      </c>
      <c r="E13" s="18">
        <v>38189.5</v>
      </c>
      <c r="F13" s="18">
        <v>36887</v>
      </c>
      <c r="G13" s="18">
        <v>22328</v>
      </c>
      <c r="H13" s="18"/>
      <c r="I13" s="18">
        <v>5840</v>
      </c>
      <c r="J13" s="18">
        <v>152263.5</v>
      </c>
    </row>
    <row r="14" spans="1:10" x14ac:dyDescent="0.3">
      <c r="B14" s="15" t="s">
        <v>22</v>
      </c>
      <c r="C14" s="18">
        <v>6920</v>
      </c>
      <c r="D14" s="18">
        <v>7700</v>
      </c>
      <c r="E14" s="18"/>
      <c r="F14" s="18"/>
      <c r="G14" s="18"/>
      <c r="H14" s="18"/>
      <c r="I14" s="18"/>
      <c r="J14" s="18">
        <v>14620</v>
      </c>
    </row>
    <row r="15" spans="1:10" x14ac:dyDescent="0.3">
      <c r="B15" s="15" t="s">
        <v>42</v>
      </c>
      <c r="C15" s="18">
        <v>29881</v>
      </c>
      <c r="D15" s="18">
        <v>8108</v>
      </c>
      <c r="E15" s="18">
        <v>20000</v>
      </c>
      <c r="F15" s="18">
        <v>6600</v>
      </c>
      <c r="G15" s="18">
        <v>8400</v>
      </c>
      <c r="H15" s="18">
        <v>12600</v>
      </c>
      <c r="I15" s="18"/>
      <c r="J15" s="18">
        <v>85589</v>
      </c>
    </row>
    <row r="16" spans="1:10" ht="15" customHeight="1" x14ac:dyDescent="0.3">
      <c r="B16" s="15" t="s">
        <v>69</v>
      </c>
      <c r="C16" s="18">
        <v>600</v>
      </c>
      <c r="D16" s="18"/>
      <c r="E16" s="18">
        <v>96</v>
      </c>
      <c r="F16" s="18"/>
      <c r="G16" s="18"/>
      <c r="H16" s="18">
        <v>6720</v>
      </c>
      <c r="I16" s="18">
        <v>8145.6350836022302</v>
      </c>
      <c r="J16" s="18">
        <v>15561.63508360223</v>
      </c>
    </row>
    <row r="17" spans="1:12" x14ac:dyDescent="0.3">
      <c r="B17" s="15" t="s">
        <v>98</v>
      </c>
      <c r="C17" s="18"/>
      <c r="D17" s="18">
        <v>6184.4</v>
      </c>
      <c r="E17" s="18">
        <v>28681</v>
      </c>
      <c r="F17" s="18">
        <v>13447</v>
      </c>
      <c r="G17" s="18">
        <v>49431</v>
      </c>
      <c r="H17" s="18">
        <v>11404</v>
      </c>
      <c r="I17" s="18">
        <v>4498.2</v>
      </c>
      <c r="J17" s="18">
        <v>113645.59999999999</v>
      </c>
    </row>
    <row r="18" spans="1:12" x14ac:dyDescent="0.3">
      <c r="B18" s="15" t="s">
        <v>152</v>
      </c>
      <c r="C18" s="18"/>
      <c r="D18" s="18"/>
      <c r="E18" s="18">
        <v>1000</v>
      </c>
      <c r="F18" s="18">
        <v>200</v>
      </c>
      <c r="G18" s="18">
        <v>1400</v>
      </c>
      <c r="H18" s="18">
        <v>7040</v>
      </c>
      <c r="I18" s="18">
        <v>10720</v>
      </c>
      <c r="J18" s="18">
        <v>20360</v>
      </c>
    </row>
    <row r="19" spans="1:12" x14ac:dyDescent="0.3">
      <c r="B19" s="15" t="s">
        <v>228</v>
      </c>
      <c r="C19" s="18"/>
      <c r="D19" s="18"/>
      <c r="E19" s="18"/>
      <c r="F19" s="18">
        <v>6300</v>
      </c>
      <c r="G19" s="18">
        <v>2600</v>
      </c>
      <c r="H19" s="18">
        <v>8320</v>
      </c>
      <c r="I19" s="18">
        <v>240</v>
      </c>
      <c r="J19" s="18">
        <v>17460</v>
      </c>
    </row>
    <row r="20" spans="1:12" ht="13.2" customHeight="1" x14ac:dyDescent="0.3">
      <c r="B20" t="s">
        <v>14</v>
      </c>
      <c r="C20" s="14">
        <v>70232.399999999994</v>
      </c>
      <c r="D20" s="14">
        <v>38180</v>
      </c>
      <c r="E20" s="14">
        <v>87966.5</v>
      </c>
      <c r="F20" s="14">
        <v>63434</v>
      </c>
      <c r="G20" s="14">
        <v>84159</v>
      </c>
      <c r="H20" s="14">
        <v>46084</v>
      </c>
      <c r="I20" s="14">
        <v>29443.835083602229</v>
      </c>
      <c r="J20" s="14">
        <v>419499.73508360219</v>
      </c>
    </row>
    <row r="21" spans="1:12" ht="16.2" customHeight="1" x14ac:dyDescent="0.3"/>
    <row r="22" spans="1:12" ht="9" customHeight="1" x14ac:dyDescent="0.3"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ht="9" customHeight="1" x14ac:dyDescent="0.3">
      <c r="B23"/>
      <c r="C23" s="14"/>
      <c r="D23" s="14"/>
      <c r="E23" s="18"/>
      <c r="F23" s="18"/>
      <c r="G23" s="18"/>
      <c r="H23" s="18"/>
      <c r="I23" s="18"/>
      <c r="J23" s="18"/>
      <c r="K23" s="18"/>
      <c r="L23" s="18"/>
    </row>
    <row r="24" spans="1:12" x14ac:dyDescent="0.3">
      <c r="A24" s="15">
        <v>1</v>
      </c>
      <c r="B24" s="21" t="s">
        <v>18</v>
      </c>
    </row>
    <row r="25" spans="1:12" ht="13.2" customHeight="1" x14ac:dyDescent="0.3"/>
    <row r="26" spans="1:12" ht="13.2" customHeight="1" x14ac:dyDescent="0.3">
      <c r="B26" s="13" t="s">
        <v>16</v>
      </c>
      <c r="C26" t="s">
        <v>20</v>
      </c>
    </row>
    <row r="27" spans="1:12" ht="13.2" customHeight="1" x14ac:dyDescent="0.3"/>
    <row r="28" spans="1:12" x14ac:dyDescent="0.3">
      <c r="B28" s="13" t="s">
        <v>15</v>
      </c>
      <c r="C28" s="13" t="s">
        <v>8</v>
      </c>
      <c r="D28"/>
      <c r="E28"/>
      <c r="F28"/>
      <c r="G28"/>
      <c r="H28"/>
      <c r="I28"/>
      <c r="J28"/>
    </row>
    <row r="29" spans="1:12" x14ac:dyDescent="0.3">
      <c r="B29" s="13" t="s">
        <v>2</v>
      </c>
      <c r="C29" t="s">
        <v>24</v>
      </c>
      <c r="D29" t="s">
        <v>85</v>
      </c>
      <c r="E29" t="s">
        <v>131</v>
      </c>
      <c r="F29" t="s">
        <v>196</v>
      </c>
      <c r="G29" t="s">
        <v>240</v>
      </c>
      <c r="H29" t="s">
        <v>270</v>
      </c>
      <c r="I29" t="s">
        <v>298</v>
      </c>
      <c r="J29" t="s">
        <v>14</v>
      </c>
    </row>
    <row r="30" spans="1:12" x14ac:dyDescent="0.3">
      <c r="B30" s="15" t="s">
        <v>7</v>
      </c>
      <c r="C30" s="18">
        <v>4200</v>
      </c>
      <c r="D30" s="18"/>
      <c r="E30" s="18">
        <v>6132</v>
      </c>
      <c r="F30" s="18"/>
      <c r="G30" s="18">
        <v>39600</v>
      </c>
      <c r="H30" s="18"/>
      <c r="I30" s="18"/>
      <c r="J30" s="18">
        <v>49932</v>
      </c>
    </row>
    <row r="31" spans="1:12" x14ac:dyDescent="0.3">
      <c r="B31" s="15" t="s">
        <v>33</v>
      </c>
      <c r="C31" s="18">
        <v>9108</v>
      </c>
      <c r="D31" s="18"/>
      <c r="E31" s="18"/>
      <c r="F31" s="18"/>
      <c r="G31" s="18"/>
      <c r="H31" s="18"/>
      <c r="I31" s="18"/>
      <c r="J31" s="18">
        <v>9108</v>
      </c>
    </row>
    <row r="32" spans="1:12" x14ac:dyDescent="0.3">
      <c r="B32" s="15" t="s">
        <v>35</v>
      </c>
      <c r="C32" s="18">
        <v>160</v>
      </c>
      <c r="D32" s="18"/>
      <c r="E32" s="18"/>
      <c r="F32" s="18"/>
      <c r="G32" s="18"/>
      <c r="H32" s="18"/>
      <c r="I32" s="18"/>
      <c r="J32" s="18">
        <v>160</v>
      </c>
    </row>
    <row r="33" spans="2:10" x14ac:dyDescent="0.3">
      <c r="B33" s="15" t="s">
        <v>40</v>
      </c>
      <c r="C33" s="18">
        <v>3149</v>
      </c>
      <c r="D33" s="18"/>
      <c r="E33" s="18"/>
      <c r="F33" s="18"/>
      <c r="G33" s="18"/>
      <c r="H33" s="18"/>
      <c r="I33" s="18"/>
      <c r="J33" s="18">
        <v>3149</v>
      </c>
    </row>
    <row r="34" spans="2:10" x14ac:dyDescent="0.3">
      <c r="B34" s="15" t="s">
        <v>46</v>
      </c>
      <c r="C34" s="18">
        <v>760</v>
      </c>
      <c r="D34" s="18"/>
      <c r="E34" s="18"/>
      <c r="F34" s="18"/>
      <c r="G34" s="18"/>
      <c r="H34" s="18"/>
      <c r="I34" s="18"/>
      <c r="J34" s="18">
        <v>760</v>
      </c>
    </row>
    <row r="35" spans="2:10" x14ac:dyDescent="0.3">
      <c r="B35" s="15" t="s">
        <v>49</v>
      </c>
      <c r="C35" s="18">
        <v>1400</v>
      </c>
      <c r="D35" s="18"/>
      <c r="E35" s="18"/>
      <c r="F35" s="18"/>
      <c r="G35" s="18"/>
      <c r="H35" s="18"/>
      <c r="I35" s="18"/>
      <c r="J35" s="18">
        <v>1400</v>
      </c>
    </row>
    <row r="36" spans="2:10" x14ac:dyDescent="0.3">
      <c r="B36" s="15" t="s">
        <v>54</v>
      </c>
      <c r="C36" s="18">
        <v>240</v>
      </c>
      <c r="D36" s="18">
        <v>240</v>
      </c>
      <c r="E36" s="18"/>
      <c r="F36" s="18"/>
      <c r="G36" s="18"/>
      <c r="H36" s="18"/>
      <c r="I36" s="18"/>
      <c r="J36" s="18">
        <v>480</v>
      </c>
    </row>
    <row r="37" spans="2:10" x14ac:dyDescent="0.3">
      <c r="B37" s="15" t="s">
        <v>59</v>
      </c>
      <c r="C37" s="18">
        <v>24500</v>
      </c>
      <c r="D37" s="18"/>
      <c r="E37" s="18">
        <v>20000</v>
      </c>
      <c r="F37" s="18"/>
      <c r="G37" s="18"/>
      <c r="H37" s="18"/>
      <c r="I37" s="18"/>
      <c r="J37" s="18">
        <v>44500</v>
      </c>
    </row>
    <row r="38" spans="2:10" x14ac:dyDescent="0.3">
      <c r="B38" s="15" t="s">
        <v>63</v>
      </c>
      <c r="C38" s="18">
        <v>400</v>
      </c>
      <c r="D38" s="18">
        <v>400</v>
      </c>
      <c r="E38" s="18">
        <v>2000</v>
      </c>
      <c r="F38" s="18">
        <v>2000</v>
      </c>
      <c r="G38" s="18"/>
      <c r="H38" s="18">
        <v>2200</v>
      </c>
      <c r="I38" s="18"/>
      <c r="J38" s="18">
        <v>7000</v>
      </c>
    </row>
    <row r="39" spans="2:10" x14ac:dyDescent="0.3">
      <c r="B39" s="15" t="s">
        <v>65</v>
      </c>
      <c r="C39" s="18">
        <v>600</v>
      </c>
      <c r="D39" s="18"/>
      <c r="E39" s="18"/>
      <c r="F39" s="18"/>
      <c r="G39" s="18"/>
      <c r="H39" s="18"/>
      <c r="I39" s="18"/>
      <c r="J39" s="18">
        <v>600</v>
      </c>
    </row>
    <row r="40" spans="2:10" x14ac:dyDescent="0.3">
      <c r="B40" s="15" t="s">
        <v>67</v>
      </c>
      <c r="C40" s="18">
        <v>2624</v>
      </c>
      <c r="D40" s="18">
        <v>665</v>
      </c>
      <c r="E40" s="18">
        <v>11248</v>
      </c>
      <c r="F40" s="18"/>
      <c r="G40" s="18">
        <v>5376</v>
      </c>
      <c r="H40" s="18"/>
      <c r="I40" s="18"/>
      <c r="J40" s="18">
        <v>19913</v>
      </c>
    </row>
    <row r="41" spans="2:10" x14ac:dyDescent="0.3">
      <c r="B41" s="15" t="s">
        <v>70</v>
      </c>
      <c r="C41" s="18">
        <v>80</v>
      </c>
      <c r="D41" s="18"/>
      <c r="E41" s="18"/>
      <c r="F41" s="18"/>
      <c r="G41" s="18"/>
      <c r="H41" s="18"/>
      <c r="I41" s="18"/>
      <c r="J41" s="18">
        <v>80</v>
      </c>
    </row>
    <row r="42" spans="2:10" x14ac:dyDescent="0.3">
      <c r="B42" s="15" t="s">
        <v>73</v>
      </c>
      <c r="C42" s="18">
        <v>1601</v>
      </c>
      <c r="D42" s="18"/>
      <c r="E42" s="18"/>
      <c r="F42" s="18"/>
      <c r="G42" s="18"/>
      <c r="H42" s="18"/>
      <c r="I42" s="18"/>
      <c r="J42" s="18">
        <v>1601</v>
      </c>
    </row>
    <row r="43" spans="2:10" x14ac:dyDescent="0.3">
      <c r="B43" s="15" t="s">
        <v>82</v>
      </c>
      <c r="C43" s="18">
        <v>1310.4000000000001</v>
      </c>
      <c r="D43" s="18">
        <v>1365</v>
      </c>
      <c r="E43" s="18">
        <v>3176</v>
      </c>
      <c r="F43" s="18">
        <v>900</v>
      </c>
      <c r="G43" s="18"/>
      <c r="H43" s="18">
        <v>1350</v>
      </c>
      <c r="I43" s="18">
        <v>3375</v>
      </c>
      <c r="J43" s="18">
        <v>11476.4</v>
      </c>
    </row>
    <row r="44" spans="2:10" x14ac:dyDescent="0.3">
      <c r="B44" s="15" t="s">
        <v>83</v>
      </c>
      <c r="C44" s="18">
        <v>16320</v>
      </c>
      <c r="D44" s="18"/>
      <c r="E44" s="18"/>
      <c r="F44" s="18"/>
      <c r="G44" s="18"/>
      <c r="H44" s="18"/>
      <c r="I44" s="18">
        <v>8145.6350836022302</v>
      </c>
      <c r="J44" s="18">
        <v>24465.635083602232</v>
      </c>
    </row>
    <row r="45" spans="2:10" x14ac:dyDescent="0.3">
      <c r="B45" s="15" t="s">
        <v>87</v>
      </c>
      <c r="C45" s="18"/>
      <c r="D45" s="18">
        <v>4144</v>
      </c>
      <c r="E45" s="18"/>
      <c r="F45" s="18"/>
      <c r="G45" s="18"/>
      <c r="H45" s="18">
        <v>3600</v>
      </c>
      <c r="I45" s="18"/>
      <c r="J45" s="18">
        <v>7744</v>
      </c>
    </row>
    <row r="46" spans="2:10" x14ac:dyDescent="0.3">
      <c r="B46" s="15" t="s">
        <v>90</v>
      </c>
      <c r="C46" s="18"/>
      <c r="D46" s="18">
        <v>7196</v>
      </c>
      <c r="E46" s="18"/>
      <c r="F46" s="18"/>
      <c r="G46" s="18"/>
      <c r="H46" s="18">
        <v>3120</v>
      </c>
      <c r="I46" s="18"/>
      <c r="J46" s="18">
        <v>10316</v>
      </c>
    </row>
    <row r="47" spans="2:10" x14ac:dyDescent="0.3">
      <c r="B47" s="15" t="s">
        <v>95</v>
      </c>
      <c r="C47" s="18">
        <v>3780</v>
      </c>
      <c r="D47" s="18">
        <v>3150</v>
      </c>
      <c r="E47" s="18"/>
      <c r="F47" s="18"/>
      <c r="G47" s="18">
        <v>8400</v>
      </c>
      <c r="H47" s="18"/>
      <c r="I47" s="18"/>
      <c r="J47" s="18">
        <v>15330</v>
      </c>
    </row>
    <row r="48" spans="2:10" x14ac:dyDescent="0.3">
      <c r="B48" s="15" t="s">
        <v>102</v>
      </c>
      <c r="C48" s="18"/>
      <c r="D48" s="18">
        <v>3276</v>
      </c>
      <c r="E48" s="18">
        <v>3276</v>
      </c>
      <c r="F48" s="18">
        <v>10514</v>
      </c>
      <c r="G48" s="18">
        <v>2106</v>
      </c>
      <c r="H48" s="18">
        <v>1786</v>
      </c>
      <c r="I48" s="18">
        <v>1123.2</v>
      </c>
      <c r="J48" s="18">
        <v>22081.200000000001</v>
      </c>
    </row>
    <row r="49" spans="2:10" x14ac:dyDescent="0.3">
      <c r="B49" s="15" t="s">
        <v>106</v>
      </c>
      <c r="C49" s="18"/>
      <c r="D49" s="18">
        <v>10250.4</v>
      </c>
      <c r="E49" s="18">
        <v>5477.5</v>
      </c>
      <c r="F49" s="18"/>
      <c r="G49" s="18"/>
      <c r="H49" s="18"/>
      <c r="I49" s="18">
        <v>4000</v>
      </c>
      <c r="J49" s="18">
        <v>19727.900000000001</v>
      </c>
    </row>
    <row r="50" spans="2:10" x14ac:dyDescent="0.3">
      <c r="B50" s="15" t="s">
        <v>109</v>
      </c>
      <c r="C50" s="18"/>
      <c r="D50" s="18">
        <v>866.2</v>
      </c>
      <c r="E50" s="18"/>
      <c r="F50" s="18"/>
      <c r="G50" s="18"/>
      <c r="H50" s="18"/>
      <c r="I50" s="18">
        <v>800</v>
      </c>
      <c r="J50" s="18">
        <v>1666.2</v>
      </c>
    </row>
    <row r="51" spans="2:10" x14ac:dyDescent="0.3">
      <c r="B51" s="15" t="s">
        <v>112</v>
      </c>
      <c r="C51" s="18"/>
      <c r="D51" s="18">
        <v>526</v>
      </c>
      <c r="E51" s="18">
        <v>280</v>
      </c>
      <c r="F51" s="18"/>
      <c r="G51" s="18"/>
      <c r="H51" s="18"/>
      <c r="I51" s="18">
        <v>1040</v>
      </c>
      <c r="J51" s="18">
        <v>1846</v>
      </c>
    </row>
    <row r="52" spans="2:10" x14ac:dyDescent="0.3">
      <c r="B52" s="15" t="s">
        <v>115</v>
      </c>
      <c r="C52" s="18"/>
      <c r="D52" s="18">
        <v>17</v>
      </c>
      <c r="E52" s="18"/>
      <c r="F52" s="18"/>
      <c r="G52" s="18"/>
      <c r="H52" s="18"/>
      <c r="I52" s="18"/>
      <c r="J52" s="18">
        <v>17</v>
      </c>
    </row>
    <row r="53" spans="2:10" x14ac:dyDescent="0.3">
      <c r="B53" s="15" t="s">
        <v>116</v>
      </c>
      <c r="C53" s="18"/>
      <c r="D53" s="18">
        <v>1126.4000000000001</v>
      </c>
      <c r="E53" s="18"/>
      <c r="F53" s="18"/>
      <c r="G53" s="18"/>
      <c r="H53" s="18"/>
      <c r="I53" s="18"/>
      <c r="J53" s="18">
        <v>1126.4000000000001</v>
      </c>
    </row>
    <row r="54" spans="2:10" x14ac:dyDescent="0.3">
      <c r="B54" s="15" t="s">
        <v>127</v>
      </c>
      <c r="C54" s="18"/>
      <c r="D54" s="18">
        <v>4958</v>
      </c>
      <c r="E54" s="18"/>
      <c r="F54" s="18"/>
      <c r="G54" s="18"/>
      <c r="H54" s="18"/>
      <c r="I54" s="18"/>
      <c r="J54" s="18">
        <v>4958</v>
      </c>
    </row>
    <row r="55" spans="2:10" x14ac:dyDescent="0.3">
      <c r="B55" s="15" t="s">
        <v>134</v>
      </c>
      <c r="C55" s="18"/>
      <c r="D55" s="18"/>
      <c r="E55" s="18">
        <v>14097</v>
      </c>
      <c r="F55" s="18"/>
      <c r="G55" s="18"/>
      <c r="H55" s="18">
        <v>6068</v>
      </c>
      <c r="I55" s="18"/>
      <c r="J55" s="18">
        <v>20165</v>
      </c>
    </row>
    <row r="56" spans="2:10" x14ac:dyDescent="0.3">
      <c r="B56" s="15" t="s">
        <v>143</v>
      </c>
      <c r="C56" s="18"/>
      <c r="D56" s="18"/>
      <c r="E56" s="18">
        <v>1232</v>
      </c>
      <c r="F56" s="18"/>
      <c r="G56" s="18"/>
      <c r="H56" s="18"/>
      <c r="I56" s="18"/>
      <c r="J56" s="18">
        <v>1232</v>
      </c>
    </row>
    <row r="57" spans="2:10" x14ac:dyDescent="0.3">
      <c r="B57" s="15" t="s">
        <v>146</v>
      </c>
      <c r="C57" s="18"/>
      <c r="D57" s="18"/>
      <c r="E57" s="18">
        <v>320</v>
      </c>
      <c r="F57" s="18"/>
      <c r="G57" s="18"/>
      <c r="H57" s="18"/>
      <c r="I57" s="18"/>
      <c r="J57" s="18">
        <v>320</v>
      </c>
    </row>
    <row r="58" spans="2:10" x14ac:dyDescent="0.3">
      <c r="B58" s="15" t="s">
        <v>150</v>
      </c>
      <c r="C58" s="18"/>
      <c r="D58" s="18"/>
      <c r="E58" s="18">
        <v>1000</v>
      </c>
      <c r="F58" s="18"/>
      <c r="G58" s="18">
        <v>800</v>
      </c>
      <c r="H58" s="18">
        <v>6800</v>
      </c>
      <c r="I58" s="18">
        <v>600</v>
      </c>
      <c r="J58" s="18">
        <v>9200</v>
      </c>
    </row>
    <row r="59" spans="2:10" x14ac:dyDescent="0.3">
      <c r="B59" s="15" t="s">
        <v>156</v>
      </c>
      <c r="C59" s="18"/>
      <c r="D59" s="18"/>
      <c r="E59" s="18">
        <v>96</v>
      </c>
      <c r="F59" s="18"/>
      <c r="G59" s="18"/>
      <c r="H59" s="18"/>
      <c r="I59" s="18"/>
      <c r="J59" s="18">
        <v>96</v>
      </c>
    </row>
    <row r="60" spans="2:10" x14ac:dyDescent="0.3">
      <c r="B60" s="15" t="s">
        <v>162</v>
      </c>
      <c r="C60" s="18"/>
      <c r="D60" s="18"/>
      <c r="E60" s="18">
        <v>3840</v>
      </c>
      <c r="F60" s="18"/>
      <c r="G60" s="18"/>
      <c r="H60" s="18"/>
      <c r="I60" s="18"/>
      <c r="J60" s="18">
        <v>3840</v>
      </c>
    </row>
    <row r="61" spans="2:10" x14ac:dyDescent="0.3">
      <c r="B61" s="15" t="s">
        <v>168</v>
      </c>
      <c r="C61" s="18"/>
      <c r="D61" s="18"/>
      <c r="E61" s="18">
        <v>522</v>
      </c>
      <c r="F61" s="18"/>
      <c r="G61" s="18"/>
      <c r="H61" s="18"/>
      <c r="I61" s="18"/>
      <c r="J61" s="18">
        <v>522</v>
      </c>
    </row>
    <row r="62" spans="2:10" x14ac:dyDescent="0.3">
      <c r="B62" s="15" t="s">
        <v>173</v>
      </c>
      <c r="C62" s="18"/>
      <c r="D62" s="18"/>
      <c r="E62" s="18">
        <v>3150</v>
      </c>
      <c r="F62" s="18"/>
      <c r="G62" s="18"/>
      <c r="H62" s="18"/>
      <c r="I62" s="18"/>
      <c r="J62" s="18">
        <v>3150</v>
      </c>
    </row>
    <row r="63" spans="2:10" x14ac:dyDescent="0.3">
      <c r="B63" s="15" t="s">
        <v>186</v>
      </c>
      <c r="C63" s="18"/>
      <c r="D63" s="18"/>
      <c r="E63" s="18">
        <v>12120</v>
      </c>
      <c r="F63" s="18">
        <v>36407</v>
      </c>
      <c r="G63" s="18">
        <v>16952</v>
      </c>
      <c r="H63" s="18"/>
      <c r="I63" s="18"/>
      <c r="J63" s="18">
        <v>65479</v>
      </c>
    </row>
    <row r="64" spans="2:10" x14ac:dyDescent="0.3">
      <c r="B64" s="15" t="s">
        <v>217</v>
      </c>
      <c r="C64" s="18"/>
      <c r="D64" s="18"/>
      <c r="E64" s="18"/>
      <c r="F64" s="18">
        <v>200</v>
      </c>
      <c r="G64" s="18"/>
      <c r="H64" s="18"/>
      <c r="I64" s="18"/>
      <c r="J64" s="18">
        <v>200</v>
      </c>
    </row>
    <row r="65" spans="2:10" x14ac:dyDescent="0.3">
      <c r="B65" s="15" t="s">
        <v>220</v>
      </c>
      <c r="C65" s="18"/>
      <c r="D65" s="18"/>
      <c r="E65" s="18"/>
      <c r="F65" s="18">
        <v>480</v>
      </c>
      <c r="G65" s="18"/>
      <c r="H65" s="18"/>
      <c r="I65" s="18"/>
      <c r="J65" s="18">
        <v>480</v>
      </c>
    </row>
    <row r="66" spans="2:10" x14ac:dyDescent="0.3">
      <c r="B66" s="15" t="s">
        <v>222</v>
      </c>
      <c r="C66" s="18"/>
      <c r="D66" s="18"/>
      <c r="E66" s="18"/>
      <c r="F66" s="18">
        <v>33</v>
      </c>
      <c r="G66" s="18"/>
      <c r="H66" s="18"/>
      <c r="I66" s="18"/>
      <c r="J66" s="18">
        <v>33</v>
      </c>
    </row>
    <row r="67" spans="2:10" x14ac:dyDescent="0.3">
      <c r="B67" s="15" t="s">
        <v>226</v>
      </c>
      <c r="C67" s="18"/>
      <c r="D67" s="18"/>
      <c r="E67" s="18"/>
      <c r="F67" s="18">
        <v>6300</v>
      </c>
      <c r="G67" s="18"/>
      <c r="H67" s="18">
        <v>5200</v>
      </c>
      <c r="I67" s="18"/>
      <c r="J67" s="18">
        <v>11500</v>
      </c>
    </row>
    <row r="68" spans="2:10" x14ac:dyDescent="0.3">
      <c r="B68" s="15" t="s">
        <v>229</v>
      </c>
      <c r="C68" s="18"/>
      <c r="D68" s="18"/>
      <c r="E68" s="18"/>
      <c r="F68" s="18">
        <v>6600</v>
      </c>
      <c r="G68" s="18"/>
      <c r="H68" s="18">
        <v>12600</v>
      </c>
      <c r="I68" s="18"/>
      <c r="J68" s="18">
        <v>19200</v>
      </c>
    </row>
    <row r="69" spans="2:10" x14ac:dyDescent="0.3">
      <c r="B69" s="15" t="s">
        <v>246</v>
      </c>
      <c r="C69" s="18"/>
      <c r="D69" s="18"/>
      <c r="E69" s="18"/>
      <c r="F69" s="18"/>
      <c r="G69" s="18">
        <v>600</v>
      </c>
      <c r="H69" s="18"/>
      <c r="I69" s="18">
        <v>1400</v>
      </c>
      <c r="J69" s="18">
        <v>2000</v>
      </c>
    </row>
    <row r="70" spans="2:10" x14ac:dyDescent="0.3">
      <c r="B70" s="15" t="s">
        <v>250</v>
      </c>
      <c r="C70" s="18"/>
      <c r="D70" s="18"/>
      <c r="E70" s="18"/>
      <c r="F70" s="18"/>
      <c r="G70" s="18">
        <v>7725</v>
      </c>
      <c r="H70" s="18"/>
      <c r="I70" s="18"/>
      <c r="J70" s="18">
        <v>7725</v>
      </c>
    </row>
    <row r="71" spans="2:10" x14ac:dyDescent="0.3">
      <c r="B71" s="15" t="s">
        <v>269</v>
      </c>
      <c r="C71" s="18"/>
      <c r="D71" s="18"/>
      <c r="E71" s="18"/>
      <c r="F71" s="18"/>
      <c r="G71" s="18">
        <v>2600</v>
      </c>
      <c r="H71" s="18">
        <v>3120</v>
      </c>
      <c r="I71" s="18"/>
      <c r="J71" s="18">
        <v>5720</v>
      </c>
    </row>
    <row r="72" spans="2:10" x14ac:dyDescent="0.3">
      <c r="B72" s="15" t="s">
        <v>282</v>
      </c>
      <c r="C72" s="18"/>
      <c r="D72" s="18"/>
      <c r="E72" s="18"/>
      <c r="F72" s="18"/>
      <c r="G72" s="18"/>
      <c r="H72" s="18">
        <v>240</v>
      </c>
      <c r="I72" s="18"/>
      <c r="J72" s="18">
        <v>240</v>
      </c>
    </row>
    <row r="73" spans="2:10" x14ac:dyDescent="0.3">
      <c r="B73" s="15" t="s">
        <v>299</v>
      </c>
      <c r="C73" s="18"/>
      <c r="D73" s="18"/>
      <c r="E73" s="18"/>
      <c r="F73" s="18"/>
      <c r="G73" s="18"/>
      <c r="H73" s="18"/>
      <c r="I73" s="18">
        <v>8720</v>
      </c>
      <c r="J73" s="18">
        <v>8720</v>
      </c>
    </row>
    <row r="74" spans="2:10" x14ac:dyDescent="0.3">
      <c r="B74" s="15" t="s">
        <v>313</v>
      </c>
      <c r="C74" s="18"/>
      <c r="D74" s="18"/>
      <c r="E74" s="18"/>
      <c r="F74" s="18"/>
      <c r="G74" s="18"/>
      <c r="H74" s="18"/>
      <c r="I74" s="18">
        <v>240</v>
      </c>
      <c r="J74" s="18">
        <v>240</v>
      </c>
    </row>
    <row r="75" spans="2:10" x14ac:dyDescent="0.3">
      <c r="B75" t="s">
        <v>14</v>
      </c>
      <c r="C75" s="14">
        <v>70232.399999999994</v>
      </c>
      <c r="D75" s="14">
        <v>38180</v>
      </c>
      <c r="E75" s="14">
        <v>87966.5</v>
      </c>
      <c r="F75" s="14">
        <v>63434</v>
      </c>
      <c r="G75" s="14">
        <v>84159</v>
      </c>
      <c r="H75" s="14">
        <v>46084</v>
      </c>
      <c r="I75" s="14">
        <v>29443.835083602229</v>
      </c>
      <c r="J75" s="14">
        <v>419499.73508360225</v>
      </c>
    </row>
    <row r="81" s="15" customFormat="1" x14ac:dyDescent="0.3"/>
  </sheetData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813B-5421-4C78-B6DA-8773831DAAE3}">
  <dimension ref="C4:C35"/>
  <sheetViews>
    <sheetView workbookViewId="0">
      <selection activeCell="C5" sqref="C5:C35"/>
    </sheetView>
  </sheetViews>
  <sheetFormatPr baseColWidth="10" defaultRowHeight="14.4" x14ac:dyDescent="0.3"/>
  <sheetData>
    <row r="4" spans="3:3" x14ac:dyDescent="0.3">
      <c r="C4" t="s">
        <v>164</v>
      </c>
    </row>
    <row r="5" spans="3:3" x14ac:dyDescent="0.3">
      <c r="C5" s="15" t="s">
        <v>150</v>
      </c>
    </row>
    <row r="6" spans="3:3" x14ac:dyDescent="0.3">
      <c r="C6" s="15" t="s">
        <v>82</v>
      </c>
    </row>
    <row r="7" spans="3:3" x14ac:dyDescent="0.3">
      <c r="C7" s="15" t="s">
        <v>70</v>
      </c>
    </row>
    <row r="8" spans="3:3" x14ac:dyDescent="0.3">
      <c r="C8" s="15" t="s">
        <v>33</v>
      </c>
    </row>
    <row r="9" spans="3:3" x14ac:dyDescent="0.3">
      <c r="C9" s="15" t="s">
        <v>95</v>
      </c>
    </row>
    <row r="10" spans="3:3" x14ac:dyDescent="0.3">
      <c r="C10" s="15" t="s">
        <v>116</v>
      </c>
    </row>
    <row r="11" spans="3:3" x14ac:dyDescent="0.3">
      <c r="C11" s="15" t="s">
        <v>35</v>
      </c>
    </row>
    <row r="12" spans="3:3" x14ac:dyDescent="0.3">
      <c r="C12" s="15" t="s">
        <v>83</v>
      </c>
    </row>
    <row r="13" spans="3:3" x14ac:dyDescent="0.3">
      <c r="C13" s="15" t="s">
        <v>109</v>
      </c>
    </row>
    <row r="14" spans="3:3" x14ac:dyDescent="0.3">
      <c r="C14" s="15" t="s">
        <v>73</v>
      </c>
    </row>
    <row r="15" spans="3:3" x14ac:dyDescent="0.3">
      <c r="C15" s="15" t="s">
        <v>49</v>
      </c>
    </row>
    <row r="16" spans="3:3" x14ac:dyDescent="0.3">
      <c r="C16" s="15" t="s">
        <v>67</v>
      </c>
    </row>
    <row r="17" spans="3:3" x14ac:dyDescent="0.3">
      <c r="C17" s="15" t="s">
        <v>59</v>
      </c>
    </row>
    <row r="18" spans="3:3" x14ac:dyDescent="0.3">
      <c r="C18" s="15" t="s">
        <v>127</v>
      </c>
    </row>
    <row r="19" spans="3:3" x14ac:dyDescent="0.3">
      <c r="C19" s="15" t="s">
        <v>63</v>
      </c>
    </row>
    <row r="20" spans="3:3" x14ac:dyDescent="0.3">
      <c r="C20" s="15" t="s">
        <v>134</v>
      </c>
    </row>
    <row r="21" spans="3:3" x14ac:dyDescent="0.3">
      <c r="C21" s="15" t="s">
        <v>65</v>
      </c>
    </row>
    <row r="22" spans="3:3" x14ac:dyDescent="0.3">
      <c r="C22" s="15" t="s">
        <v>7</v>
      </c>
    </row>
    <row r="23" spans="3:3" x14ac:dyDescent="0.3">
      <c r="C23" s="15" t="s">
        <v>143</v>
      </c>
    </row>
    <row r="24" spans="3:3" x14ac:dyDescent="0.3">
      <c r="C24" s="15" t="s">
        <v>162</v>
      </c>
    </row>
    <row r="25" spans="3:3" x14ac:dyDescent="0.3">
      <c r="C25" s="15" t="s">
        <v>112</v>
      </c>
    </row>
    <row r="26" spans="3:3" x14ac:dyDescent="0.3">
      <c r="C26" s="15" t="s">
        <v>115</v>
      </c>
    </row>
    <row r="27" spans="3:3" x14ac:dyDescent="0.3">
      <c r="C27" s="15" t="s">
        <v>146</v>
      </c>
    </row>
    <row r="28" spans="3:3" x14ac:dyDescent="0.3">
      <c r="C28" s="15" t="s">
        <v>90</v>
      </c>
    </row>
    <row r="29" spans="3:3" x14ac:dyDescent="0.3">
      <c r="C29" s="15" t="s">
        <v>40</v>
      </c>
    </row>
    <row r="30" spans="3:3" x14ac:dyDescent="0.3">
      <c r="C30" s="15" t="s">
        <v>46</v>
      </c>
    </row>
    <row r="31" spans="3:3" x14ac:dyDescent="0.3">
      <c r="C31" s="15" t="s">
        <v>106</v>
      </c>
    </row>
    <row r="32" spans="3:3" x14ac:dyDescent="0.3">
      <c r="C32" s="15" t="s">
        <v>54</v>
      </c>
    </row>
    <row r="33" spans="3:3" x14ac:dyDescent="0.3">
      <c r="C33" s="15" t="s">
        <v>87</v>
      </c>
    </row>
    <row r="34" spans="3:3" x14ac:dyDescent="0.3">
      <c r="C34" s="15" t="s">
        <v>102</v>
      </c>
    </row>
    <row r="35" spans="3:3" x14ac:dyDescent="0.3">
      <c r="C35" s="15" t="s">
        <v>156</v>
      </c>
    </row>
  </sheetData>
  <autoFilter ref="C4:C35" xr:uid="{B7E8813B-5421-4C78-B6DA-8773831DAAE3}">
    <sortState xmlns:xlrd2="http://schemas.microsoft.com/office/spreadsheetml/2017/richdata2" ref="C5:C35">
      <sortCondition ref="C4:C3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2CE2-3029-418D-BDBD-3B6BBAB31D1F}">
  <dimension ref="B2:K24"/>
  <sheetViews>
    <sheetView zoomScaleNormal="100" workbookViewId="0">
      <selection activeCell="I22" sqref="I22"/>
    </sheetView>
  </sheetViews>
  <sheetFormatPr baseColWidth="10" defaultRowHeight="10.199999999999999" x14ac:dyDescent="0.2"/>
  <cols>
    <col min="1" max="1" width="3.21875" style="1" customWidth="1"/>
    <col min="2" max="3" width="13.6640625" style="1" customWidth="1"/>
    <col min="4" max="4" width="15.44140625" style="1" customWidth="1"/>
    <col min="5" max="5" width="10.109375" style="1" customWidth="1"/>
    <col min="6" max="6" width="7.44140625" style="1" customWidth="1"/>
    <col min="7" max="7" width="11.88671875" style="1" customWidth="1"/>
    <col min="8" max="8" width="35.77734375" style="1" customWidth="1"/>
    <col min="9" max="9" width="11.6640625" style="3" customWidth="1"/>
    <col min="10" max="10" width="23" style="1" customWidth="1"/>
    <col min="11" max="11" width="13.5546875" style="1" customWidth="1"/>
    <col min="12" max="16384" width="11.5546875" style="1"/>
  </cols>
  <sheetData>
    <row r="2" spans="2:11" ht="13.2" customHeight="1" x14ac:dyDescent="0.3">
      <c r="B2" s="2" t="s">
        <v>0</v>
      </c>
      <c r="C2" s="2"/>
    </row>
    <row r="3" spans="2:11" ht="13.2" customHeight="1" x14ac:dyDescent="0.2">
      <c r="B3" s="4" t="s">
        <v>13</v>
      </c>
      <c r="C3" s="4"/>
    </row>
    <row r="4" spans="2:11" ht="13.2" customHeight="1" x14ac:dyDescent="0.2">
      <c r="B4" s="4" t="s">
        <v>296</v>
      </c>
      <c r="C4" s="4"/>
    </row>
    <row r="5" spans="2:11" ht="7.2" customHeight="1" x14ac:dyDescent="0.2">
      <c r="B5" s="4"/>
      <c r="C5" s="4"/>
    </row>
    <row r="6" spans="2:11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1" ht="12" customHeight="1" x14ac:dyDescent="0.2">
      <c r="B7" s="24" t="s">
        <v>298</v>
      </c>
      <c r="C7" s="26" t="s">
        <v>200</v>
      </c>
      <c r="D7" s="26">
        <v>46224</v>
      </c>
      <c r="E7" s="6" t="s">
        <v>6</v>
      </c>
      <c r="F7" s="16">
        <v>1108</v>
      </c>
      <c r="G7" s="16">
        <v>20602431178</v>
      </c>
      <c r="H7" s="1" t="s">
        <v>299</v>
      </c>
      <c r="I7" s="8">
        <v>8720</v>
      </c>
      <c r="J7" s="32" t="s">
        <v>300</v>
      </c>
      <c r="K7" s="19" t="s">
        <v>152</v>
      </c>
    </row>
    <row r="8" spans="2:11" ht="12" customHeight="1" x14ac:dyDescent="0.2">
      <c r="B8" s="24" t="s">
        <v>298</v>
      </c>
      <c r="C8" s="26" t="s">
        <v>200</v>
      </c>
      <c r="D8" s="26" t="s">
        <v>301</v>
      </c>
      <c r="E8" s="6" t="s">
        <v>6</v>
      </c>
      <c r="F8" s="16">
        <v>1109</v>
      </c>
      <c r="G8" s="16">
        <v>20601438586</v>
      </c>
      <c r="H8" s="1" t="s">
        <v>150</v>
      </c>
      <c r="I8" s="8">
        <v>200</v>
      </c>
      <c r="J8" s="32" t="s">
        <v>284</v>
      </c>
      <c r="K8" s="19" t="s">
        <v>152</v>
      </c>
    </row>
    <row r="9" spans="2:11" ht="12" customHeight="1" x14ac:dyDescent="0.2">
      <c r="B9" s="24" t="s">
        <v>298</v>
      </c>
      <c r="C9" s="26" t="s">
        <v>208</v>
      </c>
      <c r="D9" s="26" t="s">
        <v>208</v>
      </c>
      <c r="E9" s="6" t="s">
        <v>6</v>
      </c>
      <c r="F9" s="16">
        <v>1112</v>
      </c>
      <c r="G9" s="16">
        <v>20611762543</v>
      </c>
      <c r="H9" s="1" t="s">
        <v>83</v>
      </c>
      <c r="I9" s="8">
        <v>8145.6350836022302</v>
      </c>
      <c r="J9" s="32" t="s">
        <v>302</v>
      </c>
      <c r="K9" s="19" t="s">
        <v>69</v>
      </c>
    </row>
    <row r="10" spans="2:11" ht="12" customHeight="1" x14ac:dyDescent="0.2">
      <c r="B10" s="24" t="s">
        <v>298</v>
      </c>
      <c r="C10" s="26" t="s">
        <v>303</v>
      </c>
      <c r="D10" s="26" t="s">
        <v>304</v>
      </c>
      <c r="E10" s="6" t="s">
        <v>6</v>
      </c>
      <c r="F10" s="16">
        <v>1114</v>
      </c>
      <c r="G10" s="16">
        <v>20601438586</v>
      </c>
      <c r="H10" s="1" t="s">
        <v>150</v>
      </c>
      <c r="I10" s="8">
        <v>400</v>
      </c>
      <c r="J10" s="32" t="s">
        <v>305</v>
      </c>
      <c r="K10" s="19" t="s">
        <v>152</v>
      </c>
    </row>
    <row r="11" spans="2:11" ht="12" customHeight="1" x14ac:dyDescent="0.2">
      <c r="B11" s="24" t="s">
        <v>298</v>
      </c>
      <c r="C11" s="26" t="s">
        <v>303</v>
      </c>
      <c r="D11" s="26">
        <v>46246</v>
      </c>
      <c r="E11" s="6" t="s">
        <v>6</v>
      </c>
      <c r="F11" s="16">
        <v>1115</v>
      </c>
      <c r="G11" s="16">
        <v>20530296637</v>
      </c>
      <c r="H11" s="1" t="s">
        <v>246</v>
      </c>
      <c r="I11" s="8">
        <v>1400</v>
      </c>
      <c r="J11" s="32" t="s">
        <v>306</v>
      </c>
      <c r="K11" s="19" t="s">
        <v>152</v>
      </c>
    </row>
    <row r="12" spans="2:11" ht="12" customHeight="1" x14ac:dyDescent="0.2">
      <c r="B12" s="24" t="s">
        <v>298</v>
      </c>
      <c r="C12" s="26" t="s">
        <v>303</v>
      </c>
      <c r="D12" s="26">
        <v>46336</v>
      </c>
      <c r="E12" s="6" t="s">
        <v>6</v>
      </c>
      <c r="F12" s="16">
        <v>1117</v>
      </c>
      <c r="G12" s="16">
        <v>20608162926</v>
      </c>
      <c r="H12" s="1" t="s">
        <v>112</v>
      </c>
      <c r="I12" s="8">
        <v>1040</v>
      </c>
      <c r="J12" s="32" t="s">
        <v>307</v>
      </c>
      <c r="K12" s="19" t="s">
        <v>17</v>
      </c>
    </row>
    <row r="13" spans="2:11" ht="12" customHeight="1" x14ac:dyDescent="0.2">
      <c r="B13" s="24" t="s">
        <v>298</v>
      </c>
      <c r="C13" s="26" t="s">
        <v>303</v>
      </c>
      <c r="D13" s="26">
        <v>46336</v>
      </c>
      <c r="E13" s="6" t="s">
        <v>6</v>
      </c>
      <c r="F13" s="16">
        <v>1118</v>
      </c>
      <c r="G13" s="16">
        <v>20502072006</v>
      </c>
      <c r="H13" s="1" t="s">
        <v>109</v>
      </c>
      <c r="I13" s="8">
        <v>800</v>
      </c>
      <c r="J13" s="32" t="s">
        <v>45</v>
      </c>
      <c r="K13" s="19" t="s">
        <v>17</v>
      </c>
    </row>
    <row r="14" spans="2:11" ht="12" customHeight="1" x14ac:dyDescent="0.2">
      <c r="B14" s="24" t="s">
        <v>298</v>
      </c>
      <c r="C14" s="26" t="s">
        <v>303</v>
      </c>
      <c r="D14" s="26">
        <v>46336</v>
      </c>
      <c r="E14" s="6" t="s">
        <v>6</v>
      </c>
      <c r="F14" s="16">
        <v>1119</v>
      </c>
      <c r="G14" s="16">
        <v>20325346435</v>
      </c>
      <c r="H14" s="1" t="s">
        <v>106</v>
      </c>
      <c r="I14" s="8">
        <v>4000</v>
      </c>
      <c r="J14" s="32" t="s">
        <v>308</v>
      </c>
      <c r="K14" s="19" t="s">
        <v>17</v>
      </c>
    </row>
    <row r="15" spans="2:11" ht="12" customHeight="1" x14ac:dyDescent="0.2">
      <c r="B15" s="24" t="s">
        <v>298</v>
      </c>
      <c r="C15" s="26" t="s">
        <v>309</v>
      </c>
      <c r="D15" s="26">
        <v>46277</v>
      </c>
      <c r="E15" s="6" t="s">
        <v>6</v>
      </c>
      <c r="F15" s="16">
        <v>1121</v>
      </c>
      <c r="G15" s="16">
        <v>20452634873</v>
      </c>
      <c r="H15" s="1" t="s">
        <v>82</v>
      </c>
      <c r="I15" s="8">
        <v>1350</v>
      </c>
      <c r="J15" s="32" t="s">
        <v>310</v>
      </c>
      <c r="K15" s="19" t="s">
        <v>98</v>
      </c>
    </row>
    <row r="16" spans="2:11" ht="12" customHeight="1" x14ac:dyDescent="0.2">
      <c r="B16" s="24" t="s">
        <v>298</v>
      </c>
      <c r="C16" s="26">
        <v>46218</v>
      </c>
      <c r="D16" s="26">
        <v>46338</v>
      </c>
      <c r="E16" s="6" t="s">
        <v>6</v>
      </c>
      <c r="F16" s="16">
        <v>1122</v>
      </c>
      <c r="G16" s="16">
        <v>20600697511</v>
      </c>
      <c r="H16" s="1" t="s">
        <v>102</v>
      </c>
      <c r="I16" s="8">
        <v>187.2</v>
      </c>
      <c r="J16" s="32" t="s">
        <v>311</v>
      </c>
      <c r="K16" s="19" t="s">
        <v>98</v>
      </c>
    </row>
    <row r="17" spans="2:11" ht="12" customHeight="1" x14ac:dyDescent="0.2">
      <c r="B17" s="24" t="s">
        <v>298</v>
      </c>
      <c r="C17" s="26">
        <v>46218</v>
      </c>
      <c r="D17" s="26">
        <v>46338</v>
      </c>
      <c r="E17" s="6" t="s">
        <v>6</v>
      </c>
      <c r="F17" s="16">
        <v>1123</v>
      </c>
      <c r="G17" s="16">
        <v>20600697511</v>
      </c>
      <c r="H17" s="1" t="s">
        <v>102</v>
      </c>
      <c r="I17" s="8">
        <v>936</v>
      </c>
      <c r="J17" s="32" t="s">
        <v>312</v>
      </c>
      <c r="K17" s="19" t="s">
        <v>98</v>
      </c>
    </row>
    <row r="18" spans="2:11" ht="12" customHeight="1" x14ac:dyDescent="0.2">
      <c r="B18" s="24" t="s">
        <v>298</v>
      </c>
      <c r="C18" s="26">
        <v>46223</v>
      </c>
      <c r="D18" s="26">
        <v>46283</v>
      </c>
      <c r="E18" s="6" t="s">
        <v>6</v>
      </c>
      <c r="F18" s="16">
        <v>1132</v>
      </c>
      <c r="G18" s="16">
        <v>20452634873</v>
      </c>
      <c r="H18" s="1" t="s">
        <v>82</v>
      </c>
      <c r="I18" s="8">
        <v>2025</v>
      </c>
      <c r="J18" s="32" t="s">
        <v>314</v>
      </c>
      <c r="K18" s="19" t="s">
        <v>98</v>
      </c>
    </row>
    <row r="19" spans="2:11" ht="12" customHeight="1" x14ac:dyDescent="0.2">
      <c r="B19" s="24" t="s">
        <v>298</v>
      </c>
      <c r="C19" s="26">
        <v>46223</v>
      </c>
      <c r="D19" s="26">
        <v>46223</v>
      </c>
      <c r="E19" s="6" t="s">
        <v>6</v>
      </c>
      <c r="F19" s="16">
        <v>1133</v>
      </c>
      <c r="G19" s="16">
        <v>20610679987</v>
      </c>
      <c r="H19" s="1" t="s">
        <v>313</v>
      </c>
      <c r="I19" s="8">
        <v>240</v>
      </c>
      <c r="J19" s="32" t="s">
        <v>284</v>
      </c>
      <c r="K19" s="19" t="s">
        <v>228</v>
      </c>
    </row>
    <row r="20" spans="2:11" ht="12" customHeight="1" x14ac:dyDescent="0.2">
      <c r="B20" s="24"/>
      <c r="C20" s="6"/>
      <c r="D20" s="26"/>
      <c r="E20" s="6"/>
      <c r="F20" s="16"/>
      <c r="G20" s="16"/>
      <c r="I20" s="8"/>
      <c r="J20" s="22"/>
      <c r="K20" s="19"/>
    </row>
    <row r="21" spans="2:11" ht="12" customHeight="1" thickBot="1" x14ac:dyDescent="0.25">
      <c r="H21" s="7" t="s">
        <v>3</v>
      </c>
      <c r="I21" s="9">
        <f>SUM(I7:I19)</f>
        <v>29443.835083602233</v>
      </c>
    </row>
    <row r="22" spans="2:11" ht="10.8" thickTop="1" x14ac:dyDescent="0.2"/>
    <row r="24" spans="2:11" x14ac:dyDescent="0.2">
      <c r="K24" s="3"/>
    </row>
  </sheetData>
  <autoFilter ref="A6:K6" xr:uid="{BF432CE2-3029-418D-BDBD-3B6BBAB31D1F}"/>
  <pageMargins left="0.7" right="0.7" top="0.75" bottom="0.75" header="0.3" footer="0.3"/>
  <pageSetup paperSize="9" scale="66" orientation="landscape" r:id="rId1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60DB-6E7C-4940-87DD-785364B568BD}">
  <dimension ref="B2:P156"/>
  <sheetViews>
    <sheetView topLeftCell="A109" workbookViewId="0">
      <selection activeCell="I134" sqref="I134"/>
    </sheetView>
  </sheetViews>
  <sheetFormatPr baseColWidth="10" defaultRowHeight="10.199999999999999" x14ac:dyDescent="0.2"/>
  <cols>
    <col min="1" max="1" width="3.21875" style="1" customWidth="1"/>
    <col min="2" max="2" width="14" style="1" customWidth="1"/>
    <col min="3" max="3" width="10.77734375" style="1" customWidth="1"/>
    <col min="4" max="4" width="13.44140625" style="1" customWidth="1"/>
    <col min="5" max="5" width="6.21875" style="1" customWidth="1"/>
    <col min="6" max="6" width="10.77734375" style="1" customWidth="1"/>
    <col min="7" max="7" width="11.77734375" style="1" customWidth="1"/>
    <col min="8" max="8" width="35.77734375" style="1" customWidth="1"/>
    <col min="9" max="9" width="11.6640625" style="3" customWidth="1"/>
    <col min="10" max="10" width="63.5546875" style="1" customWidth="1"/>
    <col min="11" max="11" width="18.109375" style="1" customWidth="1"/>
    <col min="12" max="16384" width="11.5546875" style="1"/>
  </cols>
  <sheetData>
    <row r="2" spans="2:12" ht="13.2" customHeight="1" x14ac:dyDescent="0.3">
      <c r="B2" s="2" t="s">
        <v>0</v>
      </c>
      <c r="C2" s="2"/>
    </row>
    <row r="3" spans="2:12" ht="13.2" customHeight="1" x14ac:dyDescent="0.2">
      <c r="B3" s="4" t="s">
        <v>13</v>
      </c>
      <c r="C3" s="4"/>
    </row>
    <row r="4" spans="2:12" ht="13.2" customHeight="1" x14ac:dyDescent="0.2">
      <c r="B4" s="4" t="s">
        <v>315</v>
      </c>
      <c r="C4" s="4"/>
    </row>
    <row r="5" spans="2:12" ht="7.2" customHeight="1" x14ac:dyDescent="0.2">
      <c r="B5" s="4" t="s">
        <v>21</v>
      </c>
      <c r="C5" s="4"/>
    </row>
    <row r="6" spans="2:12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2" x14ac:dyDescent="0.2">
      <c r="B7" s="24" t="s">
        <v>24</v>
      </c>
      <c r="C7" s="6" t="s">
        <v>25</v>
      </c>
      <c r="D7" s="6" t="s">
        <v>26</v>
      </c>
      <c r="E7" s="6" t="s">
        <v>6</v>
      </c>
      <c r="F7" s="16">
        <v>897</v>
      </c>
      <c r="G7" s="16">
        <v>20606133139</v>
      </c>
      <c r="H7" s="1" t="s">
        <v>7</v>
      </c>
      <c r="I7" s="8">
        <v>4200</v>
      </c>
      <c r="J7" s="1" t="s">
        <v>29</v>
      </c>
      <c r="K7" s="19" t="s">
        <v>22</v>
      </c>
    </row>
    <row r="8" spans="2:12" x14ac:dyDescent="0.2">
      <c r="B8" s="24" t="s">
        <v>24</v>
      </c>
      <c r="C8" s="6" t="s">
        <v>27</v>
      </c>
      <c r="D8" s="6" t="s">
        <v>28</v>
      </c>
      <c r="E8" s="6" t="s">
        <v>6</v>
      </c>
      <c r="F8" s="16">
        <v>901</v>
      </c>
      <c r="G8" s="16">
        <v>20546512364</v>
      </c>
      <c r="H8" s="1" t="s">
        <v>33</v>
      </c>
      <c r="I8" s="8">
        <v>2484</v>
      </c>
      <c r="J8" s="1" t="s">
        <v>30</v>
      </c>
      <c r="K8" s="19" t="s">
        <v>17</v>
      </c>
    </row>
    <row r="9" spans="2:12" x14ac:dyDescent="0.2">
      <c r="B9" s="24" t="s">
        <v>24</v>
      </c>
      <c r="C9" s="6" t="s">
        <v>27</v>
      </c>
      <c r="D9" s="6" t="s">
        <v>28</v>
      </c>
      <c r="E9" s="6" t="s">
        <v>6</v>
      </c>
      <c r="F9" s="16">
        <v>902</v>
      </c>
      <c r="G9" s="16">
        <v>20546512364</v>
      </c>
      <c r="H9" s="1" t="s">
        <v>33</v>
      </c>
      <c r="I9" s="8">
        <v>2208</v>
      </c>
      <c r="J9" s="1" t="s">
        <v>31</v>
      </c>
      <c r="K9" s="19" t="s">
        <v>17</v>
      </c>
    </row>
    <row r="10" spans="2:12" x14ac:dyDescent="0.2">
      <c r="B10" s="24" t="s">
        <v>24</v>
      </c>
      <c r="C10" s="6" t="s">
        <v>27</v>
      </c>
      <c r="D10" s="6" t="s">
        <v>28</v>
      </c>
      <c r="E10" s="6" t="s">
        <v>6</v>
      </c>
      <c r="F10" s="16">
        <v>903</v>
      </c>
      <c r="G10" s="16">
        <v>20546512364</v>
      </c>
      <c r="H10" s="1" t="s">
        <v>33</v>
      </c>
      <c r="I10" s="8">
        <v>4416</v>
      </c>
      <c r="J10" s="1" t="s">
        <v>32</v>
      </c>
      <c r="K10" s="19" t="s">
        <v>17</v>
      </c>
    </row>
    <row r="11" spans="2:12" x14ac:dyDescent="0.2">
      <c r="B11" s="24" t="s">
        <v>24</v>
      </c>
      <c r="C11" s="6" t="s">
        <v>37</v>
      </c>
      <c r="D11" s="6" t="s">
        <v>36</v>
      </c>
      <c r="E11" s="6" t="s">
        <v>6</v>
      </c>
      <c r="F11" s="16">
        <v>904</v>
      </c>
      <c r="G11" s="16">
        <v>20494738423</v>
      </c>
      <c r="H11" s="1" t="s">
        <v>35</v>
      </c>
      <c r="I11" s="8">
        <v>160</v>
      </c>
      <c r="J11" s="22" t="s">
        <v>34</v>
      </c>
      <c r="K11" s="19" t="s">
        <v>22</v>
      </c>
    </row>
    <row r="12" spans="2:12" x14ac:dyDescent="0.2">
      <c r="B12" s="24" t="s">
        <v>24</v>
      </c>
      <c r="C12" s="6" t="s">
        <v>38</v>
      </c>
      <c r="D12" s="6" t="s">
        <v>39</v>
      </c>
      <c r="E12" s="6" t="s">
        <v>6</v>
      </c>
      <c r="F12" s="16">
        <v>907</v>
      </c>
      <c r="G12" s="16">
        <v>20100227542</v>
      </c>
      <c r="H12" s="1" t="s">
        <v>40</v>
      </c>
      <c r="I12" s="8">
        <v>3149</v>
      </c>
      <c r="J12" s="22" t="s">
        <v>41</v>
      </c>
      <c r="K12" s="19" t="s">
        <v>17</v>
      </c>
    </row>
    <row r="13" spans="2:12" x14ac:dyDescent="0.2">
      <c r="B13" s="24" t="s">
        <v>24</v>
      </c>
      <c r="C13" s="6" t="s">
        <v>38</v>
      </c>
      <c r="D13" s="6" t="s">
        <v>47</v>
      </c>
      <c r="E13" s="6" t="s">
        <v>6</v>
      </c>
      <c r="F13" s="16">
        <v>908</v>
      </c>
      <c r="G13" s="16">
        <v>20566144434</v>
      </c>
      <c r="H13" s="1" t="s">
        <v>46</v>
      </c>
      <c r="I13" s="8">
        <v>760</v>
      </c>
      <c r="J13" s="22" t="s">
        <v>45</v>
      </c>
      <c r="K13" s="19" t="s">
        <v>22</v>
      </c>
      <c r="L13" s="8"/>
    </row>
    <row r="14" spans="2:12" x14ac:dyDescent="0.2">
      <c r="B14" s="24" t="s">
        <v>24</v>
      </c>
      <c r="C14" s="6" t="s">
        <v>38</v>
      </c>
      <c r="D14" s="6" t="s">
        <v>44</v>
      </c>
      <c r="E14" s="6" t="s">
        <v>6</v>
      </c>
      <c r="F14" s="16">
        <v>910</v>
      </c>
      <c r="G14" s="16">
        <v>20109930751</v>
      </c>
      <c r="H14" s="1" t="s">
        <v>95</v>
      </c>
      <c r="I14" s="8">
        <v>3780</v>
      </c>
      <c r="J14" s="22" t="s">
        <v>43</v>
      </c>
      <c r="K14" s="19" t="s">
        <v>42</v>
      </c>
    </row>
    <row r="15" spans="2:12" x14ac:dyDescent="0.2">
      <c r="B15" s="24" t="s">
        <v>24</v>
      </c>
      <c r="C15" s="6" t="s">
        <v>48</v>
      </c>
      <c r="D15" s="6" t="s">
        <v>53</v>
      </c>
      <c r="E15" s="6" t="s">
        <v>6</v>
      </c>
      <c r="F15" s="16">
        <v>911</v>
      </c>
      <c r="G15" s="16">
        <v>20612693804</v>
      </c>
      <c r="H15" s="1" t="s">
        <v>49</v>
      </c>
      <c r="I15" s="8">
        <v>1400</v>
      </c>
      <c r="J15" s="22" t="s">
        <v>50</v>
      </c>
      <c r="K15" s="19" t="s">
        <v>22</v>
      </c>
    </row>
    <row r="16" spans="2:12" x14ac:dyDescent="0.2">
      <c r="B16" s="24" t="s">
        <v>24</v>
      </c>
      <c r="C16" s="6" t="s">
        <v>51</v>
      </c>
      <c r="D16" s="6" t="s">
        <v>52</v>
      </c>
      <c r="E16" s="6" t="s">
        <v>6</v>
      </c>
      <c r="F16" s="16">
        <v>912</v>
      </c>
      <c r="G16" s="16">
        <v>20494586810</v>
      </c>
      <c r="H16" s="1" t="s">
        <v>54</v>
      </c>
      <c r="I16" s="8">
        <v>186</v>
      </c>
      <c r="J16" s="22" t="s">
        <v>55</v>
      </c>
      <c r="K16" s="19" t="s">
        <v>17</v>
      </c>
    </row>
    <row r="17" spans="2:16" x14ac:dyDescent="0.2">
      <c r="B17" s="24" t="s">
        <v>24</v>
      </c>
      <c r="C17" s="6" t="s">
        <v>51</v>
      </c>
      <c r="D17" s="6" t="s">
        <v>52</v>
      </c>
      <c r="E17" s="6" t="s">
        <v>6</v>
      </c>
      <c r="F17" s="16">
        <v>913</v>
      </c>
      <c r="G17" s="16">
        <v>20494586810</v>
      </c>
      <c r="H17" s="1" t="s">
        <v>54</v>
      </c>
      <c r="I17" s="8">
        <v>54</v>
      </c>
      <c r="J17" s="22" t="s">
        <v>56</v>
      </c>
      <c r="K17" s="19" t="s">
        <v>17</v>
      </c>
    </row>
    <row r="18" spans="2:16" x14ac:dyDescent="0.2">
      <c r="B18" s="24" t="s">
        <v>24</v>
      </c>
      <c r="C18" s="6" t="s">
        <v>57</v>
      </c>
      <c r="D18" s="6" t="s">
        <v>58</v>
      </c>
      <c r="E18" s="6" t="s">
        <v>6</v>
      </c>
      <c r="F18" s="16">
        <v>914</v>
      </c>
      <c r="G18" s="16">
        <v>20606009284</v>
      </c>
      <c r="H18" s="1" t="s">
        <v>59</v>
      </c>
      <c r="I18" s="8">
        <v>24500</v>
      </c>
      <c r="J18" s="22" t="s">
        <v>60</v>
      </c>
      <c r="K18" s="19" t="s">
        <v>42</v>
      </c>
    </row>
    <row r="19" spans="2:16" x14ac:dyDescent="0.2">
      <c r="B19" s="24" t="s">
        <v>24</v>
      </c>
      <c r="C19" s="6" t="s">
        <v>61</v>
      </c>
      <c r="D19" s="6" t="s">
        <v>62</v>
      </c>
      <c r="E19" s="6" t="s">
        <v>6</v>
      </c>
      <c r="F19" s="16">
        <v>916</v>
      </c>
      <c r="G19" s="16">
        <v>20176770474</v>
      </c>
      <c r="H19" s="1" t="s">
        <v>63</v>
      </c>
      <c r="I19" s="8">
        <v>400</v>
      </c>
      <c r="J19" s="22" t="s">
        <v>64</v>
      </c>
      <c r="K19" s="19" t="s">
        <v>22</v>
      </c>
    </row>
    <row r="20" spans="2:16" x14ac:dyDescent="0.2">
      <c r="B20" s="24" t="s">
        <v>24</v>
      </c>
      <c r="C20" s="6" t="s">
        <v>78</v>
      </c>
      <c r="D20" s="6" t="s">
        <v>78</v>
      </c>
      <c r="E20" s="6" t="s">
        <v>6</v>
      </c>
      <c r="F20" s="16">
        <v>917</v>
      </c>
      <c r="G20" s="16">
        <v>20607158763</v>
      </c>
      <c r="H20" s="1" t="s">
        <v>65</v>
      </c>
      <c r="I20" s="8">
        <v>600</v>
      </c>
      <c r="J20" s="22" t="s">
        <v>66</v>
      </c>
      <c r="K20" s="19" t="s">
        <v>69</v>
      </c>
    </row>
    <row r="21" spans="2:16" x14ac:dyDescent="0.2">
      <c r="B21" s="24" t="s">
        <v>24</v>
      </c>
      <c r="C21" s="6" t="s">
        <v>78</v>
      </c>
      <c r="D21" s="6" t="s">
        <v>79</v>
      </c>
      <c r="E21" s="6" t="s">
        <v>6</v>
      </c>
      <c r="F21" s="16">
        <v>918</v>
      </c>
      <c r="G21" s="16">
        <v>20614560011</v>
      </c>
      <c r="H21" s="1" t="s">
        <v>67</v>
      </c>
      <c r="I21" s="8">
        <v>2624</v>
      </c>
      <c r="J21" s="22" t="s">
        <v>68</v>
      </c>
      <c r="K21" s="19" t="s">
        <v>17</v>
      </c>
    </row>
    <row r="22" spans="2:16" x14ac:dyDescent="0.2">
      <c r="B22" s="24" t="s">
        <v>24</v>
      </c>
      <c r="C22" s="6" t="s">
        <v>80</v>
      </c>
      <c r="D22" s="6" t="s">
        <v>71</v>
      </c>
      <c r="E22" s="6" t="s">
        <v>6</v>
      </c>
      <c r="F22" s="16">
        <v>920</v>
      </c>
      <c r="G22" s="16">
        <v>20367336081</v>
      </c>
      <c r="H22" s="1" t="s">
        <v>70</v>
      </c>
      <c r="I22" s="8">
        <v>80</v>
      </c>
      <c r="J22" s="22" t="s">
        <v>72</v>
      </c>
      <c r="K22" s="19" t="s">
        <v>17</v>
      </c>
      <c r="L22" s="8"/>
    </row>
    <row r="23" spans="2:16" x14ac:dyDescent="0.2">
      <c r="B23" s="24" t="s">
        <v>24</v>
      </c>
      <c r="C23" s="6" t="s">
        <v>80</v>
      </c>
      <c r="D23" s="6" t="s">
        <v>74</v>
      </c>
      <c r="E23" s="6" t="s">
        <v>6</v>
      </c>
      <c r="F23" s="16">
        <v>921</v>
      </c>
      <c r="G23" s="16">
        <v>20480514212</v>
      </c>
      <c r="H23" s="1" t="s">
        <v>73</v>
      </c>
      <c r="I23" s="8">
        <v>1056</v>
      </c>
      <c r="J23" s="22" t="s">
        <v>75</v>
      </c>
      <c r="K23" s="19" t="s">
        <v>42</v>
      </c>
      <c r="L23" s="8"/>
    </row>
    <row r="24" spans="2:16" x14ac:dyDescent="0.2">
      <c r="B24" s="24" t="s">
        <v>24</v>
      </c>
      <c r="C24" s="6" t="s">
        <v>80</v>
      </c>
      <c r="D24" s="6" t="s">
        <v>74</v>
      </c>
      <c r="E24" s="6" t="s">
        <v>6</v>
      </c>
      <c r="F24" s="16">
        <v>922</v>
      </c>
      <c r="G24" s="16">
        <v>20480514212</v>
      </c>
      <c r="H24" s="1" t="s">
        <v>73</v>
      </c>
      <c r="I24" s="8">
        <v>545</v>
      </c>
      <c r="J24" s="22" t="s">
        <v>76</v>
      </c>
      <c r="K24" s="19" t="s">
        <v>42</v>
      </c>
    </row>
    <row r="25" spans="2:16" x14ac:dyDescent="0.2">
      <c r="B25" s="24" t="s">
        <v>24</v>
      </c>
      <c r="C25" s="6" t="s">
        <v>71</v>
      </c>
      <c r="D25" s="6" t="s">
        <v>81</v>
      </c>
      <c r="E25" s="6" t="s">
        <v>6</v>
      </c>
      <c r="F25" s="16">
        <v>925</v>
      </c>
      <c r="G25" s="16">
        <v>20452634873</v>
      </c>
      <c r="H25" s="1" t="s">
        <v>82</v>
      </c>
      <c r="I25" s="8">
        <v>1310.4000000000001</v>
      </c>
      <c r="J25" s="22" t="s">
        <v>77</v>
      </c>
      <c r="K25" s="19" t="s">
        <v>17</v>
      </c>
      <c r="P25" s="8"/>
    </row>
    <row r="26" spans="2:16" x14ac:dyDescent="0.2">
      <c r="B26" s="24" t="s">
        <v>24</v>
      </c>
      <c r="C26" s="6" t="s">
        <v>71</v>
      </c>
      <c r="D26" s="6" t="s">
        <v>71</v>
      </c>
      <c r="E26" s="6" t="s">
        <v>6</v>
      </c>
      <c r="F26" s="16">
        <v>926</v>
      </c>
      <c r="G26" s="16">
        <v>20611762543</v>
      </c>
      <c r="H26" s="1" t="s">
        <v>83</v>
      </c>
      <c r="I26" s="8">
        <v>16320</v>
      </c>
      <c r="J26" s="22" t="s">
        <v>84</v>
      </c>
      <c r="K26" s="19" t="s">
        <v>17</v>
      </c>
      <c r="L26" s="8"/>
    </row>
    <row r="27" spans="2:16" x14ac:dyDescent="0.2">
      <c r="B27" s="24" t="s">
        <v>85</v>
      </c>
      <c r="C27" s="6" t="s">
        <v>86</v>
      </c>
      <c r="D27" s="6" t="s">
        <v>88</v>
      </c>
      <c r="E27" s="6" t="s">
        <v>6</v>
      </c>
      <c r="F27" s="16">
        <v>928</v>
      </c>
      <c r="G27" s="16">
        <v>20612887234</v>
      </c>
      <c r="H27" s="1" t="s">
        <v>87</v>
      </c>
      <c r="I27" s="8">
        <v>4144</v>
      </c>
      <c r="J27" s="22" t="s">
        <v>89</v>
      </c>
      <c r="K27" s="19" t="s">
        <v>22</v>
      </c>
    </row>
    <row r="28" spans="2:16" x14ac:dyDescent="0.2">
      <c r="B28" s="24" t="s">
        <v>85</v>
      </c>
      <c r="C28" s="6" t="s">
        <v>86</v>
      </c>
      <c r="D28" s="6" t="s">
        <v>88</v>
      </c>
      <c r="E28" s="6" t="s">
        <v>6</v>
      </c>
      <c r="F28" s="16">
        <v>929</v>
      </c>
      <c r="G28" s="16">
        <v>20612065668</v>
      </c>
      <c r="H28" s="1" t="s">
        <v>90</v>
      </c>
      <c r="I28" s="8">
        <v>3556</v>
      </c>
      <c r="J28" s="22" t="s">
        <v>91</v>
      </c>
      <c r="K28" s="19" t="s">
        <v>22</v>
      </c>
    </row>
    <row r="29" spans="2:16" x14ac:dyDescent="0.2">
      <c r="B29" s="24" t="s">
        <v>85</v>
      </c>
      <c r="C29" s="6" t="s">
        <v>92</v>
      </c>
      <c r="D29" s="6" t="s">
        <v>94</v>
      </c>
      <c r="E29" s="6" t="s">
        <v>6</v>
      </c>
      <c r="F29" s="16">
        <v>930</v>
      </c>
      <c r="G29" s="16">
        <v>20600697511</v>
      </c>
      <c r="H29" s="1" t="s">
        <v>102</v>
      </c>
      <c r="I29" s="8">
        <v>1404</v>
      </c>
      <c r="J29" s="22" t="s">
        <v>93</v>
      </c>
      <c r="K29" s="19" t="s">
        <v>98</v>
      </c>
    </row>
    <row r="30" spans="2:16" x14ac:dyDescent="0.2">
      <c r="B30" s="24" t="s">
        <v>85</v>
      </c>
      <c r="C30" s="6" t="s">
        <v>96</v>
      </c>
      <c r="D30" s="6" t="s">
        <v>97</v>
      </c>
      <c r="E30" s="6" t="s">
        <v>6</v>
      </c>
      <c r="F30" s="16">
        <v>934</v>
      </c>
      <c r="G30" s="16">
        <v>20109930751</v>
      </c>
      <c r="H30" s="1" t="s">
        <v>95</v>
      </c>
      <c r="I30" s="8">
        <v>3150</v>
      </c>
      <c r="J30" s="22" t="s">
        <v>29</v>
      </c>
      <c r="K30" s="19" t="s">
        <v>42</v>
      </c>
    </row>
    <row r="31" spans="2:16" s="8" customFormat="1" x14ac:dyDescent="0.2">
      <c r="B31" s="24" t="s">
        <v>85</v>
      </c>
      <c r="C31" s="6" t="s">
        <v>99</v>
      </c>
      <c r="D31" s="24" t="s">
        <v>101</v>
      </c>
      <c r="E31" s="24" t="s">
        <v>6</v>
      </c>
      <c r="F31" s="16">
        <v>936</v>
      </c>
      <c r="G31" s="16">
        <v>20176770474</v>
      </c>
      <c r="H31" s="1" t="s">
        <v>63</v>
      </c>
      <c r="I31" s="8">
        <v>400</v>
      </c>
      <c r="J31" s="25" t="s">
        <v>64</v>
      </c>
      <c r="K31" s="19" t="s">
        <v>98</v>
      </c>
    </row>
    <row r="32" spans="2:16" x14ac:dyDescent="0.2">
      <c r="B32" s="24" t="s">
        <v>85</v>
      </c>
      <c r="C32" s="6" t="s">
        <v>100</v>
      </c>
      <c r="D32" s="6" t="s">
        <v>104</v>
      </c>
      <c r="E32" s="6" t="s">
        <v>6</v>
      </c>
      <c r="F32" s="16">
        <v>937</v>
      </c>
      <c r="G32" s="16">
        <v>20600697511</v>
      </c>
      <c r="H32" s="1" t="s">
        <v>102</v>
      </c>
      <c r="I32" s="8">
        <v>1872</v>
      </c>
      <c r="J32" s="22" t="s">
        <v>103</v>
      </c>
      <c r="K32" s="19" t="s">
        <v>98</v>
      </c>
      <c r="L32" s="8"/>
    </row>
    <row r="33" spans="2:13" x14ac:dyDescent="0.2">
      <c r="B33" s="24" t="s">
        <v>85</v>
      </c>
      <c r="C33" s="6" t="s">
        <v>100</v>
      </c>
      <c r="D33" s="6" t="s">
        <v>105</v>
      </c>
      <c r="E33" s="6" t="s">
        <v>6</v>
      </c>
      <c r="F33" s="16">
        <v>938</v>
      </c>
      <c r="G33" s="16">
        <v>20325346435</v>
      </c>
      <c r="H33" s="1" t="s">
        <v>106</v>
      </c>
      <c r="I33" s="8">
        <v>4693</v>
      </c>
      <c r="J33" s="22" t="s">
        <v>107</v>
      </c>
      <c r="K33" s="19" t="s">
        <v>17</v>
      </c>
    </row>
    <row r="34" spans="2:13" x14ac:dyDescent="0.2">
      <c r="B34" s="24" t="s">
        <v>85</v>
      </c>
      <c r="C34" s="6" t="s">
        <v>100</v>
      </c>
      <c r="D34" s="6" t="s">
        <v>44</v>
      </c>
      <c r="E34" s="6" t="s">
        <v>6</v>
      </c>
      <c r="F34" s="16">
        <v>939</v>
      </c>
      <c r="G34" s="16">
        <v>20612065668</v>
      </c>
      <c r="H34" s="1" t="s">
        <v>90</v>
      </c>
      <c r="I34" s="8">
        <v>3640</v>
      </c>
      <c r="J34" s="22" t="s">
        <v>108</v>
      </c>
      <c r="K34" s="19" t="s">
        <v>17</v>
      </c>
    </row>
    <row r="35" spans="2:13" x14ac:dyDescent="0.2">
      <c r="B35" s="24" t="s">
        <v>85</v>
      </c>
      <c r="C35" s="6" t="s">
        <v>100</v>
      </c>
      <c r="D35" s="6" t="s">
        <v>105</v>
      </c>
      <c r="E35" s="6" t="s">
        <v>6</v>
      </c>
      <c r="F35" s="16">
        <v>940</v>
      </c>
      <c r="G35" s="16">
        <v>20502072006</v>
      </c>
      <c r="H35" s="1" t="s">
        <v>109</v>
      </c>
      <c r="I35" s="8">
        <v>437</v>
      </c>
      <c r="J35" s="22" t="s">
        <v>110</v>
      </c>
      <c r="K35" s="19" t="s">
        <v>17</v>
      </c>
    </row>
    <row r="36" spans="2:13" x14ac:dyDescent="0.2">
      <c r="B36" s="24" t="s">
        <v>85</v>
      </c>
      <c r="C36" s="6" t="s">
        <v>100</v>
      </c>
      <c r="D36" s="6" t="s">
        <v>105</v>
      </c>
      <c r="E36" s="6" t="s">
        <v>6</v>
      </c>
      <c r="F36" s="16">
        <v>941</v>
      </c>
      <c r="G36" s="16">
        <v>20608162926</v>
      </c>
      <c r="H36" s="1" t="s">
        <v>112</v>
      </c>
      <c r="I36" s="8">
        <v>304</v>
      </c>
      <c r="J36" s="22" t="s">
        <v>111</v>
      </c>
      <c r="K36" s="19" t="s">
        <v>17</v>
      </c>
    </row>
    <row r="37" spans="2:13" x14ac:dyDescent="0.2">
      <c r="B37" s="24" t="s">
        <v>85</v>
      </c>
      <c r="C37" s="6" t="s">
        <v>113</v>
      </c>
      <c r="D37" s="6" t="s">
        <v>100</v>
      </c>
      <c r="E37" s="6" t="s">
        <v>6</v>
      </c>
      <c r="F37" s="16">
        <v>945</v>
      </c>
      <c r="G37" s="16">
        <v>10707557686</v>
      </c>
      <c r="H37" s="1" t="s">
        <v>115</v>
      </c>
      <c r="I37" s="8">
        <v>17</v>
      </c>
      <c r="J37" s="22" t="s">
        <v>114</v>
      </c>
      <c r="K37" s="19" t="s">
        <v>98</v>
      </c>
    </row>
    <row r="38" spans="2:13" x14ac:dyDescent="0.2">
      <c r="B38" s="24" t="s">
        <v>85</v>
      </c>
      <c r="C38" s="6" t="s">
        <v>52</v>
      </c>
      <c r="D38" s="26">
        <v>46131</v>
      </c>
      <c r="E38" s="6" t="s">
        <v>6</v>
      </c>
      <c r="F38" s="16">
        <v>948</v>
      </c>
      <c r="G38" s="16">
        <v>20452634873</v>
      </c>
      <c r="H38" s="1" t="s">
        <v>82</v>
      </c>
      <c r="I38" s="8">
        <v>1365</v>
      </c>
      <c r="J38" s="22" t="s">
        <v>77</v>
      </c>
      <c r="K38" s="19" t="s">
        <v>98</v>
      </c>
      <c r="L38" s="29"/>
    </row>
    <row r="39" spans="2:13" x14ac:dyDescent="0.2">
      <c r="B39" s="24" t="s">
        <v>85</v>
      </c>
      <c r="C39" s="6" t="s">
        <v>117</v>
      </c>
      <c r="D39" s="26" t="s">
        <v>119</v>
      </c>
      <c r="E39" s="6" t="s">
        <v>6</v>
      </c>
      <c r="F39" s="16">
        <v>952</v>
      </c>
      <c r="G39" s="16">
        <v>20608162926</v>
      </c>
      <c r="H39" s="1" t="s">
        <v>112</v>
      </c>
      <c r="I39" s="8">
        <v>222</v>
      </c>
      <c r="J39" s="22" t="s">
        <v>121</v>
      </c>
      <c r="K39" s="19" t="s">
        <v>17</v>
      </c>
    </row>
    <row r="40" spans="2:13" x14ac:dyDescent="0.2">
      <c r="B40" s="24" t="s">
        <v>85</v>
      </c>
      <c r="C40" s="6" t="s">
        <v>117</v>
      </c>
      <c r="D40" s="26" t="s">
        <v>119</v>
      </c>
      <c r="E40" s="6" t="s">
        <v>6</v>
      </c>
      <c r="F40" s="16">
        <v>953</v>
      </c>
      <c r="G40" s="16">
        <v>20502072006</v>
      </c>
      <c r="H40" s="1" t="s">
        <v>109</v>
      </c>
      <c r="I40" s="8">
        <v>429.2</v>
      </c>
      <c r="J40" s="22" t="s">
        <v>122</v>
      </c>
      <c r="K40" s="19" t="s">
        <v>17</v>
      </c>
    </row>
    <row r="41" spans="2:13" x14ac:dyDescent="0.2">
      <c r="B41" s="24" t="s">
        <v>85</v>
      </c>
      <c r="C41" s="6" t="s">
        <v>117</v>
      </c>
      <c r="D41" s="26" t="s">
        <v>119</v>
      </c>
      <c r="E41" s="6" t="s">
        <v>6</v>
      </c>
      <c r="F41" s="16">
        <v>954</v>
      </c>
      <c r="G41" s="16">
        <v>20325346435</v>
      </c>
      <c r="H41" s="1" t="s">
        <v>106</v>
      </c>
      <c r="I41" s="8">
        <v>5557.4</v>
      </c>
      <c r="J41" s="22" t="s">
        <v>123</v>
      </c>
      <c r="K41" s="19" t="s">
        <v>17</v>
      </c>
    </row>
    <row r="42" spans="2:13" x14ac:dyDescent="0.2">
      <c r="B42" s="24" t="s">
        <v>85</v>
      </c>
      <c r="C42" s="6" t="s">
        <v>118</v>
      </c>
      <c r="D42" s="6" t="s">
        <v>120</v>
      </c>
      <c r="E42" s="6" t="s">
        <v>6</v>
      </c>
      <c r="F42" s="16">
        <v>956</v>
      </c>
      <c r="G42" s="27">
        <v>20509113573</v>
      </c>
      <c r="H42" s="1" t="s">
        <v>116</v>
      </c>
      <c r="I42" s="8">
        <v>1126.4000000000001</v>
      </c>
      <c r="J42" s="22" t="s">
        <v>124</v>
      </c>
      <c r="K42" s="19" t="s">
        <v>98</v>
      </c>
      <c r="M42" s="23"/>
    </row>
    <row r="43" spans="2:13" x14ac:dyDescent="0.2">
      <c r="B43" s="24" t="s">
        <v>85</v>
      </c>
      <c r="C43" s="6" t="s">
        <v>125</v>
      </c>
      <c r="D43" s="6" t="s">
        <v>126</v>
      </c>
      <c r="E43" s="6" t="s">
        <v>6</v>
      </c>
      <c r="F43" s="16">
        <v>957</v>
      </c>
      <c r="G43" s="16">
        <v>20494586810</v>
      </c>
      <c r="H43" s="1" t="s">
        <v>54</v>
      </c>
      <c r="I43" s="8">
        <v>240</v>
      </c>
      <c r="J43" s="22" t="s">
        <v>130</v>
      </c>
      <c r="K43" s="19" t="s">
        <v>17</v>
      </c>
    </row>
    <row r="44" spans="2:13" x14ac:dyDescent="0.2">
      <c r="B44" s="24" t="s">
        <v>85</v>
      </c>
      <c r="C44" s="6" t="s">
        <v>125</v>
      </c>
      <c r="D44" s="6" t="s">
        <v>256</v>
      </c>
      <c r="E44" s="6" t="s">
        <v>6</v>
      </c>
      <c r="F44" s="16">
        <v>958</v>
      </c>
      <c r="G44" s="16">
        <v>20614560011</v>
      </c>
      <c r="H44" s="1" t="s">
        <v>67</v>
      </c>
      <c r="I44" s="8">
        <v>665</v>
      </c>
      <c r="J44" s="22" t="s">
        <v>129</v>
      </c>
      <c r="K44" s="19" t="s">
        <v>17</v>
      </c>
    </row>
    <row r="45" spans="2:13" x14ac:dyDescent="0.2">
      <c r="B45" s="24" t="s">
        <v>85</v>
      </c>
      <c r="C45" s="6" t="s">
        <v>125</v>
      </c>
      <c r="D45" s="6" t="s">
        <v>256</v>
      </c>
      <c r="E45" s="6" t="s">
        <v>6</v>
      </c>
      <c r="F45" s="16">
        <v>960</v>
      </c>
      <c r="G45" s="16">
        <v>20563196387</v>
      </c>
      <c r="H45" s="1" t="s">
        <v>127</v>
      </c>
      <c r="I45" s="8">
        <v>4958</v>
      </c>
      <c r="J45" s="22" t="s">
        <v>128</v>
      </c>
      <c r="K45" s="19" t="s">
        <v>42</v>
      </c>
      <c r="L45" s="8"/>
    </row>
    <row r="46" spans="2:13" x14ac:dyDescent="0.2">
      <c r="B46" s="24" t="s">
        <v>131</v>
      </c>
      <c r="C46" s="6" t="s">
        <v>132</v>
      </c>
      <c r="D46" s="6" t="s">
        <v>135</v>
      </c>
      <c r="E46" s="6" t="s">
        <v>6</v>
      </c>
      <c r="F46" s="16">
        <v>965</v>
      </c>
      <c r="G46" s="16">
        <v>20608328409</v>
      </c>
      <c r="H46" s="1" t="s">
        <v>134</v>
      </c>
      <c r="I46" s="8">
        <v>5180</v>
      </c>
      <c r="J46" s="22" t="s">
        <v>241</v>
      </c>
      <c r="K46" s="19" t="s">
        <v>98</v>
      </c>
      <c r="L46" s="8"/>
    </row>
    <row r="47" spans="2:13" x14ac:dyDescent="0.2">
      <c r="B47" s="24" t="s">
        <v>131</v>
      </c>
      <c r="C47" s="6" t="s">
        <v>132</v>
      </c>
      <c r="D47" s="6" t="s">
        <v>135</v>
      </c>
      <c r="E47" s="6" t="s">
        <v>6</v>
      </c>
      <c r="F47" s="16">
        <v>966</v>
      </c>
      <c r="G47" s="16">
        <v>20606009284</v>
      </c>
      <c r="H47" s="1" t="s">
        <v>59</v>
      </c>
      <c r="I47" s="8">
        <v>10000</v>
      </c>
      <c r="J47" s="22" t="s">
        <v>136</v>
      </c>
      <c r="K47" s="19" t="s">
        <v>42</v>
      </c>
    </row>
    <row r="48" spans="2:13" x14ac:dyDescent="0.2">
      <c r="B48" s="24" t="s">
        <v>131</v>
      </c>
      <c r="C48" s="6" t="s">
        <v>133</v>
      </c>
      <c r="D48" s="6" t="s">
        <v>137</v>
      </c>
      <c r="E48" s="6" t="s">
        <v>6</v>
      </c>
      <c r="F48" s="16">
        <v>967</v>
      </c>
      <c r="G48" s="16">
        <v>20600697511</v>
      </c>
      <c r="H48" s="1" t="s">
        <v>102</v>
      </c>
      <c r="I48" s="8">
        <v>936</v>
      </c>
      <c r="J48" s="22" t="s">
        <v>138</v>
      </c>
      <c r="K48" s="19" t="s">
        <v>98</v>
      </c>
    </row>
    <row r="49" spans="2:12" x14ac:dyDescent="0.2">
      <c r="B49" s="24" t="s">
        <v>131</v>
      </c>
      <c r="C49" s="6" t="s">
        <v>139</v>
      </c>
      <c r="D49" s="6" t="s">
        <v>144</v>
      </c>
      <c r="E49" s="6" t="s">
        <v>6</v>
      </c>
      <c r="F49" s="16">
        <v>968</v>
      </c>
      <c r="G49" s="16">
        <v>20565586247</v>
      </c>
      <c r="H49" s="1" t="s">
        <v>143</v>
      </c>
      <c r="I49" s="8">
        <v>1232</v>
      </c>
      <c r="J49" s="22" t="s">
        <v>145</v>
      </c>
      <c r="K49" s="19" t="s">
        <v>17</v>
      </c>
    </row>
    <row r="50" spans="2:12" x14ac:dyDescent="0.2">
      <c r="B50" s="24" t="s">
        <v>131</v>
      </c>
      <c r="C50" s="6" t="s">
        <v>139</v>
      </c>
      <c r="D50" s="6" t="s">
        <v>140</v>
      </c>
      <c r="E50" s="6" t="s">
        <v>6</v>
      </c>
      <c r="F50" s="16">
        <v>969</v>
      </c>
      <c r="G50" s="16">
        <v>20600697511</v>
      </c>
      <c r="H50" s="1" t="s">
        <v>102</v>
      </c>
      <c r="I50" s="8">
        <v>2340</v>
      </c>
      <c r="J50" s="22" t="s">
        <v>141</v>
      </c>
      <c r="K50" s="19" t="s">
        <v>98</v>
      </c>
      <c r="L50" s="8"/>
    </row>
    <row r="51" spans="2:12" x14ac:dyDescent="0.2">
      <c r="B51" s="24" t="s">
        <v>131</v>
      </c>
      <c r="C51" s="6" t="s">
        <v>139</v>
      </c>
      <c r="D51" s="6" t="s">
        <v>140</v>
      </c>
      <c r="E51" s="6" t="s">
        <v>6</v>
      </c>
      <c r="F51" s="16">
        <v>970</v>
      </c>
      <c r="G51" s="16">
        <v>20608328409</v>
      </c>
      <c r="H51" s="1" t="s">
        <v>134</v>
      </c>
      <c r="I51" s="8">
        <v>8917</v>
      </c>
      <c r="J51" s="22" t="s">
        <v>142</v>
      </c>
      <c r="K51" s="19" t="s">
        <v>98</v>
      </c>
      <c r="L51" s="8"/>
    </row>
    <row r="52" spans="2:12" x14ac:dyDescent="0.2">
      <c r="B52" s="24" t="s">
        <v>131</v>
      </c>
      <c r="C52" s="6" t="s">
        <v>139</v>
      </c>
      <c r="D52" s="6" t="s">
        <v>147</v>
      </c>
      <c r="E52" s="6" t="s">
        <v>6</v>
      </c>
      <c r="F52" s="16">
        <v>971</v>
      </c>
      <c r="G52" s="16">
        <v>10237050008</v>
      </c>
      <c r="H52" s="1" t="s">
        <v>146</v>
      </c>
      <c r="I52" s="8">
        <v>320</v>
      </c>
      <c r="J52" s="22" t="s">
        <v>148</v>
      </c>
      <c r="K52" s="19" t="s">
        <v>17</v>
      </c>
    </row>
    <row r="53" spans="2:12" x14ac:dyDescent="0.2">
      <c r="B53" s="24" t="s">
        <v>131</v>
      </c>
      <c r="C53" s="6" t="s">
        <v>149</v>
      </c>
      <c r="D53" s="6" t="s">
        <v>165</v>
      </c>
      <c r="E53" s="6" t="s">
        <v>6</v>
      </c>
      <c r="F53" s="16">
        <v>972</v>
      </c>
      <c r="G53" s="16">
        <v>20601438586</v>
      </c>
      <c r="H53" s="1" t="s">
        <v>150</v>
      </c>
      <c r="I53" s="8">
        <v>200</v>
      </c>
      <c r="J53" s="22" t="s">
        <v>151</v>
      </c>
      <c r="K53" s="19" t="s">
        <v>152</v>
      </c>
    </row>
    <row r="54" spans="2:12" x14ac:dyDescent="0.2">
      <c r="B54" s="24" t="s">
        <v>131</v>
      </c>
      <c r="C54" s="6" t="s">
        <v>153</v>
      </c>
      <c r="D54" s="6" t="s">
        <v>153</v>
      </c>
      <c r="E54" s="6" t="s">
        <v>6</v>
      </c>
      <c r="F54" s="16">
        <v>975</v>
      </c>
      <c r="G54" s="16">
        <v>20613808893</v>
      </c>
      <c r="H54" s="1" t="s">
        <v>156</v>
      </c>
      <c r="I54" s="8">
        <v>96</v>
      </c>
      <c r="J54" s="22" t="s">
        <v>155</v>
      </c>
      <c r="K54" s="19" t="s">
        <v>69</v>
      </c>
    </row>
    <row r="55" spans="2:12" x14ac:dyDescent="0.2">
      <c r="B55" s="24" t="s">
        <v>131</v>
      </c>
      <c r="C55" s="6" t="s">
        <v>154</v>
      </c>
      <c r="D55" s="6" t="s">
        <v>255</v>
      </c>
      <c r="E55" s="6" t="s">
        <v>6</v>
      </c>
      <c r="F55" s="16">
        <v>976</v>
      </c>
      <c r="G55" s="16">
        <v>20606009284</v>
      </c>
      <c r="H55" s="1" t="s">
        <v>59</v>
      </c>
      <c r="I55" s="8">
        <v>10000</v>
      </c>
      <c r="J55" s="22" t="s">
        <v>136</v>
      </c>
      <c r="K55" s="19" t="s">
        <v>42</v>
      </c>
    </row>
    <row r="56" spans="2:12" x14ac:dyDescent="0.2">
      <c r="B56" s="24" t="s">
        <v>131</v>
      </c>
      <c r="C56" s="6" t="s">
        <v>157</v>
      </c>
      <c r="D56" s="6" t="s">
        <v>159</v>
      </c>
      <c r="E56" s="6" t="s">
        <v>6</v>
      </c>
      <c r="F56" s="16">
        <v>977</v>
      </c>
      <c r="G56" s="16">
        <v>20452634873</v>
      </c>
      <c r="H56" s="1" t="s">
        <v>82</v>
      </c>
      <c r="I56" s="8">
        <v>2646</v>
      </c>
      <c r="J56" s="22" t="s">
        <v>160</v>
      </c>
      <c r="K56" s="19" t="s">
        <v>98</v>
      </c>
      <c r="L56" s="8"/>
    </row>
    <row r="57" spans="2:12" x14ac:dyDescent="0.2">
      <c r="B57" s="24" t="s">
        <v>131</v>
      </c>
      <c r="C57" s="6" t="s">
        <v>158</v>
      </c>
      <c r="D57" s="6" t="s">
        <v>163</v>
      </c>
      <c r="E57" s="6" t="s">
        <v>6</v>
      </c>
      <c r="F57" s="16">
        <v>978</v>
      </c>
      <c r="G57" s="16">
        <v>20602691439</v>
      </c>
      <c r="H57" s="1" t="s">
        <v>162</v>
      </c>
      <c r="I57" s="8">
        <v>3840</v>
      </c>
      <c r="J57" s="22" t="s">
        <v>161</v>
      </c>
      <c r="K57" s="19" t="s">
        <v>17</v>
      </c>
      <c r="L57" s="8"/>
    </row>
    <row r="58" spans="2:12" x14ac:dyDescent="0.2">
      <c r="B58" s="24" t="s">
        <v>131</v>
      </c>
      <c r="C58" s="6" t="s">
        <v>166</v>
      </c>
      <c r="D58" s="6" t="s">
        <v>167</v>
      </c>
      <c r="E58" s="6" t="s">
        <v>6</v>
      </c>
      <c r="F58" s="16">
        <v>979</v>
      </c>
      <c r="G58" s="16">
        <v>20606133139</v>
      </c>
      <c r="H58" s="1" t="s">
        <v>7</v>
      </c>
      <c r="I58" s="8">
        <v>6132</v>
      </c>
      <c r="J58" s="22" t="s">
        <v>179</v>
      </c>
      <c r="K58" s="19" t="s">
        <v>98</v>
      </c>
    </row>
    <row r="59" spans="2:12" x14ac:dyDescent="0.2">
      <c r="B59" s="24" t="s">
        <v>131</v>
      </c>
      <c r="C59" s="6" t="s">
        <v>166</v>
      </c>
      <c r="D59" s="6" t="s">
        <v>167</v>
      </c>
      <c r="E59" s="6" t="s">
        <v>6</v>
      </c>
      <c r="F59" s="16">
        <v>981</v>
      </c>
      <c r="G59" s="16">
        <v>10724616572</v>
      </c>
      <c r="H59" s="1" t="s">
        <v>168</v>
      </c>
      <c r="I59" s="8">
        <v>522</v>
      </c>
      <c r="J59" s="22" t="s">
        <v>169</v>
      </c>
      <c r="K59" s="19" t="s">
        <v>17</v>
      </c>
    </row>
    <row r="60" spans="2:12" x14ac:dyDescent="0.2">
      <c r="B60" s="24" t="s">
        <v>131</v>
      </c>
      <c r="C60" s="6" t="s">
        <v>170</v>
      </c>
      <c r="D60" s="6" t="s">
        <v>171</v>
      </c>
      <c r="E60" s="6" t="s">
        <v>6</v>
      </c>
      <c r="F60" s="16">
        <v>982</v>
      </c>
      <c r="G60" s="16">
        <v>20452634873</v>
      </c>
      <c r="H60" s="1" t="s">
        <v>82</v>
      </c>
      <c r="I60" s="8">
        <v>280</v>
      </c>
      <c r="J60" s="22" t="s">
        <v>172</v>
      </c>
      <c r="K60" s="19" t="s">
        <v>98</v>
      </c>
      <c r="L60" s="8"/>
    </row>
    <row r="61" spans="2:12" x14ac:dyDescent="0.2">
      <c r="B61" s="24" t="s">
        <v>131</v>
      </c>
      <c r="C61" s="6" t="s">
        <v>174</v>
      </c>
      <c r="D61" s="6" t="s">
        <v>175</v>
      </c>
      <c r="E61" s="6" t="s">
        <v>6</v>
      </c>
      <c r="F61" s="16">
        <v>983</v>
      </c>
      <c r="G61" s="16">
        <v>20411051782</v>
      </c>
      <c r="H61" s="1" t="s">
        <v>173</v>
      </c>
      <c r="I61" s="8">
        <v>3150</v>
      </c>
      <c r="J61" s="22" t="s">
        <v>176</v>
      </c>
      <c r="K61" s="19" t="s">
        <v>17</v>
      </c>
    </row>
    <row r="62" spans="2:12" x14ac:dyDescent="0.2">
      <c r="B62" s="24" t="s">
        <v>131</v>
      </c>
      <c r="C62" s="6" t="s">
        <v>174</v>
      </c>
      <c r="D62" s="6" t="s">
        <v>177</v>
      </c>
      <c r="E62" s="6" t="s">
        <v>6</v>
      </c>
      <c r="F62" s="16">
        <v>984</v>
      </c>
      <c r="G62" s="16">
        <v>20601438586</v>
      </c>
      <c r="H62" s="1" t="s">
        <v>150</v>
      </c>
      <c r="I62" s="8">
        <v>400</v>
      </c>
      <c r="J62" s="22" t="s">
        <v>178</v>
      </c>
      <c r="K62" s="19" t="s">
        <v>152</v>
      </c>
    </row>
    <row r="63" spans="2:12" x14ac:dyDescent="0.2">
      <c r="B63" s="24" t="s">
        <v>131</v>
      </c>
      <c r="C63" s="6" t="s">
        <v>180</v>
      </c>
      <c r="D63" s="6" t="s">
        <v>181</v>
      </c>
      <c r="E63" s="6" t="s">
        <v>6</v>
      </c>
      <c r="F63" s="16">
        <v>985</v>
      </c>
      <c r="G63" s="16">
        <v>20325346435</v>
      </c>
      <c r="H63" s="1" t="s">
        <v>106</v>
      </c>
      <c r="I63" s="8">
        <v>5477.5</v>
      </c>
      <c r="J63" s="22" t="s">
        <v>182</v>
      </c>
      <c r="K63" s="19" t="s">
        <v>17</v>
      </c>
    </row>
    <row r="64" spans="2:12" x14ac:dyDescent="0.2">
      <c r="B64" s="24" t="s">
        <v>131</v>
      </c>
      <c r="C64" s="6" t="s">
        <v>180</v>
      </c>
      <c r="D64" s="6" t="s">
        <v>181</v>
      </c>
      <c r="E64" s="6" t="s">
        <v>6</v>
      </c>
      <c r="F64" s="16">
        <v>986</v>
      </c>
      <c r="G64" s="16">
        <v>20608162926</v>
      </c>
      <c r="H64" s="1" t="s">
        <v>112</v>
      </c>
      <c r="I64" s="8">
        <v>280</v>
      </c>
      <c r="J64" s="22" t="s">
        <v>183</v>
      </c>
      <c r="K64" s="19" t="s">
        <v>17</v>
      </c>
    </row>
    <row r="65" spans="2:12" x14ac:dyDescent="0.2">
      <c r="B65" s="24" t="s">
        <v>131</v>
      </c>
      <c r="C65" s="26">
        <v>46107</v>
      </c>
      <c r="D65" s="28" t="s">
        <v>185</v>
      </c>
      <c r="E65" s="6" t="s">
        <v>6</v>
      </c>
      <c r="F65" s="16">
        <v>989</v>
      </c>
      <c r="G65" s="16">
        <v>20452634873</v>
      </c>
      <c r="H65" s="1" t="s">
        <v>82</v>
      </c>
      <c r="I65" s="8">
        <v>250</v>
      </c>
      <c r="J65" s="22" t="s">
        <v>184</v>
      </c>
      <c r="K65" s="19" t="s">
        <v>98</v>
      </c>
      <c r="L65" s="8"/>
    </row>
    <row r="66" spans="2:12" x14ac:dyDescent="0.2">
      <c r="B66" s="24" t="s">
        <v>131</v>
      </c>
      <c r="C66" s="26" t="s">
        <v>187</v>
      </c>
      <c r="D66" s="28" t="s">
        <v>188</v>
      </c>
      <c r="E66" s="6" t="s">
        <v>6</v>
      </c>
      <c r="F66" s="16">
        <v>990</v>
      </c>
      <c r="G66" s="16">
        <v>20100032709</v>
      </c>
      <c r="H66" s="1" t="s">
        <v>186</v>
      </c>
      <c r="I66" s="8">
        <v>4200</v>
      </c>
      <c r="J66" s="22" t="s">
        <v>189</v>
      </c>
      <c r="K66" s="19" t="s">
        <v>17</v>
      </c>
    </row>
    <row r="67" spans="2:12" x14ac:dyDescent="0.2">
      <c r="B67" s="24" t="s">
        <v>131</v>
      </c>
      <c r="C67" s="26" t="s">
        <v>187</v>
      </c>
      <c r="D67" s="28" t="s">
        <v>188</v>
      </c>
      <c r="E67" s="6" t="s">
        <v>6</v>
      </c>
      <c r="F67" s="16">
        <v>991</v>
      </c>
      <c r="G67" s="16">
        <v>20100032709</v>
      </c>
      <c r="H67" s="1" t="s">
        <v>186</v>
      </c>
      <c r="I67" s="8">
        <v>7920</v>
      </c>
      <c r="J67" s="22" t="s">
        <v>190</v>
      </c>
      <c r="K67" s="19" t="s">
        <v>17</v>
      </c>
    </row>
    <row r="68" spans="2:12" x14ac:dyDescent="0.2">
      <c r="B68" s="24" t="s">
        <v>131</v>
      </c>
      <c r="C68" s="26">
        <v>46111</v>
      </c>
      <c r="D68" s="28" t="s">
        <v>191</v>
      </c>
      <c r="E68" s="6" t="s">
        <v>6</v>
      </c>
      <c r="F68" s="16">
        <v>992</v>
      </c>
      <c r="G68" s="16">
        <v>20176770474</v>
      </c>
      <c r="H68" s="1" t="s">
        <v>63</v>
      </c>
      <c r="I68" s="8">
        <v>2000</v>
      </c>
      <c r="J68" s="22" t="s">
        <v>192</v>
      </c>
      <c r="K68" s="19" t="s">
        <v>98</v>
      </c>
    </row>
    <row r="69" spans="2:12" x14ac:dyDescent="0.2">
      <c r="B69" s="24" t="s">
        <v>131</v>
      </c>
      <c r="C69" s="26">
        <v>46112</v>
      </c>
      <c r="D69" s="26" t="s">
        <v>193</v>
      </c>
      <c r="E69" s="6" t="s">
        <v>6</v>
      </c>
      <c r="F69" s="16">
        <v>993</v>
      </c>
      <c r="G69" s="16">
        <v>20614560011</v>
      </c>
      <c r="H69" s="1" t="s">
        <v>67</v>
      </c>
      <c r="I69" s="8">
        <v>11248</v>
      </c>
      <c r="J69" s="22" t="s">
        <v>194</v>
      </c>
      <c r="K69" s="19" t="s">
        <v>17</v>
      </c>
    </row>
    <row r="70" spans="2:12" x14ac:dyDescent="0.2">
      <c r="B70" s="24" t="s">
        <v>131</v>
      </c>
      <c r="C70" s="26">
        <v>46112</v>
      </c>
      <c r="D70" s="28" t="s">
        <v>195</v>
      </c>
      <c r="E70" s="6" t="s">
        <v>6</v>
      </c>
      <c r="F70" s="16">
        <v>998</v>
      </c>
      <c r="G70" s="16">
        <v>20601438586</v>
      </c>
      <c r="H70" s="1" t="s">
        <v>150</v>
      </c>
      <c r="I70" s="8">
        <v>400</v>
      </c>
      <c r="J70" s="22" t="s">
        <v>178</v>
      </c>
      <c r="K70" s="19" t="s">
        <v>152</v>
      </c>
    </row>
    <row r="71" spans="2:12" x14ac:dyDescent="0.2">
      <c r="B71" s="24" t="s">
        <v>196</v>
      </c>
      <c r="C71" s="26" t="s">
        <v>28</v>
      </c>
      <c r="D71" s="28" t="s">
        <v>198</v>
      </c>
      <c r="E71" s="6" t="s">
        <v>6</v>
      </c>
      <c r="F71" s="16">
        <v>1001</v>
      </c>
      <c r="G71" s="16">
        <v>20100032709</v>
      </c>
      <c r="H71" s="1" t="s">
        <v>186</v>
      </c>
      <c r="I71" s="8">
        <v>8100</v>
      </c>
      <c r="J71" s="22" t="s">
        <v>197</v>
      </c>
      <c r="K71" s="19" t="s">
        <v>17</v>
      </c>
    </row>
    <row r="72" spans="2:12" x14ac:dyDescent="0.2">
      <c r="B72" s="24" t="s">
        <v>196</v>
      </c>
      <c r="C72" s="26" t="s">
        <v>199</v>
      </c>
      <c r="D72" s="28" t="s">
        <v>201</v>
      </c>
      <c r="E72" s="6" t="s">
        <v>6</v>
      </c>
      <c r="F72" s="16">
        <v>1003</v>
      </c>
      <c r="G72" s="16">
        <v>20600697511</v>
      </c>
      <c r="H72" s="1" t="s">
        <v>102</v>
      </c>
      <c r="I72" s="8">
        <v>936</v>
      </c>
      <c r="J72" s="22" t="s">
        <v>203</v>
      </c>
      <c r="K72" s="19" t="s">
        <v>98</v>
      </c>
    </row>
    <row r="73" spans="2:12" x14ac:dyDescent="0.2">
      <c r="B73" s="24" t="s">
        <v>196</v>
      </c>
      <c r="C73" s="26" t="s">
        <v>199</v>
      </c>
      <c r="D73" s="28" t="s">
        <v>201</v>
      </c>
      <c r="E73" s="6" t="s">
        <v>6</v>
      </c>
      <c r="F73" s="16">
        <v>1004</v>
      </c>
      <c r="G73" s="16">
        <v>20600697511</v>
      </c>
      <c r="H73" s="1" t="s">
        <v>102</v>
      </c>
      <c r="I73" s="8">
        <v>936</v>
      </c>
      <c r="J73" s="22" t="s">
        <v>203</v>
      </c>
      <c r="K73" s="19" t="s">
        <v>98</v>
      </c>
    </row>
    <row r="74" spans="2:12" x14ac:dyDescent="0.2">
      <c r="B74" s="24" t="s">
        <v>196</v>
      </c>
      <c r="C74" s="26" t="s">
        <v>199</v>
      </c>
      <c r="D74" s="28" t="s">
        <v>200</v>
      </c>
      <c r="E74" s="6" t="s">
        <v>6</v>
      </c>
      <c r="F74" s="16">
        <v>1005</v>
      </c>
      <c r="G74" s="16">
        <v>20100032709</v>
      </c>
      <c r="H74" s="1" t="s">
        <v>186</v>
      </c>
      <c r="I74" s="8">
        <v>5737.5</v>
      </c>
      <c r="J74" s="22" t="s">
        <v>202</v>
      </c>
      <c r="K74" s="19" t="s">
        <v>17</v>
      </c>
    </row>
    <row r="75" spans="2:12" x14ac:dyDescent="0.2">
      <c r="B75" s="24" t="s">
        <v>196</v>
      </c>
      <c r="C75" s="26" t="s">
        <v>204</v>
      </c>
      <c r="D75" s="28" t="s">
        <v>205</v>
      </c>
      <c r="E75" s="6" t="s">
        <v>6</v>
      </c>
      <c r="F75" s="16">
        <v>1006</v>
      </c>
      <c r="G75" s="16">
        <v>20452634873</v>
      </c>
      <c r="H75" s="1" t="s">
        <v>82</v>
      </c>
      <c r="I75" s="8">
        <v>300</v>
      </c>
      <c r="J75" s="22" t="s">
        <v>206</v>
      </c>
      <c r="K75" s="19" t="s">
        <v>98</v>
      </c>
    </row>
    <row r="76" spans="2:12" x14ac:dyDescent="0.2">
      <c r="B76" s="24" t="s">
        <v>196</v>
      </c>
      <c r="C76" s="6" t="s">
        <v>207</v>
      </c>
      <c r="D76" s="6" t="s">
        <v>208</v>
      </c>
      <c r="E76" s="6" t="s">
        <v>6</v>
      </c>
      <c r="F76" s="16">
        <v>1008</v>
      </c>
      <c r="G76" s="16">
        <v>20100032709</v>
      </c>
      <c r="H76" s="1" t="s">
        <v>186</v>
      </c>
      <c r="I76" s="8">
        <v>8712</v>
      </c>
      <c r="J76" s="22" t="s">
        <v>209</v>
      </c>
      <c r="K76" s="19" t="s">
        <v>17</v>
      </c>
    </row>
    <row r="77" spans="2:12" x14ac:dyDescent="0.2">
      <c r="B77" s="24" t="s">
        <v>196</v>
      </c>
      <c r="C77" s="6" t="s">
        <v>210</v>
      </c>
      <c r="D77" s="6" t="s">
        <v>211</v>
      </c>
      <c r="E77" s="6" t="s">
        <v>6</v>
      </c>
      <c r="F77" s="16">
        <v>1009</v>
      </c>
      <c r="G77" s="16">
        <v>20600697511</v>
      </c>
      <c r="H77" s="1" t="s">
        <v>102</v>
      </c>
      <c r="I77" s="8">
        <v>2800</v>
      </c>
      <c r="J77" s="22" t="s">
        <v>212</v>
      </c>
      <c r="K77" s="19" t="s">
        <v>98</v>
      </c>
    </row>
    <row r="78" spans="2:12" x14ac:dyDescent="0.2">
      <c r="B78" s="24" t="s">
        <v>196</v>
      </c>
      <c r="C78" s="6" t="s">
        <v>213</v>
      </c>
      <c r="D78" s="6" t="s">
        <v>214</v>
      </c>
      <c r="E78" s="6" t="s">
        <v>6</v>
      </c>
      <c r="F78" s="16">
        <v>1011</v>
      </c>
      <c r="G78" s="16">
        <v>20452634873</v>
      </c>
      <c r="H78" s="1" t="s">
        <v>82</v>
      </c>
      <c r="I78" s="8">
        <v>300</v>
      </c>
      <c r="J78" s="22" t="s">
        <v>215</v>
      </c>
      <c r="K78" s="19" t="s">
        <v>98</v>
      </c>
    </row>
    <row r="79" spans="2:12" x14ac:dyDescent="0.2">
      <c r="B79" s="24" t="s">
        <v>196</v>
      </c>
      <c r="C79" s="6" t="s">
        <v>62</v>
      </c>
      <c r="D79" s="6" t="s">
        <v>216</v>
      </c>
      <c r="E79" s="6" t="s">
        <v>6</v>
      </c>
      <c r="F79" s="16">
        <v>1013</v>
      </c>
      <c r="G79" s="16">
        <v>20606000937</v>
      </c>
      <c r="H79" s="1" t="s">
        <v>217</v>
      </c>
      <c r="I79" s="8">
        <v>200</v>
      </c>
      <c r="J79" s="22" t="s">
        <v>218</v>
      </c>
      <c r="K79" s="19" t="s">
        <v>152</v>
      </c>
    </row>
    <row r="80" spans="2:12" x14ac:dyDescent="0.2">
      <c r="B80" s="24" t="s">
        <v>196</v>
      </c>
      <c r="C80" s="6" t="s">
        <v>62</v>
      </c>
      <c r="D80" s="6" t="s">
        <v>221</v>
      </c>
      <c r="E80" s="6" t="s">
        <v>6</v>
      </c>
      <c r="F80" s="16">
        <v>1015</v>
      </c>
      <c r="G80" s="16">
        <v>20452634873</v>
      </c>
      <c r="H80" s="1" t="s">
        <v>82</v>
      </c>
      <c r="I80" s="8">
        <v>300</v>
      </c>
      <c r="J80" s="22" t="s">
        <v>215</v>
      </c>
      <c r="K80" s="19" t="s">
        <v>98</v>
      </c>
    </row>
    <row r="81" spans="2:12" x14ac:dyDescent="0.2">
      <c r="B81" s="24" t="s">
        <v>196</v>
      </c>
      <c r="C81" s="6" t="s">
        <v>79</v>
      </c>
      <c r="D81" s="6" t="s">
        <v>79</v>
      </c>
      <c r="E81" s="6" t="s">
        <v>6</v>
      </c>
      <c r="F81" s="16">
        <v>1019</v>
      </c>
      <c r="G81" s="16">
        <v>20612865320</v>
      </c>
      <c r="H81" s="1" t="s">
        <v>222</v>
      </c>
      <c r="I81" s="8">
        <v>33</v>
      </c>
      <c r="J81" s="22" t="s">
        <v>223</v>
      </c>
      <c r="K81" s="19" t="s">
        <v>98</v>
      </c>
      <c r="L81" s="29"/>
    </row>
    <row r="82" spans="2:12" x14ac:dyDescent="0.2">
      <c r="B82" s="24" t="s">
        <v>196</v>
      </c>
      <c r="C82" s="6" t="s">
        <v>224</v>
      </c>
      <c r="D82" s="6" t="s">
        <v>225</v>
      </c>
      <c r="E82" s="6" t="s">
        <v>6</v>
      </c>
      <c r="F82" s="16">
        <v>1020</v>
      </c>
      <c r="G82" s="19">
        <v>20600750276</v>
      </c>
      <c r="H82" s="1" t="s">
        <v>226</v>
      </c>
      <c r="I82" s="8">
        <v>6300</v>
      </c>
      <c r="J82" s="22" t="s">
        <v>227</v>
      </c>
      <c r="K82" s="19" t="s">
        <v>228</v>
      </c>
    </row>
    <row r="83" spans="2:12" x14ac:dyDescent="0.2">
      <c r="B83" s="24" t="s">
        <v>196</v>
      </c>
      <c r="C83" s="6" t="s">
        <v>224</v>
      </c>
      <c r="D83" s="26">
        <v>46319</v>
      </c>
      <c r="E83" s="6" t="s">
        <v>6</v>
      </c>
      <c r="F83" s="16">
        <v>1022</v>
      </c>
      <c r="G83" s="16">
        <v>20554556192</v>
      </c>
      <c r="H83" s="1" t="s">
        <v>229</v>
      </c>
      <c r="I83" s="8">
        <v>6600</v>
      </c>
      <c r="J83" s="22" t="s">
        <v>230</v>
      </c>
      <c r="K83" s="19" t="s">
        <v>42</v>
      </c>
      <c r="L83" s="8"/>
    </row>
    <row r="84" spans="2:12" x14ac:dyDescent="0.2">
      <c r="B84" s="24" t="s">
        <v>196</v>
      </c>
      <c r="C84" s="6" t="s">
        <v>224</v>
      </c>
      <c r="D84" s="6" t="s">
        <v>224</v>
      </c>
      <c r="E84" s="6" t="s">
        <v>6</v>
      </c>
      <c r="F84" s="16">
        <v>1023</v>
      </c>
      <c r="G84" s="16">
        <v>20609962331</v>
      </c>
      <c r="H84" s="1" t="s">
        <v>220</v>
      </c>
      <c r="I84" s="8">
        <v>480</v>
      </c>
      <c r="J84" s="22" t="s">
        <v>219</v>
      </c>
      <c r="K84" s="19" t="s">
        <v>17</v>
      </c>
    </row>
    <row r="85" spans="2:12" x14ac:dyDescent="0.2">
      <c r="B85" s="24" t="s">
        <v>196</v>
      </c>
      <c r="C85" s="6" t="s">
        <v>231</v>
      </c>
      <c r="D85" s="6" t="s">
        <v>181</v>
      </c>
      <c r="E85" s="6" t="s">
        <v>6</v>
      </c>
      <c r="F85" s="16">
        <v>1025</v>
      </c>
      <c r="G85" s="16">
        <v>20176770474</v>
      </c>
      <c r="H85" s="1" t="s">
        <v>63</v>
      </c>
      <c r="I85" s="8">
        <v>2000</v>
      </c>
      <c r="J85" s="22" t="s">
        <v>233</v>
      </c>
      <c r="K85" s="19" t="s">
        <v>98</v>
      </c>
    </row>
    <row r="86" spans="2:12" x14ac:dyDescent="0.2">
      <c r="B86" s="24" t="s">
        <v>196</v>
      </c>
      <c r="C86" s="6" t="s">
        <v>231</v>
      </c>
      <c r="D86" s="6" t="s">
        <v>232</v>
      </c>
      <c r="E86" s="6" t="s">
        <v>6</v>
      </c>
      <c r="F86" s="16">
        <v>1026</v>
      </c>
      <c r="G86" s="16">
        <v>20600697511</v>
      </c>
      <c r="H86" s="1" t="s">
        <v>102</v>
      </c>
      <c r="I86" s="8">
        <v>936</v>
      </c>
      <c r="J86" s="22" t="s">
        <v>234</v>
      </c>
      <c r="K86" s="19" t="s">
        <v>98</v>
      </c>
    </row>
    <row r="87" spans="2:12" x14ac:dyDescent="0.2">
      <c r="B87" s="24" t="s">
        <v>196</v>
      </c>
      <c r="C87" s="6" t="s">
        <v>231</v>
      </c>
      <c r="D87" s="6" t="s">
        <v>232</v>
      </c>
      <c r="E87" s="6" t="s">
        <v>6</v>
      </c>
      <c r="F87" s="16">
        <v>1027</v>
      </c>
      <c r="G87" s="16">
        <v>20600697511</v>
      </c>
      <c r="H87" s="1" t="s">
        <v>102</v>
      </c>
      <c r="I87" s="8">
        <v>3736</v>
      </c>
      <c r="J87" s="22" t="s">
        <v>235</v>
      </c>
      <c r="K87" s="19" t="s">
        <v>98</v>
      </c>
    </row>
    <row r="88" spans="2:12" x14ac:dyDescent="0.2">
      <c r="B88" s="24" t="s">
        <v>196</v>
      </c>
      <c r="C88" s="6" t="s">
        <v>231</v>
      </c>
      <c r="D88" s="6" t="s">
        <v>232</v>
      </c>
      <c r="E88" s="6" t="s">
        <v>6</v>
      </c>
      <c r="F88" s="16">
        <v>1028</v>
      </c>
      <c r="G88" s="16">
        <v>20600697511</v>
      </c>
      <c r="H88" s="1" t="s">
        <v>102</v>
      </c>
      <c r="I88" s="8">
        <v>1170</v>
      </c>
      <c r="J88" s="22" t="s">
        <v>236</v>
      </c>
      <c r="K88" s="19" t="s">
        <v>98</v>
      </c>
      <c r="L88" s="8"/>
    </row>
    <row r="89" spans="2:12" x14ac:dyDescent="0.2">
      <c r="B89" s="24" t="s">
        <v>196</v>
      </c>
      <c r="C89" s="6" t="s">
        <v>237</v>
      </c>
      <c r="D89" s="6" t="s">
        <v>238</v>
      </c>
      <c r="E89" s="6" t="s">
        <v>6</v>
      </c>
      <c r="F89" s="16">
        <v>1031</v>
      </c>
      <c r="G89" s="16">
        <v>20100032709</v>
      </c>
      <c r="H89" s="1" t="s">
        <v>186</v>
      </c>
      <c r="I89" s="8">
        <v>13857.5</v>
      </c>
      <c r="J89" s="22" t="s">
        <v>239</v>
      </c>
      <c r="K89" s="19" t="s">
        <v>17</v>
      </c>
    </row>
    <row r="90" spans="2:12" x14ac:dyDescent="0.2">
      <c r="B90" s="24" t="s">
        <v>240</v>
      </c>
      <c r="C90" s="6" t="s">
        <v>242</v>
      </c>
      <c r="D90" s="26" t="s">
        <v>244</v>
      </c>
      <c r="E90" s="6" t="s">
        <v>6</v>
      </c>
      <c r="F90" s="16">
        <v>1035</v>
      </c>
      <c r="G90" s="16">
        <v>20600720679</v>
      </c>
      <c r="H90" s="1" t="s">
        <v>269</v>
      </c>
      <c r="I90" s="8">
        <v>2600</v>
      </c>
      <c r="J90" s="22" t="s">
        <v>243</v>
      </c>
      <c r="K90" s="19" t="s">
        <v>228</v>
      </c>
    </row>
    <row r="91" spans="2:12" x14ac:dyDescent="0.2">
      <c r="B91" s="24" t="s">
        <v>240</v>
      </c>
      <c r="C91" s="6" t="s">
        <v>245</v>
      </c>
      <c r="D91" s="26" t="s">
        <v>249</v>
      </c>
      <c r="E91" s="6" t="s">
        <v>6</v>
      </c>
      <c r="F91" s="16">
        <v>1038</v>
      </c>
      <c r="G91" s="16">
        <v>20530296637</v>
      </c>
      <c r="H91" s="1" t="s">
        <v>246</v>
      </c>
      <c r="I91" s="8">
        <v>600</v>
      </c>
      <c r="J91" s="22" t="s">
        <v>247</v>
      </c>
      <c r="K91" s="19" t="s">
        <v>152</v>
      </c>
    </row>
    <row r="92" spans="2:12" x14ac:dyDescent="0.2">
      <c r="B92" s="24" t="s">
        <v>240</v>
      </c>
      <c r="C92" s="6" t="s">
        <v>245</v>
      </c>
      <c r="D92" s="26" t="s">
        <v>248</v>
      </c>
      <c r="E92" s="6" t="s">
        <v>6</v>
      </c>
      <c r="F92" s="16">
        <v>1039</v>
      </c>
      <c r="G92" s="16">
        <v>20610390341</v>
      </c>
      <c r="H92" s="1" t="s">
        <v>250</v>
      </c>
      <c r="I92" s="8">
        <v>7725</v>
      </c>
      <c r="J92" s="22" t="s">
        <v>251</v>
      </c>
      <c r="K92" s="19" t="s">
        <v>98</v>
      </c>
    </row>
    <row r="93" spans="2:12" x14ac:dyDescent="0.2">
      <c r="B93" s="24" t="s">
        <v>240</v>
      </c>
      <c r="C93" s="6" t="s">
        <v>245</v>
      </c>
      <c r="D93" s="26" t="s">
        <v>252</v>
      </c>
      <c r="E93" s="6" t="s">
        <v>6</v>
      </c>
      <c r="F93" s="16">
        <v>1040</v>
      </c>
      <c r="G93" s="16">
        <v>20100032709</v>
      </c>
      <c r="H93" s="1" t="s">
        <v>186</v>
      </c>
      <c r="I93" s="8">
        <v>7920</v>
      </c>
      <c r="J93" s="22" t="s">
        <v>190</v>
      </c>
      <c r="K93" s="19" t="s">
        <v>17</v>
      </c>
    </row>
    <row r="94" spans="2:12" x14ac:dyDescent="0.2">
      <c r="B94" s="24" t="s">
        <v>240</v>
      </c>
      <c r="C94" s="6" t="s">
        <v>245</v>
      </c>
      <c r="D94" s="26" t="s">
        <v>252</v>
      </c>
      <c r="E94" s="6" t="s">
        <v>6</v>
      </c>
      <c r="F94" s="16">
        <v>1041</v>
      </c>
      <c r="G94" s="16">
        <v>20614560011</v>
      </c>
      <c r="H94" s="1" t="s">
        <v>67</v>
      </c>
      <c r="I94" s="8">
        <v>5376</v>
      </c>
      <c r="J94" s="22" t="s">
        <v>253</v>
      </c>
      <c r="K94" s="19" t="s">
        <v>17</v>
      </c>
    </row>
    <row r="95" spans="2:12" ht="12" customHeight="1" x14ac:dyDescent="0.2">
      <c r="B95" s="24" t="s">
        <v>240</v>
      </c>
      <c r="C95" s="6" t="s">
        <v>245</v>
      </c>
      <c r="D95" s="6" t="s">
        <v>252</v>
      </c>
      <c r="E95" s="6" t="s">
        <v>6</v>
      </c>
      <c r="F95" s="16">
        <v>1042</v>
      </c>
      <c r="G95" s="16">
        <v>20606133139</v>
      </c>
      <c r="H95" s="1" t="s">
        <v>7</v>
      </c>
      <c r="I95" s="8">
        <v>19800</v>
      </c>
      <c r="J95" s="1" t="s">
        <v>254</v>
      </c>
      <c r="K95" s="19" t="s">
        <v>98</v>
      </c>
    </row>
    <row r="96" spans="2:12" ht="12" customHeight="1" x14ac:dyDescent="0.2">
      <c r="B96" s="24" t="s">
        <v>240</v>
      </c>
      <c r="C96" s="6" t="s">
        <v>257</v>
      </c>
      <c r="D96" s="6" t="s">
        <v>258</v>
      </c>
      <c r="E96" s="6" t="s">
        <v>6</v>
      </c>
      <c r="F96" s="16">
        <v>1043</v>
      </c>
      <c r="G96" s="16">
        <v>20600697511</v>
      </c>
      <c r="H96" s="1" t="s">
        <v>102</v>
      </c>
      <c r="I96" s="8">
        <v>1170</v>
      </c>
      <c r="J96" s="22" t="s">
        <v>236</v>
      </c>
      <c r="K96" s="19" t="s">
        <v>98</v>
      </c>
    </row>
    <row r="97" spans="2:11" ht="12" customHeight="1" x14ac:dyDescent="0.2">
      <c r="B97" s="24" t="s">
        <v>240</v>
      </c>
      <c r="C97" s="6" t="s">
        <v>159</v>
      </c>
      <c r="D97" s="6" t="s">
        <v>259</v>
      </c>
      <c r="E97" s="6" t="s">
        <v>6</v>
      </c>
      <c r="F97" s="16">
        <v>1044</v>
      </c>
      <c r="G97" s="16">
        <v>20606133139</v>
      </c>
      <c r="H97" s="1" t="s">
        <v>7</v>
      </c>
      <c r="I97" s="8">
        <v>19800</v>
      </c>
      <c r="J97" s="22" t="s">
        <v>254</v>
      </c>
      <c r="K97" s="19" t="s">
        <v>98</v>
      </c>
    </row>
    <row r="98" spans="2:11" ht="12" customHeight="1" x14ac:dyDescent="0.2">
      <c r="B98" s="24" t="s">
        <v>240</v>
      </c>
      <c r="C98" s="6" t="s">
        <v>260</v>
      </c>
      <c r="D98" s="6" t="s">
        <v>261</v>
      </c>
      <c r="E98" s="6" t="s">
        <v>6</v>
      </c>
      <c r="F98" s="16">
        <v>1048</v>
      </c>
      <c r="G98" s="16">
        <v>20100032709</v>
      </c>
      <c r="H98" s="1" t="s">
        <v>186</v>
      </c>
      <c r="I98" s="8">
        <v>8712</v>
      </c>
      <c r="J98" s="22" t="s">
        <v>262</v>
      </c>
      <c r="K98" s="19" t="s">
        <v>17</v>
      </c>
    </row>
    <row r="99" spans="2:11" ht="12" customHeight="1" x14ac:dyDescent="0.2">
      <c r="B99" s="24" t="s">
        <v>240</v>
      </c>
      <c r="C99" s="6" t="s">
        <v>260</v>
      </c>
      <c r="D99" s="6" t="s">
        <v>261</v>
      </c>
      <c r="E99" s="6" t="s">
        <v>6</v>
      </c>
      <c r="F99" s="16">
        <v>1049</v>
      </c>
      <c r="G99" s="16">
        <v>20100032709</v>
      </c>
      <c r="H99" s="1" t="s">
        <v>186</v>
      </c>
      <c r="I99" s="8">
        <v>320</v>
      </c>
      <c r="J99" s="22" t="s">
        <v>263</v>
      </c>
      <c r="K99" s="19" t="s">
        <v>17</v>
      </c>
    </row>
    <row r="100" spans="2:11" ht="12" customHeight="1" x14ac:dyDescent="0.2">
      <c r="B100" s="24" t="s">
        <v>240</v>
      </c>
      <c r="C100" s="6" t="s">
        <v>171</v>
      </c>
      <c r="D100" s="6" t="s">
        <v>264</v>
      </c>
      <c r="E100" s="6" t="s">
        <v>6</v>
      </c>
      <c r="F100" s="16">
        <v>1053</v>
      </c>
      <c r="G100" s="16">
        <v>20601438586</v>
      </c>
      <c r="H100" s="1" t="s">
        <v>150</v>
      </c>
      <c r="I100" s="8">
        <v>800</v>
      </c>
      <c r="J100" s="22" t="s">
        <v>265</v>
      </c>
      <c r="K100" s="19" t="s">
        <v>152</v>
      </c>
    </row>
    <row r="101" spans="2:11" ht="12" customHeight="1" x14ac:dyDescent="0.2">
      <c r="B101" s="24" t="s">
        <v>240</v>
      </c>
      <c r="C101" s="6" t="s">
        <v>216</v>
      </c>
      <c r="D101" s="6" t="s">
        <v>266</v>
      </c>
      <c r="E101" s="6" t="s">
        <v>6</v>
      </c>
      <c r="F101" s="16">
        <v>1058</v>
      </c>
      <c r="G101" s="16">
        <v>20600697511</v>
      </c>
      <c r="H101" s="1" t="s">
        <v>102</v>
      </c>
      <c r="I101" s="8">
        <v>936</v>
      </c>
      <c r="J101" s="22" t="s">
        <v>234</v>
      </c>
      <c r="K101" s="19" t="s">
        <v>98</v>
      </c>
    </row>
    <row r="102" spans="2:11" ht="12" customHeight="1" x14ac:dyDescent="0.2">
      <c r="B102" s="24" t="s">
        <v>240</v>
      </c>
      <c r="C102" s="6" t="s">
        <v>267</v>
      </c>
      <c r="D102" s="26">
        <v>46258</v>
      </c>
      <c r="E102" s="6" t="s">
        <v>6</v>
      </c>
      <c r="F102" s="16">
        <v>1062</v>
      </c>
      <c r="G102" s="16">
        <v>20109930751</v>
      </c>
      <c r="H102" s="1" t="s">
        <v>95</v>
      </c>
      <c r="I102" s="8">
        <v>8400</v>
      </c>
      <c r="J102" s="22" t="s">
        <v>268</v>
      </c>
      <c r="K102" s="19" t="s">
        <v>42</v>
      </c>
    </row>
    <row r="103" spans="2:11" ht="12" customHeight="1" x14ac:dyDescent="0.2">
      <c r="B103" s="24" t="s">
        <v>270</v>
      </c>
      <c r="C103" s="26">
        <v>46174</v>
      </c>
      <c r="D103" s="26">
        <v>46294</v>
      </c>
      <c r="E103" s="6" t="s">
        <v>6</v>
      </c>
      <c r="F103" s="16">
        <v>1075</v>
      </c>
      <c r="G103" s="16">
        <v>20600720679</v>
      </c>
      <c r="H103" s="1" t="s">
        <v>269</v>
      </c>
      <c r="I103" s="8">
        <v>2860</v>
      </c>
      <c r="J103" s="22" t="s">
        <v>271</v>
      </c>
      <c r="K103" s="19" t="s">
        <v>228</v>
      </c>
    </row>
    <row r="104" spans="2:11" ht="12" customHeight="1" x14ac:dyDescent="0.2">
      <c r="B104" s="24" t="s">
        <v>270</v>
      </c>
      <c r="C104" s="26">
        <v>46174</v>
      </c>
      <c r="D104" s="26">
        <v>46294</v>
      </c>
      <c r="E104" s="6" t="s">
        <v>6</v>
      </c>
      <c r="F104" s="16">
        <v>1074</v>
      </c>
      <c r="G104" s="16">
        <v>20600750276</v>
      </c>
      <c r="H104" s="1" t="s">
        <v>226</v>
      </c>
      <c r="I104" s="8">
        <v>5200</v>
      </c>
      <c r="J104" s="22" t="s">
        <v>272</v>
      </c>
      <c r="K104" s="19" t="s">
        <v>228</v>
      </c>
    </row>
    <row r="105" spans="2:11" ht="12" customHeight="1" x14ac:dyDescent="0.2">
      <c r="B105" s="24" t="s">
        <v>270</v>
      </c>
      <c r="C105" s="26">
        <v>46174</v>
      </c>
      <c r="D105" s="26">
        <v>46264</v>
      </c>
      <c r="E105" s="6" t="s">
        <v>6</v>
      </c>
      <c r="F105" s="16">
        <v>1076</v>
      </c>
      <c r="G105" s="16">
        <v>20601438586</v>
      </c>
      <c r="H105" s="1" t="s">
        <v>150</v>
      </c>
      <c r="I105" s="8">
        <v>2400</v>
      </c>
      <c r="J105" s="22" t="s">
        <v>273</v>
      </c>
      <c r="K105" s="19" t="s">
        <v>152</v>
      </c>
    </row>
    <row r="106" spans="2:11" ht="12" customHeight="1" x14ac:dyDescent="0.2">
      <c r="B106" s="24" t="s">
        <v>270</v>
      </c>
      <c r="C106" s="26">
        <v>46174</v>
      </c>
      <c r="D106" s="26">
        <v>46264</v>
      </c>
      <c r="E106" s="6" t="s">
        <v>6</v>
      </c>
      <c r="F106" s="16">
        <v>1077</v>
      </c>
      <c r="G106" s="16">
        <v>20608328409</v>
      </c>
      <c r="H106" s="1" t="s">
        <v>134</v>
      </c>
      <c r="I106" s="8">
        <v>6068</v>
      </c>
      <c r="J106" s="22" t="s">
        <v>274</v>
      </c>
      <c r="K106" s="19" t="s">
        <v>98</v>
      </c>
    </row>
    <row r="107" spans="2:11" ht="12" customHeight="1" x14ac:dyDescent="0.2">
      <c r="B107" s="24" t="s">
        <v>270</v>
      </c>
      <c r="C107" s="6" t="s">
        <v>94</v>
      </c>
      <c r="D107" s="6" t="s">
        <v>275</v>
      </c>
      <c r="E107" s="6" t="s">
        <v>6</v>
      </c>
      <c r="F107" s="16">
        <v>1078</v>
      </c>
      <c r="G107" s="16">
        <v>20600697511</v>
      </c>
      <c r="H107" s="1" t="s">
        <v>102</v>
      </c>
      <c r="I107" s="8">
        <v>936</v>
      </c>
      <c r="J107" s="22" t="s">
        <v>276</v>
      </c>
      <c r="K107" s="19" t="s">
        <v>98</v>
      </c>
    </row>
    <row r="108" spans="2:11" ht="12" customHeight="1" x14ac:dyDescent="0.2">
      <c r="B108" s="24" t="s">
        <v>270</v>
      </c>
      <c r="C108" s="26">
        <v>46178</v>
      </c>
      <c r="D108" s="6" t="s">
        <v>277</v>
      </c>
      <c r="E108" s="6" t="s">
        <v>6</v>
      </c>
      <c r="F108" s="16">
        <v>1079</v>
      </c>
      <c r="G108" s="16">
        <v>20600720679</v>
      </c>
      <c r="H108" s="1" t="s">
        <v>269</v>
      </c>
      <c r="I108" s="8">
        <v>26</v>
      </c>
      <c r="J108" s="22" t="s">
        <v>278</v>
      </c>
      <c r="K108" s="19" t="s">
        <v>228</v>
      </c>
    </row>
    <row r="109" spans="2:11" ht="12" customHeight="1" x14ac:dyDescent="0.2">
      <c r="B109" s="24" t="s">
        <v>270</v>
      </c>
      <c r="C109" s="26">
        <v>46178</v>
      </c>
      <c r="D109" s="6" t="s">
        <v>277</v>
      </c>
      <c r="E109" s="6" t="s">
        <v>6</v>
      </c>
      <c r="F109" s="16">
        <v>1080</v>
      </c>
      <c r="G109" s="16">
        <v>20600720679</v>
      </c>
      <c r="H109" s="1" t="s">
        <v>269</v>
      </c>
      <c r="I109" s="8">
        <v>234</v>
      </c>
      <c r="J109" s="22" t="s">
        <v>279</v>
      </c>
      <c r="K109" s="19" t="s">
        <v>228</v>
      </c>
    </row>
    <row r="110" spans="2:11" ht="12" customHeight="1" x14ac:dyDescent="0.2">
      <c r="B110" s="24" t="s">
        <v>270</v>
      </c>
      <c r="C110" s="26" t="s">
        <v>280</v>
      </c>
      <c r="D110" s="26">
        <v>46304</v>
      </c>
      <c r="E110" s="6" t="s">
        <v>6</v>
      </c>
      <c r="F110" s="16">
        <v>1084</v>
      </c>
      <c r="G110" s="16">
        <v>20600697511</v>
      </c>
      <c r="H110" s="1" t="s">
        <v>102</v>
      </c>
      <c r="I110" s="8">
        <v>850</v>
      </c>
      <c r="J110" s="22" t="s">
        <v>281</v>
      </c>
      <c r="K110" s="19" t="s">
        <v>98</v>
      </c>
    </row>
    <row r="111" spans="2:11" ht="12" customHeight="1" x14ac:dyDescent="0.2">
      <c r="B111" s="24" t="s">
        <v>270</v>
      </c>
      <c r="C111" s="26" t="s">
        <v>280</v>
      </c>
      <c r="D111" s="6" t="s">
        <v>283</v>
      </c>
      <c r="E111" s="6" t="s">
        <v>6</v>
      </c>
      <c r="F111" s="16">
        <v>1085</v>
      </c>
      <c r="G111" s="16">
        <v>20611897023</v>
      </c>
      <c r="H111" s="1" t="s">
        <v>282</v>
      </c>
      <c r="I111" s="8">
        <v>240</v>
      </c>
      <c r="J111" s="22" t="s">
        <v>284</v>
      </c>
      <c r="K111" s="19" t="s">
        <v>152</v>
      </c>
    </row>
    <row r="112" spans="2:11" ht="12" customHeight="1" x14ac:dyDescent="0.2">
      <c r="B112" s="24" t="s">
        <v>270</v>
      </c>
      <c r="C112" s="26" t="s">
        <v>214</v>
      </c>
      <c r="D112" s="6" t="s">
        <v>285</v>
      </c>
      <c r="E112" s="6" t="s">
        <v>6</v>
      </c>
      <c r="F112" s="16">
        <v>1089</v>
      </c>
      <c r="G112" s="16">
        <v>20601438586</v>
      </c>
      <c r="H112" s="1" t="s">
        <v>150</v>
      </c>
      <c r="I112" s="8">
        <v>2800</v>
      </c>
      <c r="J112" s="22" t="s">
        <v>286</v>
      </c>
      <c r="K112" s="19" t="s">
        <v>152</v>
      </c>
    </row>
    <row r="113" spans="2:11" ht="12" customHeight="1" x14ac:dyDescent="0.2">
      <c r="B113" s="24" t="s">
        <v>270</v>
      </c>
      <c r="C113" s="6" t="s">
        <v>287</v>
      </c>
      <c r="D113" s="26">
        <v>46372</v>
      </c>
      <c r="E113" s="6" t="s">
        <v>6</v>
      </c>
      <c r="F113" s="16">
        <v>1092</v>
      </c>
      <c r="G113" s="16">
        <v>20554556192</v>
      </c>
      <c r="H113" s="1" t="s">
        <v>229</v>
      </c>
      <c r="I113" s="8">
        <v>12600</v>
      </c>
      <c r="J113" s="22" t="s">
        <v>288</v>
      </c>
      <c r="K113" s="19" t="s">
        <v>42</v>
      </c>
    </row>
    <row r="114" spans="2:11" ht="12" customHeight="1" x14ac:dyDescent="0.2">
      <c r="B114" s="24" t="s">
        <v>270</v>
      </c>
      <c r="C114" s="6" t="s">
        <v>290</v>
      </c>
      <c r="D114" s="26" t="s">
        <v>297</v>
      </c>
      <c r="E114" s="6" t="s">
        <v>6</v>
      </c>
      <c r="F114" s="16">
        <v>1094</v>
      </c>
      <c r="G114" s="16">
        <v>20176770474</v>
      </c>
      <c r="H114" s="1" t="s">
        <v>63</v>
      </c>
      <c r="I114" s="8">
        <v>2200</v>
      </c>
      <c r="J114" s="22" t="s">
        <v>289</v>
      </c>
      <c r="K114" s="19" t="s">
        <v>98</v>
      </c>
    </row>
    <row r="115" spans="2:11" ht="12" customHeight="1" x14ac:dyDescent="0.2">
      <c r="B115" s="24" t="s">
        <v>270</v>
      </c>
      <c r="C115" s="26">
        <v>46198</v>
      </c>
      <c r="D115" s="26">
        <v>46258</v>
      </c>
      <c r="E115" s="6" t="s">
        <v>6</v>
      </c>
      <c r="F115" s="16">
        <v>1099</v>
      </c>
      <c r="G115" s="16">
        <v>20452634873</v>
      </c>
      <c r="H115" s="1" t="s">
        <v>82</v>
      </c>
      <c r="I115" s="8">
        <v>1350</v>
      </c>
      <c r="J115" s="32" t="s">
        <v>291</v>
      </c>
      <c r="K115" s="19" t="s">
        <v>98</v>
      </c>
    </row>
    <row r="116" spans="2:11" ht="12" customHeight="1" x14ac:dyDescent="0.2">
      <c r="B116" s="24" t="s">
        <v>270</v>
      </c>
      <c r="C116" s="26" t="s">
        <v>137</v>
      </c>
      <c r="D116" s="26" t="s">
        <v>292</v>
      </c>
      <c r="E116" s="6" t="s">
        <v>6</v>
      </c>
      <c r="F116" s="16">
        <v>1101</v>
      </c>
      <c r="G116" s="16">
        <v>20601438586</v>
      </c>
      <c r="H116" s="1" t="s">
        <v>150</v>
      </c>
      <c r="I116" s="8">
        <v>1600</v>
      </c>
      <c r="J116" s="32" t="s">
        <v>293</v>
      </c>
      <c r="K116" s="19" t="s">
        <v>152</v>
      </c>
    </row>
    <row r="117" spans="2:11" ht="12" customHeight="1" x14ac:dyDescent="0.2">
      <c r="B117" s="24" t="s">
        <v>270</v>
      </c>
      <c r="C117" s="26" t="s">
        <v>137</v>
      </c>
      <c r="D117" s="26">
        <v>46263</v>
      </c>
      <c r="E117" s="6" t="s">
        <v>6</v>
      </c>
      <c r="F117" s="16">
        <v>1102</v>
      </c>
      <c r="G117" s="16">
        <v>20612065668</v>
      </c>
      <c r="H117" s="1" t="s">
        <v>90</v>
      </c>
      <c r="I117" s="8">
        <v>3120</v>
      </c>
      <c r="J117" s="32" t="s">
        <v>294</v>
      </c>
      <c r="K117" s="19" t="s">
        <v>69</v>
      </c>
    </row>
    <row r="118" spans="2:11" ht="12" customHeight="1" x14ac:dyDescent="0.2">
      <c r="B118" s="24" t="s">
        <v>270</v>
      </c>
      <c r="C118" s="26" t="s">
        <v>137</v>
      </c>
      <c r="D118" s="26">
        <v>46263</v>
      </c>
      <c r="E118" s="6" t="s">
        <v>6</v>
      </c>
      <c r="F118" s="16">
        <v>1103</v>
      </c>
      <c r="G118" s="16">
        <v>20612887234</v>
      </c>
      <c r="H118" s="1" t="s">
        <v>87</v>
      </c>
      <c r="I118" s="8">
        <v>3600</v>
      </c>
      <c r="J118" s="32" t="s">
        <v>295</v>
      </c>
      <c r="K118" s="19" t="s">
        <v>69</v>
      </c>
    </row>
    <row r="119" spans="2:11" ht="12" customHeight="1" x14ac:dyDescent="0.2">
      <c r="B119" s="24" t="s">
        <v>298</v>
      </c>
      <c r="C119" s="26" t="s">
        <v>200</v>
      </c>
      <c r="D119" s="26">
        <v>46224</v>
      </c>
      <c r="E119" s="6" t="s">
        <v>6</v>
      </c>
      <c r="F119" s="16">
        <v>1108</v>
      </c>
      <c r="G119" s="16">
        <v>20602431178</v>
      </c>
      <c r="H119" s="1" t="s">
        <v>299</v>
      </c>
      <c r="I119" s="8">
        <v>8720</v>
      </c>
      <c r="J119" s="32" t="s">
        <v>300</v>
      </c>
      <c r="K119" s="19" t="s">
        <v>152</v>
      </c>
    </row>
    <row r="120" spans="2:11" ht="12" customHeight="1" x14ac:dyDescent="0.2">
      <c r="B120" s="24" t="s">
        <v>298</v>
      </c>
      <c r="C120" s="26" t="s">
        <v>200</v>
      </c>
      <c r="D120" s="26" t="s">
        <v>301</v>
      </c>
      <c r="E120" s="6" t="s">
        <v>6</v>
      </c>
      <c r="F120" s="16">
        <v>1109</v>
      </c>
      <c r="G120" s="16">
        <v>20601438586</v>
      </c>
      <c r="H120" s="1" t="s">
        <v>150</v>
      </c>
      <c r="I120" s="8">
        <v>200</v>
      </c>
      <c r="J120" s="32" t="s">
        <v>284</v>
      </c>
      <c r="K120" s="19" t="s">
        <v>152</v>
      </c>
    </row>
    <row r="121" spans="2:11" ht="12" customHeight="1" x14ac:dyDescent="0.2">
      <c r="B121" s="24" t="s">
        <v>298</v>
      </c>
      <c r="C121" s="26" t="s">
        <v>208</v>
      </c>
      <c r="D121" s="26" t="s">
        <v>208</v>
      </c>
      <c r="E121" s="6" t="s">
        <v>6</v>
      </c>
      <c r="F121" s="16">
        <v>1112</v>
      </c>
      <c r="G121" s="16">
        <v>20611762543</v>
      </c>
      <c r="H121" s="1" t="s">
        <v>83</v>
      </c>
      <c r="I121" s="8">
        <v>8145.6350836022302</v>
      </c>
      <c r="J121" s="32" t="s">
        <v>302</v>
      </c>
      <c r="K121" s="19" t="s">
        <v>69</v>
      </c>
    </row>
    <row r="122" spans="2:11" ht="12" customHeight="1" x14ac:dyDescent="0.2">
      <c r="B122" s="24" t="s">
        <v>298</v>
      </c>
      <c r="C122" s="26" t="s">
        <v>303</v>
      </c>
      <c r="D122" s="26" t="s">
        <v>304</v>
      </c>
      <c r="E122" s="6" t="s">
        <v>6</v>
      </c>
      <c r="F122" s="16">
        <v>1114</v>
      </c>
      <c r="G122" s="16">
        <v>20601438586</v>
      </c>
      <c r="H122" s="1" t="s">
        <v>150</v>
      </c>
      <c r="I122" s="8">
        <v>400</v>
      </c>
      <c r="J122" s="32" t="s">
        <v>305</v>
      </c>
      <c r="K122" s="19" t="s">
        <v>152</v>
      </c>
    </row>
    <row r="123" spans="2:11" ht="12" customHeight="1" x14ac:dyDescent="0.2">
      <c r="B123" s="24" t="s">
        <v>298</v>
      </c>
      <c r="C123" s="26" t="s">
        <v>303</v>
      </c>
      <c r="D123" s="26">
        <v>46246</v>
      </c>
      <c r="E123" s="6" t="s">
        <v>6</v>
      </c>
      <c r="F123" s="16">
        <v>1115</v>
      </c>
      <c r="G123" s="16">
        <v>20530296637</v>
      </c>
      <c r="H123" s="1" t="s">
        <v>246</v>
      </c>
      <c r="I123" s="8">
        <v>1400</v>
      </c>
      <c r="J123" s="32" t="s">
        <v>306</v>
      </c>
      <c r="K123" s="19" t="s">
        <v>152</v>
      </c>
    </row>
    <row r="124" spans="2:11" ht="12" customHeight="1" x14ac:dyDescent="0.2">
      <c r="B124" s="24" t="s">
        <v>298</v>
      </c>
      <c r="C124" s="26" t="s">
        <v>303</v>
      </c>
      <c r="D124" s="26">
        <v>46336</v>
      </c>
      <c r="E124" s="6" t="s">
        <v>6</v>
      </c>
      <c r="F124" s="16">
        <v>1117</v>
      </c>
      <c r="G124" s="16">
        <v>20608162926</v>
      </c>
      <c r="H124" s="1" t="s">
        <v>112</v>
      </c>
      <c r="I124" s="8">
        <v>1040</v>
      </c>
      <c r="J124" s="32" t="s">
        <v>307</v>
      </c>
      <c r="K124" s="19" t="s">
        <v>17</v>
      </c>
    </row>
    <row r="125" spans="2:11" ht="12" customHeight="1" x14ac:dyDescent="0.2">
      <c r="B125" s="24" t="s">
        <v>298</v>
      </c>
      <c r="C125" s="26" t="s">
        <v>303</v>
      </c>
      <c r="D125" s="26">
        <v>46336</v>
      </c>
      <c r="E125" s="6" t="s">
        <v>6</v>
      </c>
      <c r="F125" s="16">
        <v>1118</v>
      </c>
      <c r="G125" s="16">
        <v>20502072006</v>
      </c>
      <c r="H125" s="1" t="s">
        <v>109</v>
      </c>
      <c r="I125" s="8">
        <v>800</v>
      </c>
      <c r="J125" s="32" t="s">
        <v>45</v>
      </c>
      <c r="K125" s="19" t="s">
        <v>17</v>
      </c>
    </row>
    <row r="126" spans="2:11" ht="12" customHeight="1" x14ac:dyDescent="0.2">
      <c r="B126" s="24" t="s">
        <v>298</v>
      </c>
      <c r="C126" s="26" t="s">
        <v>303</v>
      </c>
      <c r="D126" s="26">
        <v>46336</v>
      </c>
      <c r="E126" s="6" t="s">
        <v>6</v>
      </c>
      <c r="F126" s="16">
        <v>1119</v>
      </c>
      <c r="G126" s="16">
        <v>20325346435</v>
      </c>
      <c r="H126" s="1" t="s">
        <v>106</v>
      </c>
      <c r="I126" s="8">
        <v>4000</v>
      </c>
      <c r="J126" s="32" t="s">
        <v>308</v>
      </c>
      <c r="K126" s="19" t="s">
        <v>17</v>
      </c>
    </row>
    <row r="127" spans="2:11" ht="12" customHeight="1" x14ac:dyDescent="0.2">
      <c r="B127" s="24" t="s">
        <v>298</v>
      </c>
      <c r="C127" s="26" t="s">
        <v>309</v>
      </c>
      <c r="D127" s="26">
        <v>46277</v>
      </c>
      <c r="E127" s="6" t="s">
        <v>6</v>
      </c>
      <c r="F127" s="16">
        <v>1121</v>
      </c>
      <c r="G127" s="16">
        <v>20452634873</v>
      </c>
      <c r="H127" s="1" t="s">
        <v>82</v>
      </c>
      <c r="I127" s="8">
        <v>1350</v>
      </c>
      <c r="J127" s="32" t="s">
        <v>310</v>
      </c>
      <c r="K127" s="19" t="s">
        <v>98</v>
      </c>
    </row>
    <row r="128" spans="2:11" ht="12" customHeight="1" x14ac:dyDescent="0.2">
      <c r="B128" s="24" t="s">
        <v>298</v>
      </c>
      <c r="C128" s="26">
        <v>46218</v>
      </c>
      <c r="D128" s="26">
        <v>46338</v>
      </c>
      <c r="E128" s="6" t="s">
        <v>6</v>
      </c>
      <c r="F128" s="16">
        <v>1122</v>
      </c>
      <c r="G128" s="16">
        <v>20600697511</v>
      </c>
      <c r="H128" s="1" t="s">
        <v>102</v>
      </c>
      <c r="I128" s="8">
        <v>187.2</v>
      </c>
      <c r="J128" s="32" t="s">
        <v>311</v>
      </c>
      <c r="K128" s="19" t="s">
        <v>98</v>
      </c>
    </row>
    <row r="129" spans="2:11" ht="12" customHeight="1" x14ac:dyDescent="0.2">
      <c r="B129" s="24" t="s">
        <v>298</v>
      </c>
      <c r="C129" s="26">
        <v>46218</v>
      </c>
      <c r="D129" s="26">
        <v>46338</v>
      </c>
      <c r="E129" s="6" t="s">
        <v>6</v>
      </c>
      <c r="F129" s="16">
        <v>1123</v>
      </c>
      <c r="G129" s="16">
        <v>20600697511</v>
      </c>
      <c r="H129" s="1" t="s">
        <v>102</v>
      </c>
      <c r="I129" s="8">
        <v>936</v>
      </c>
      <c r="J129" s="32" t="s">
        <v>312</v>
      </c>
      <c r="K129" s="19" t="s">
        <v>98</v>
      </c>
    </row>
    <row r="130" spans="2:11" ht="12" customHeight="1" x14ac:dyDescent="0.2">
      <c r="B130" s="24" t="s">
        <v>298</v>
      </c>
      <c r="C130" s="26">
        <v>46223</v>
      </c>
      <c r="D130" s="26">
        <v>46283</v>
      </c>
      <c r="E130" s="6" t="s">
        <v>6</v>
      </c>
      <c r="F130" s="16">
        <v>1132</v>
      </c>
      <c r="G130" s="16">
        <v>20452634873</v>
      </c>
      <c r="H130" s="1" t="s">
        <v>82</v>
      </c>
      <c r="I130" s="8">
        <v>2025</v>
      </c>
      <c r="J130" s="32" t="s">
        <v>314</v>
      </c>
      <c r="K130" s="19" t="s">
        <v>98</v>
      </c>
    </row>
    <row r="131" spans="2:11" ht="12" customHeight="1" x14ac:dyDescent="0.2">
      <c r="B131" s="24" t="s">
        <v>298</v>
      </c>
      <c r="C131" s="26">
        <v>46223</v>
      </c>
      <c r="D131" s="26">
        <v>46223</v>
      </c>
      <c r="E131" s="6" t="s">
        <v>6</v>
      </c>
      <c r="F131" s="16">
        <v>1133</v>
      </c>
      <c r="G131" s="16">
        <v>20610679987</v>
      </c>
      <c r="H131" s="1" t="s">
        <v>313</v>
      </c>
      <c r="I131" s="8">
        <v>240</v>
      </c>
      <c r="J131" s="32" t="s">
        <v>284</v>
      </c>
      <c r="K131" s="19" t="s">
        <v>228</v>
      </c>
    </row>
    <row r="132" spans="2:11" ht="12" customHeight="1" x14ac:dyDescent="0.2">
      <c r="B132" s="24"/>
      <c r="C132" s="26"/>
      <c r="D132" s="26"/>
      <c r="E132" s="6"/>
      <c r="F132" s="16"/>
      <c r="G132" s="16"/>
      <c r="I132" s="8"/>
      <c r="J132" s="32"/>
      <c r="K132" s="19"/>
    </row>
    <row r="134" spans="2:11" ht="10.8" thickBot="1" x14ac:dyDescent="0.25">
      <c r="H134" s="7" t="s">
        <v>3</v>
      </c>
      <c r="I134" s="9">
        <f>SUM(I7:I131)</f>
        <v>419499.73508360219</v>
      </c>
    </row>
    <row r="135" spans="2:11" ht="10.8" thickTop="1" x14ac:dyDescent="0.2"/>
    <row r="139" spans="2:11" x14ac:dyDescent="0.2">
      <c r="J139" s="8"/>
    </row>
    <row r="140" spans="2:11" x14ac:dyDescent="0.2">
      <c r="K140" s="23"/>
    </row>
    <row r="143" spans="2:11" x14ac:dyDescent="0.2">
      <c r="I143" s="31"/>
    </row>
    <row r="144" spans="2:11" x14ac:dyDescent="0.2">
      <c r="I144" s="31"/>
    </row>
    <row r="154" spans="9:9" x14ac:dyDescent="0.2">
      <c r="I154" s="30"/>
    </row>
    <row r="155" spans="9:9" x14ac:dyDescent="0.2">
      <c r="I155" s="1"/>
    </row>
    <row r="156" spans="9:9" x14ac:dyDescent="0.2">
      <c r="I156" s="30"/>
    </row>
  </sheetData>
  <autoFilter ref="B6:K112" xr:uid="{89F060DB-6E7C-4940-87DD-785364B568BD}"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RESUMEN</vt:lpstr>
      <vt:lpstr>Hoja1</vt:lpstr>
      <vt:lpstr>VENTAS JULIO</vt:lpstr>
      <vt:lpstr>VENTAS ACUMULADAS 2026</vt:lpstr>
      <vt:lpstr>'VENTAS JULIO'!Títulos_a_imprimir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2025-04-04T22:15:45Z</dcterms:created>
  <dcterms:modified xsi:type="dcterms:W3CDTF">2026-07-20T22:40:02Z</dcterms:modified>
</cp:coreProperties>
</file>