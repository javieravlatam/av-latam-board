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7E8C6201-1486-4785-BB57-93D85E432BD0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ABRIL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2" hidden="1">'VENTAS ABRIL'!$A$6:$K$6</definedName>
    <definedName name="_xlnm._FilterDatabase" localSheetId="3" hidden="1">'VENTAS ACUMULADAS 2026'!$A$6:$K$79</definedName>
    <definedName name="_xlnm.Print_Titles" localSheetId="2">'VENTAS ABRIL'!$2:$6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5" l="1"/>
  <c r="I79" i="7"/>
</calcChain>
</file>

<file path=xl/sharedStrings.xml><?xml version="1.0" encoding="utf-8"?>
<sst xmlns="http://schemas.openxmlformats.org/spreadsheetml/2006/main" count="671" uniqueCount="220">
  <si>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</si>
  <si>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</si>
  <si>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</si>
  <si>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</si>
  <si>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</si>
  <si>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</si>
  <si>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</si>
  <si>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</si>
  <si>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</si>
  <si>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</si>
  <si>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</si>
  <si>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</si>
  <si>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</si>
  <si>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</si>
  <si>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</si>
  <si>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</si>
  <si>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</si>
  <si>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</si>
  <si>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</si>
  <si>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</si>
  <si>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</si>
  <si>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</si>
  <si>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</si>
  <si>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</si>
  <si>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</si>
  <si>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</si>
  <si>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</si>
  <si>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</si>
  <si>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</si>
  <si>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</si>
  <si>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</si>
  <si>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</si>
  <si>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</si>
  <si>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</si>
  <si>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</si>
  <si>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</si>
  <si>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</si>
  <si>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</si>
  <si>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</si>
  <si>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</si>
  <si>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</si>
  <si>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</si>
  <si>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</si>
  <si>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</si>
  <si>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</si>
  <si>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</si>
  <si>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</si>
  <si>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</si>
  <si>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</si>
  <si>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</si>
  <si>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</si>
  <si>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</si>
  <si>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</si>
  <si>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</si>
  <si>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</si>
  <si>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</si>
  <si>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</si>
  <si>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</si>
  <si>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</si>
  <si>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</si>
  <si>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</si>
  <si>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</si>
  <si>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</si>
  <si>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</si>
  <si>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</si>
  <si>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</si>
  <si>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</si>
  <si>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</si>
  <si>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</si>
  <si>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</si>
  <si>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</si>
  <si>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</si>
  <si>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</si>
  <si>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</si>
  <si>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</si>
  <si>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</si>
  <si>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</si>
  <si>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</si>
  <si>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</si>
  <si>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</si>
  <si>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</si>
  <si>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</si>
  <si>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</si>
  <si>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</si>
  <si>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</si>
  <si>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</si>
  <si>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</si>
  <si>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</si>
  <si>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</si>
  <si>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</si>
  <si>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</si>
  <si>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</si>
  <si>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</si>
  <si>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</si>
  <si>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</si>
  <si>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</si>
  <si>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</si>
  <si>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</si>
  <si>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</si>
  <si>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</si>
  <si>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</si>
  <si>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</si>
  <si>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</si>
  <si>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</si>
  <si>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</si>
  <si>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</si>
  <si>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</si>
  <si>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</si>
  <si>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</si>
  <si>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</si>
  <si>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</si>
  <si>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</si>
  <si>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</si>
  <si>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</si>
  <si>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</si>
  <si>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</si>
  <si>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</si>
  <si>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</si>
  <si>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</si>
  <si>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</si>
  <si>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</si>
  <si>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</si>
  <si>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</si>
  <si>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</si>
  <si>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</si>
  <si>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</si>
  <si>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</si>
  <si>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27/05/2025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</si>
  <si>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</si>
  <si>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</si>
  <si>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</si>
  <si>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</si>
  <si>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</si>
  <si>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</si>
  <si>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</si>
  <si>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</si>
  <si>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140 LTS RELAIA MAX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</si>
  <si>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</si>
  <si>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</si>
  <si>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</si>
  <si>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</si>
  <si>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</si>
  <si>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</si>
  <si>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</si>
  <si>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</si>
  <si>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</si>
  <si>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</si>
  <si>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</si>
  <si>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</si>
  <si>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</si>
  <si>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</si>
  <si>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</si>
  <si>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</si>
  <si>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</si>
  <si>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</si>
  <si>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</si>
  <si>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</si>
  <si>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</si>
  <si>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</si>
  <si>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08/06/2023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</si>
  <si>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</si>
  <si>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</si>
  <si>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</si>
  <si>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</si>
  <si>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</si>
  <si>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</si>
  <si>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</si>
  <si>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</si>
  <si>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</si>
  <si>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</si>
  <si>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</si>
  <si>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</si>
  <si>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</si>
  <si>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</si>
  <si>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</si>
  <si>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</si>
  <si>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</si>
  <si>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</si>
  <si>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</si>
  <si>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</si>
  <si>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</si>
  <si>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</si>
  <si>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</si>
  <si>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</si>
  <si>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</si>
  <si>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</si>
  <si>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</si>
  <si>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</si>
  <si>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</si>
  <si>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</si>
  <si>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</si>
  <si>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</si>
  <si>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</si>
  <si>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</si>
  <si>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</si>
  <si>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</si>
  <si>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</si>
  <si>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</si>
  <si>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</si>
  <si>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</si>
  <si>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</si>
  <si>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PERIODO :  ABRIL 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</si>
  <si>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</si>
  <si>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</si>
  <si>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</si>
  <si>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</si>
  <si>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</si>
  <si>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</si>
  <si>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</si>
  <si>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</si>
  <si>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</si>
  <si>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</si>
  <si>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</si>
  <si>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</si>
  <si>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</si>
  <si>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</si>
  <si>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</si>
  <si>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</si>
  <si>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</si>
  <si>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PERIODO :  01.01.2026 AL 15.04.2026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</si>
</sst>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7.720697685188" createdVersion="8" refreshedVersion="8" minRefreshableVersion="3" recordCount="71" xr:uid="{BFF1D27A-AB2F-4403-BDBC-6E46E70B8737}">
  <cacheSource type="worksheet">
    <worksheetSource ref="B6:K77" sheet="VENTAS ACUMULADAS 2026"/>
  </cacheSource>
  <cacheFields count="10">
    <cacheField name="PERIODO" numFmtId="43">
      <sharedItems count="4">
        <s v="01 ENERO 2026"/>
        <s v="02. FEBRERO 2026"/>
        <s v="03. MARZO 2026"/>
        <s v="04. ABRIL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04-20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09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36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6">
        <s v="NICOLL NAVARRO"/>
        <s v="OSCAR INFANTE"/>
        <s v="OMAR ATALAYA"/>
        <s v="ANTONIO GONZALES"/>
        <s v="LISBETH AGUIRRE"/>
        <s v="PATRICIA VALLADA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896.8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94.4"/>
    <s v="2 LTS REGALIA MAX"/>
    <x v="1"/>
  </r>
  <r>
    <x v="0"/>
    <s v="26/01/2026"/>
    <s v="25/02/2026"/>
    <s v="E001"/>
    <n v="921"/>
    <n v="20480514212"/>
    <x v="13"/>
    <n v="1246.08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9257.599999999999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2208.96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5"/>
    <s v="E001"/>
    <n v="958"/>
    <n v="20614560011"/>
    <x v="11"/>
    <n v="665"/>
    <s v="95 LTS VECA AMIN"/>
    <x v="1"/>
  </r>
  <r>
    <x v="1"/>
    <s v="26/02/2026"/>
    <s v="27/05/2025"/>
    <s v="E001"/>
    <n v="960"/>
    <n v="20563196387"/>
    <x v="24"/>
    <n v="5850.44"/>
    <s v="134 LTS REGALIA MAX"/>
    <x v="2"/>
  </r>
  <r>
    <x v="2"/>
    <s v="02/03/2026"/>
    <s v="31/05/2026"/>
    <s v="E001"/>
    <n v="965"/>
    <n v="20608328409"/>
    <x v="25"/>
    <n v="6112.4"/>
    <s v="140 LTS RELA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761.2"/>
    <s v="60 TLS REGALIA MAXX"/>
    <x v="4"/>
  </r>
  <r>
    <x v="2"/>
    <s v="04/03/2026"/>
    <s v="02/06/2026"/>
    <s v="E001"/>
    <n v="970"/>
    <n v="20608328409"/>
    <x v="25"/>
    <n v="10522.06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3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4531.2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29D19-4EF6-4C4B-8C81-76140606E12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G19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5">
      <pivotArea outline="0" fieldPosition="0">
        <references count="1">
          <reference field="9" count="0" selected="0"/>
        </references>
      </pivotArea>
    </format>
    <format dxfId="4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0DA30-186C-4F1F-843D-CA45B7628CE8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G66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7">
      <pivotArea outline="0" fieldPosition="0">
        <references count="1">
          <reference field="6" count="0" selected="0"/>
        </references>
      </pivotArea>
    </format>
    <format dxfId="6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66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2" sqref="B22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6" width="17.5546875" style="15" bestFit="1" customWidth="1"/>
    <col min="7" max="7" width="12.44140625" style="15" bestFit="1" customWidth="1"/>
    <col min="8" max="13" width="20.44140625" style="15" bestFit="1" customWidth="1"/>
    <col min="14" max="14" width="12.44140625" style="15" bestFit="1" customWidth="1"/>
    <col min="15" max="16384" width="11.5546875" style="15"/>
  </cols>
  <sheetData>
    <row r="1" spans="1:7" ht="4.8" customHeight="1" x14ac:dyDescent="0.3"/>
    <row r="2" spans="1:7" ht="15.6" x14ac:dyDescent="0.3">
      <c r="B2" s="2" t="s">
        <v>0</v>
      </c>
    </row>
    <row r="3" spans="1:7" x14ac:dyDescent="0.3">
      <c r="B3" s="20" t="s">
        <v>13</v>
      </c>
    </row>
    <row r="4" spans="1:7" x14ac:dyDescent="0.3">
      <c r="B4" s="20" t="s">
        <v>23</v>
      </c>
    </row>
    <row r="5" spans="1:7" ht="9" customHeight="1" x14ac:dyDescent="0.3">
      <c r="B5" s="4"/>
    </row>
    <row r="6" spans="1:7" ht="9" customHeight="1" x14ac:dyDescent="0.3">
      <c r="B6" s="4"/>
    </row>
    <row r="7" spans="1:7" x14ac:dyDescent="0.3">
      <c r="A7" s="21">
        <v>2</v>
      </c>
      <c r="B7" s="21" t="s">
        <v>19</v>
      </c>
    </row>
    <row r="8" spans="1:7" ht="4.2" customHeight="1" x14ac:dyDescent="0.3">
      <c r="A8" s="21"/>
      <c r="B8" s="21"/>
    </row>
    <row r="9" spans="1:7" x14ac:dyDescent="0.3">
      <c r="A9" s="21"/>
      <c r="B9" s="13" t="s">
        <v>2</v>
      </c>
      <c r="C9" t="s">
        <v>20</v>
      </c>
    </row>
    <row r="11" spans="1:7" x14ac:dyDescent="0.3">
      <c r="B11" s="13" t="s">
        <v>15</v>
      </c>
      <c r="C11" s="13" t="s">
        <v>8</v>
      </c>
      <c r="D11"/>
      <c r="E11"/>
      <c r="F11"/>
      <c r="G11"/>
    </row>
    <row r="12" spans="1:7" x14ac:dyDescent="0.3">
      <c r="B12" s="13" t="s">
        <v>16</v>
      </c>
      <c r="C12" t="s">
        <v>24</v>
      </c>
      <c r="D12" t="s">
        <v>85</v>
      </c>
      <c r="E12" t="s">
        <v>132</v>
      </c>
      <c r="F12" t="s">
        <v>202</v>
      </c>
      <c r="G12" t="s">
        <v>14</v>
      </c>
    </row>
    <row r="13" spans="1:7" x14ac:dyDescent="0.3">
      <c r="B13" s="15" t="s">
        <v>17</v>
      </c>
      <c r="C13" s="18">
        <v>16525.8</v>
      </c>
      <c r="D13" s="18">
        <v>16187.6</v>
      </c>
      <c r="E13" s="18">
        <v>38880.699999999997</v>
      </c>
      <c r="F13" s="18">
        <v>22549.5</v>
      </c>
      <c r="G13" s="18">
        <v>94143.6</v>
      </c>
    </row>
    <row r="14" spans="1:7" x14ac:dyDescent="0.3">
      <c r="B14" s="15" t="s">
        <v>22</v>
      </c>
      <c r="C14" s="18">
        <v>26314.399999999998</v>
      </c>
      <c r="D14" s="18">
        <v>7700</v>
      </c>
      <c r="E14" s="18"/>
      <c r="F14" s="18"/>
      <c r="G14" s="18">
        <v>34014.399999999994</v>
      </c>
    </row>
    <row r="15" spans="1:7" x14ac:dyDescent="0.3">
      <c r="B15" s="15" t="s">
        <v>42</v>
      </c>
      <c r="C15" s="18">
        <v>30071.08</v>
      </c>
      <c r="D15" s="18">
        <v>9000.4399999999987</v>
      </c>
      <c r="E15" s="18">
        <v>20000</v>
      </c>
      <c r="F15" s="18"/>
      <c r="G15" s="18">
        <v>59071.520000000004</v>
      </c>
    </row>
    <row r="16" spans="1:7" x14ac:dyDescent="0.3">
      <c r="B16" s="15" t="s">
        <v>69</v>
      </c>
      <c r="C16" s="18">
        <v>600</v>
      </c>
      <c r="D16" s="18"/>
      <c r="E16" s="18">
        <v>96</v>
      </c>
      <c r="F16" s="18"/>
      <c r="G16" s="18">
        <v>696</v>
      </c>
    </row>
    <row r="17" spans="1:12" x14ac:dyDescent="0.3">
      <c r="B17" s="15" t="s">
        <v>98</v>
      </c>
      <c r="C17" s="18"/>
      <c r="D17" s="18">
        <v>6521.3600000000006</v>
      </c>
      <c r="E17" s="18">
        <v>31639.659999999996</v>
      </c>
      <c r="F17" s="18">
        <v>4972</v>
      </c>
      <c r="G17" s="18">
        <v>43133.02</v>
      </c>
    </row>
    <row r="18" spans="1:12" x14ac:dyDescent="0.3">
      <c r="B18" s="15" t="s">
        <v>154</v>
      </c>
      <c r="C18" s="18"/>
      <c r="D18" s="18"/>
      <c r="E18" s="18">
        <v>1000</v>
      </c>
      <c r="F18" s="18"/>
      <c r="G18" s="18">
        <v>1000</v>
      </c>
    </row>
    <row r="19" spans="1:12" x14ac:dyDescent="0.3">
      <c r="B19" t="s">
        <v>14</v>
      </c>
      <c r="C19" s="14">
        <v>73511.28</v>
      </c>
      <c r="D19" s="14">
        <v>39409.399999999994</v>
      </c>
      <c r="E19" s="14">
        <v>91616.359999999986</v>
      </c>
      <c r="F19" s="14">
        <v>27521.5</v>
      </c>
      <c r="G19" s="14">
        <v>232058.54</v>
      </c>
    </row>
    <row r="20" spans="1:12" ht="13.2" customHeight="1" x14ac:dyDescent="0.3"/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</row>
    <row r="29" spans="1:12" x14ac:dyDescent="0.3">
      <c r="B29" s="13" t="s">
        <v>2</v>
      </c>
      <c r="C29" t="s">
        <v>24</v>
      </c>
      <c r="D29" t="s">
        <v>85</v>
      </c>
      <c r="E29" t="s">
        <v>132</v>
      </c>
      <c r="F29" t="s">
        <v>202</v>
      </c>
      <c r="G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10332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>
        <v>160</v>
      </c>
    </row>
    <row r="33" spans="2:7" x14ac:dyDescent="0.3">
      <c r="B33" s="15" t="s">
        <v>40</v>
      </c>
      <c r="C33" s="18">
        <v>3149</v>
      </c>
      <c r="D33" s="18"/>
      <c r="E33" s="18"/>
      <c r="F33" s="18"/>
      <c r="G33" s="18">
        <v>3149</v>
      </c>
    </row>
    <row r="34" spans="2:7" x14ac:dyDescent="0.3">
      <c r="B34" s="15" t="s">
        <v>46</v>
      </c>
      <c r="C34" s="18">
        <v>896.8</v>
      </c>
      <c r="D34" s="18"/>
      <c r="E34" s="18"/>
      <c r="F34" s="18"/>
      <c r="G34" s="18">
        <v>896.8</v>
      </c>
    </row>
    <row r="35" spans="2:7" x14ac:dyDescent="0.3">
      <c r="B35" s="15" t="s">
        <v>49</v>
      </c>
      <c r="C35" s="18">
        <v>1400</v>
      </c>
      <c r="D35" s="18"/>
      <c r="E35" s="18"/>
      <c r="F35" s="18"/>
      <c r="G35" s="18">
        <v>1400</v>
      </c>
    </row>
    <row r="36" spans="2:7" x14ac:dyDescent="0.3">
      <c r="B36" s="15" t="s">
        <v>54</v>
      </c>
      <c r="C36" s="18">
        <v>240</v>
      </c>
      <c r="D36" s="18">
        <v>240</v>
      </c>
      <c r="E36" s="18"/>
      <c r="F36" s="18"/>
      <c r="G36" s="18">
        <v>480</v>
      </c>
    </row>
    <row r="37" spans="2:7" x14ac:dyDescent="0.3">
      <c r="B37" s="15" t="s">
        <v>59</v>
      </c>
      <c r="C37" s="18">
        <v>24500</v>
      </c>
      <c r="D37" s="18"/>
      <c r="E37" s="18">
        <v>20000</v>
      </c>
      <c r="F37" s="18"/>
      <c r="G37" s="18">
        <v>44500</v>
      </c>
    </row>
    <row r="38" spans="2:7" x14ac:dyDescent="0.3">
      <c r="B38" s="15" t="s">
        <v>63</v>
      </c>
      <c r="C38" s="18">
        <v>400</v>
      </c>
      <c r="D38" s="18">
        <v>400</v>
      </c>
      <c r="E38" s="18"/>
      <c r="F38" s="18"/>
      <c r="G38" s="18">
        <v>800</v>
      </c>
    </row>
    <row r="39" spans="2:7" x14ac:dyDescent="0.3">
      <c r="B39" s="15" t="s">
        <v>65</v>
      </c>
      <c r="C39" s="18">
        <v>600</v>
      </c>
      <c r="D39" s="18"/>
      <c r="E39" s="18"/>
      <c r="F39" s="18"/>
      <c r="G39" s="18">
        <v>600</v>
      </c>
    </row>
    <row r="40" spans="2:7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14537</v>
      </c>
    </row>
    <row r="41" spans="2:7" x14ac:dyDescent="0.3">
      <c r="B41" s="15" t="s">
        <v>70</v>
      </c>
      <c r="C41" s="18">
        <v>94.4</v>
      </c>
      <c r="D41" s="18"/>
      <c r="E41" s="18"/>
      <c r="F41" s="18"/>
      <c r="G41" s="18">
        <v>94.4</v>
      </c>
    </row>
    <row r="42" spans="2:7" x14ac:dyDescent="0.3">
      <c r="B42" s="15" t="s">
        <v>73</v>
      </c>
      <c r="C42" s="18">
        <v>1791.08</v>
      </c>
      <c r="D42" s="18"/>
      <c r="E42" s="18"/>
      <c r="F42" s="18"/>
      <c r="G42" s="18">
        <v>1791.08</v>
      </c>
    </row>
    <row r="43" spans="2:7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300</v>
      </c>
      <c r="G43" s="18">
        <v>6151.4</v>
      </c>
    </row>
    <row r="44" spans="2:7" x14ac:dyDescent="0.3">
      <c r="B44" s="15" t="s">
        <v>83</v>
      </c>
      <c r="C44" s="18">
        <v>19257.599999999999</v>
      </c>
      <c r="D44" s="18"/>
      <c r="E44" s="18"/>
      <c r="F44" s="18"/>
      <c r="G44" s="18">
        <v>19257.599999999999</v>
      </c>
    </row>
    <row r="45" spans="2:7" x14ac:dyDescent="0.3">
      <c r="B45" s="15" t="s">
        <v>87</v>
      </c>
      <c r="C45" s="18"/>
      <c r="D45" s="18">
        <v>4144</v>
      </c>
      <c r="E45" s="18"/>
      <c r="F45" s="18"/>
      <c r="G45" s="18">
        <v>4144</v>
      </c>
    </row>
    <row r="46" spans="2:7" x14ac:dyDescent="0.3">
      <c r="B46" s="15" t="s">
        <v>90</v>
      </c>
      <c r="C46" s="18"/>
      <c r="D46" s="18">
        <v>7196</v>
      </c>
      <c r="E46" s="18"/>
      <c r="F46" s="18"/>
      <c r="G46" s="18">
        <v>7196</v>
      </c>
    </row>
    <row r="47" spans="2:7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6930</v>
      </c>
    </row>
    <row r="48" spans="2:7" x14ac:dyDescent="0.3">
      <c r="B48" s="15" t="s">
        <v>102</v>
      </c>
      <c r="C48" s="18"/>
      <c r="D48" s="18">
        <v>3612.96</v>
      </c>
      <c r="E48" s="18">
        <v>3697.2</v>
      </c>
      <c r="F48" s="18">
        <v>4672</v>
      </c>
      <c r="G48" s="18">
        <v>11982.16</v>
      </c>
    </row>
    <row r="49" spans="2:7" x14ac:dyDescent="0.3">
      <c r="B49" s="15" t="s">
        <v>106</v>
      </c>
      <c r="C49" s="18"/>
      <c r="D49" s="18">
        <v>10250.4</v>
      </c>
      <c r="E49" s="18">
        <v>5477.5</v>
      </c>
      <c r="F49" s="18"/>
      <c r="G49" s="18">
        <v>15727.9</v>
      </c>
    </row>
    <row r="50" spans="2:7" x14ac:dyDescent="0.3">
      <c r="B50" s="15" t="s">
        <v>109</v>
      </c>
      <c r="C50" s="18"/>
      <c r="D50" s="18">
        <v>866.2</v>
      </c>
      <c r="E50" s="18"/>
      <c r="F50" s="18"/>
      <c r="G50" s="18">
        <v>866.2</v>
      </c>
    </row>
    <row r="51" spans="2:7" x14ac:dyDescent="0.3">
      <c r="B51" s="15" t="s">
        <v>112</v>
      </c>
      <c r="C51" s="18"/>
      <c r="D51" s="18">
        <v>526</v>
      </c>
      <c r="E51" s="18">
        <v>280</v>
      </c>
      <c r="F51" s="18"/>
      <c r="G51" s="18">
        <v>806</v>
      </c>
    </row>
    <row r="52" spans="2:7" x14ac:dyDescent="0.3">
      <c r="B52" s="15" t="s">
        <v>115</v>
      </c>
      <c r="C52" s="18"/>
      <c r="D52" s="18">
        <v>17</v>
      </c>
      <c r="E52" s="18"/>
      <c r="F52" s="18"/>
      <c r="G52" s="18">
        <v>17</v>
      </c>
    </row>
    <row r="53" spans="2:7" x14ac:dyDescent="0.3">
      <c r="B53" s="15" t="s">
        <v>116</v>
      </c>
      <c r="C53" s="18"/>
      <c r="D53" s="18">
        <v>1126.4000000000001</v>
      </c>
      <c r="E53" s="18"/>
      <c r="F53" s="18"/>
      <c r="G53" s="18">
        <v>1126.4000000000001</v>
      </c>
    </row>
    <row r="54" spans="2:7" x14ac:dyDescent="0.3">
      <c r="B54" s="15" t="s">
        <v>128</v>
      </c>
      <c r="C54" s="18"/>
      <c r="D54" s="18">
        <v>5850.44</v>
      </c>
      <c r="E54" s="18"/>
      <c r="F54" s="18"/>
      <c r="G54" s="18">
        <v>5850.44</v>
      </c>
    </row>
    <row r="55" spans="2:7" x14ac:dyDescent="0.3">
      <c r="B55" s="15" t="s">
        <v>135</v>
      </c>
      <c r="C55" s="18"/>
      <c r="D55" s="18"/>
      <c r="E55" s="18">
        <v>16634.46</v>
      </c>
      <c r="F55" s="18"/>
      <c r="G55" s="18">
        <v>16634.46</v>
      </c>
    </row>
    <row r="56" spans="2:7" x14ac:dyDescent="0.3">
      <c r="B56" s="15" t="s">
        <v>145</v>
      </c>
      <c r="C56" s="18"/>
      <c r="D56" s="18"/>
      <c r="E56" s="18">
        <v>1232</v>
      </c>
      <c r="F56" s="18"/>
      <c r="G56" s="18">
        <v>1232</v>
      </c>
    </row>
    <row r="57" spans="2:7" x14ac:dyDescent="0.3">
      <c r="B57" s="15" t="s">
        <v>148</v>
      </c>
      <c r="C57" s="18"/>
      <c r="D57" s="18"/>
      <c r="E57" s="18">
        <v>320</v>
      </c>
      <c r="F57" s="18"/>
      <c r="G57" s="18">
        <v>320</v>
      </c>
    </row>
    <row r="58" spans="2:7" x14ac:dyDescent="0.3">
      <c r="B58" s="15" t="s">
        <v>152</v>
      </c>
      <c r="C58" s="18"/>
      <c r="D58" s="18"/>
      <c r="E58" s="18">
        <v>600</v>
      </c>
      <c r="F58" s="18"/>
      <c r="G58" s="18">
        <v>600</v>
      </c>
    </row>
    <row r="59" spans="2:7" x14ac:dyDescent="0.3">
      <c r="B59" s="15" t="s">
        <v>158</v>
      </c>
      <c r="C59" s="18"/>
      <c r="D59" s="18"/>
      <c r="E59" s="18">
        <v>96</v>
      </c>
      <c r="F59" s="18"/>
      <c r="G59" s="18">
        <v>96</v>
      </c>
    </row>
    <row r="60" spans="2:7" x14ac:dyDescent="0.3">
      <c r="B60" s="15" t="s">
        <v>165</v>
      </c>
      <c r="C60" s="18"/>
      <c r="D60" s="18"/>
      <c r="E60" s="18">
        <v>4531.2</v>
      </c>
      <c r="F60" s="18"/>
      <c r="G60" s="18">
        <v>4531.2</v>
      </c>
    </row>
    <row r="61" spans="2:7" x14ac:dyDescent="0.3">
      <c r="B61" s="15" t="s">
        <v>171</v>
      </c>
      <c r="C61" s="18"/>
      <c r="D61" s="18"/>
      <c r="E61" s="18">
        <v>522</v>
      </c>
      <c r="F61" s="18"/>
      <c r="G61" s="18">
        <v>522</v>
      </c>
    </row>
    <row r="62" spans="2:7" x14ac:dyDescent="0.3">
      <c r="B62" s="15" t="s">
        <v>176</v>
      </c>
      <c r="C62" s="18"/>
      <c r="D62" s="18"/>
      <c r="E62" s="18">
        <v>3150</v>
      </c>
      <c r="F62" s="18"/>
      <c r="G62" s="18">
        <v>3150</v>
      </c>
    </row>
    <row r="63" spans="2:7" x14ac:dyDescent="0.3">
      <c r="B63" s="15" t="s">
        <v>189</v>
      </c>
      <c r="C63" s="18"/>
      <c r="D63" s="18"/>
      <c r="E63" s="18">
        <v>12120</v>
      </c>
      <c r="F63" s="18">
        <v>22549.5</v>
      </c>
      <c r="G63" s="18">
        <v>34669.5</v>
      </c>
    </row>
    <row r="64" spans="2:7" x14ac:dyDescent="0.3">
      <c r="B64" s="15" t="s">
        <v>194</v>
      </c>
      <c r="C64" s="18"/>
      <c r="D64" s="18"/>
      <c r="E64" s="18">
        <v>2000</v>
      </c>
      <c r="F64" s="18"/>
      <c r="G64" s="18">
        <v>2000</v>
      </c>
    </row>
    <row r="65" spans="2:7" x14ac:dyDescent="0.3">
      <c r="B65" s="15" t="s">
        <v>200</v>
      </c>
      <c r="C65" s="18"/>
      <c r="D65" s="18"/>
      <c r="E65" s="18">
        <v>400</v>
      </c>
      <c r="F65" s="18"/>
      <c r="G65" s="18">
        <v>400</v>
      </c>
    </row>
    <row r="66" spans="2:7" x14ac:dyDescent="0.3">
      <c r="B66" t="s">
        <v>14</v>
      </c>
      <c r="C66" s="14">
        <v>73511.28</v>
      </c>
      <c r="D66" s="14">
        <v>39409.4</v>
      </c>
      <c r="E66" s="14">
        <v>91616.36</v>
      </c>
      <c r="F66" s="14">
        <v>27521.5</v>
      </c>
      <c r="G66" s="14">
        <v>232058.54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167</v>
      </c>
    </row>
    <row r="5" spans="3:3" x14ac:dyDescent="0.3">
      <c r="C5" s="15" t="s">
        <v>152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128</v>
      </c>
    </row>
    <row r="19" spans="3:3" x14ac:dyDescent="0.3">
      <c r="C19" s="15" t="s">
        <v>63</v>
      </c>
    </row>
    <row r="20" spans="3:3" x14ac:dyDescent="0.3">
      <c r="C20" s="15" t="s">
        <v>135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145</v>
      </c>
    </row>
    <row r="24" spans="3:3" x14ac:dyDescent="0.3">
      <c r="C24" s="15" t="s">
        <v>165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148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158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18"/>
  <sheetViews>
    <sheetView zoomScaleNormal="100" workbookViewId="0">
      <selection activeCell="E21" sqref="E21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201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202</v>
      </c>
      <c r="C7" s="26" t="s">
        <v>28</v>
      </c>
      <c r="D7" s="28" t="s">
        <v>204</v>
      </c>
      <c r="E7" s="6" t="s">
        <v>6</v>
      </c>
      <c r="F7" s="16">
        <v>1001</v>
      </c>
      <c r="G7" s="16">
        <v>20100032709</v>
      </c>
      <c r="H7" s="1" t="s">
        <v>189</v>
      </c>
      <c r="I7" s="8">
        <v>8100</v>
      </c>
      <c r="J7" s="22" t="s">
        <v>203</v>
      </c>
      <c r="K7" s="19" t="s">
        <v>17</v>
      </c>
    </row>
    <row r="8" spans="2:11" x14ac:dyDescent="0.2">
      <c r="B8" s="24" t="s">
        <v>202</v>
      </c>
      <c r="C8" s="26" t="s">
        <v>205</v>
      </c>
      <c r="D8" s="28" t="s">
        <v>207</v>
      </c>
      <c r="E8" s="6" t="s">
        <v>6</v>
      </c>
      <c r="F8" s="16">
        <v>1003</v>
      </c>
      <c r="G8" s="16">
        <v>20600697511</v>
      </c>
      <c r="H8" s="1" t="s">
        <v>102</v>
      </c>
      <c r="I8" s="8">
        <v>936</v>
      </c>
      <c r="J8" s="22" t="s">
        <v>209</v>
      </c>
      <c r="K8" s="19" t="s">
        <v>98</v>
      </c>
    </row>
    <row r="9" spans="2:11" x14ac:dyDescent="0.2">
      <c r="B9" s="24" t="s">
        <v>202</v>
      </c>
      <c r="C9" s="26" t="s">
        <v>205</v>
      </c>
      <c r="D9" s="28" t="s">
        <v>207</v>
      </c>
      <c r="E9" s="6" t="s">
        <v>6</v>
      </c>
      <c r="F9" s="16">
        <v>1004</v>
      </c>
      <c r="G9" s="16">
        <v>20600697511</v>
      </c>
      <c r="H9" s="1" t="s">
        <v>102</v>
      </c>
      <c r="I9" s="8">
        <v>936</v>
      </c>
      <c r="J9" s="22" t="s">
        <v>209</v>
      </c>
      <c r="K9" s="19" t="s">
        <v>98</v>
      </c>
    </row>
    <row r="10" spans="2:11" x14ac:dyDescent="0.2">
      <c r="B10" s="24" t="s">
        <v>202</v>
      </c>
      <c r="C10" s="26" t="s">
        <v>205</v>
      </c>
      <c r="D10" s="28" t="s">
        <v>206</v>
      </c>
      <c r="E10" s="6" t="s">
        <v>6</v>
      </c>
      <c r="F10" s="16">
        <v>1005</v>
      </c>
      <c r="G10" s="16">
        <v>20100032709</v>
      </c>
      <c r="H10" s="1" t="s">
        <v>189</v>
      </c>
      <c r="I10" s="8">
        <v>5737.5</v>
      </c>
      <c r="J10" s="22" t="s">
        <v>208</v>
      </c>
      <c r="K10" s="19" t="s">
        <v>17</v>
      </c>
    </row>
    <row r="11" spans="2:11" x14ac:dyDescent="0.2">
      <c r="B11" s="24" t="s">
        <v>202</v>
      </c>
      <c r="C11" s="26" t="s">
        <v>210</v>
      </c>
      <c r="D11" s="28" t="s">
        <v>211</v>
      </c>
      <c r="E11" s="6" t="s">
        <v>6</v>
      </c>
      <c r="F11" s="16">
        <v>1006</v>
      </c>
      <c r="G11" s="16">
        <v>20452634873</v>
      </c>
      <c r="H11" s="1" t="s">
        <v>82</v>
      </c>
      <c r="I11" s="8">
        <v>300</v>
      </c>
      <c r="J11" s="22" t="s">
        <v>212</v>
      </c>
      <c r="K11" s="19" t="s">
        <v>98</v>
      </c>
    </row>
    <row r="12" spans="2:11" x14ac:dyDescent="0.2">
      <c r="B12" s="24" t="s">
        <v>202</v>
      </c>
      <c r="C12" s="6" t="s">
        <v>213</v>
      </c>
      <c r="D12" s="6" t="s">
        <v>214</v>
      </c>
      <c r="E12" s="6" t="s">
        <v>6</v>
      </c>
      <c r="F12" s="16">
        <v>1008</v>
      </c>
      <c r="G12" s="16">
        <v>20100032709</v>
      </c>
      <c r="H12" s="1" t="s">
        <v>189</v>
      </c>
      <c r="I12" s="8">
        <v>8712</v>
      </c>
      <c r="J12" s="22" t="s">
        <v>215</v>
      </c>
      <c r="K12" s="19" t="s">
        <v>17</v>
      </c>
    </row>
    <row r="13" spans="2:11" x14ac:dyDescent="0.2">
      <c r="B13" s="24" t="s">
        <v>202</v>
      </c>
      <c r="C13" s="6" t="s">
        <v>216</v>
      </c>
      <c r="D13" s="6" t="s">
        <v>217</v>
      </c>
      <c r="E13" s="6" t="s">
        <v>6</v>
      </c>
      <c r="F13" s="16">
        <v>1009</v>
      </c>
      <c r="G13" s="16">
        <v>20600697511</v>
      </c>
      <c r="H13" s="1" t="s">
        <v>102</v>
      </c>
      <c r="I13" s="8">
        <v>2800</v>
      </c>
      <c r="J13" s="22" t="s">
        <v>218</v>
      </c>
      <c r="K13" s="19" t="s">
        <v>98</v>
      </c>
    </row>
    <row r="14" spans="2:11" x14ac:dyDescent="0.2">
      <c r="B14" s="24"/>
      <c r="C14" s="6"/>
      <c r="D14" s="6"/>
      <c r="E14" s="6"/>
      <c r="F14" s="16"/>
      <c r="G14" s="16"/>
      <c r="I14" s="8"/>
      <c r="J14" s="22"/>
      <c r="K14" s="19"/>
    </row>
    <row r="15" spans="2:11" ht="12" customHeight="1" thickBot="1" x14ac:dyDescent="0.25">
      <c r="H15" s="7" t="s">
        <v>3</v>
      </c>
      <c r="I15" s="9">
        <f>SUM(I7:I13)</f>
        <v>27521.5</v>
      </c>
    </row>
    <row r="16" spans="2:11" ht="10.8" thickTop="1" x14ac:dyDescent="0.2"/>
    <row r="18" spans="11:11" x14ac:dyDescent="0.2">
      <c r="K18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K89"/>
  <sheetViews>
    <sheetView topLeftCell="B1" workbookViewId="0">
      <selection activeCell="B1" sqref="B1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219</v>
      </c>
      <c r="C4" s="4"/>
    </row>
    <row r="5" spans="2:11" ht="7.2" customHeight="1" x14ac:dyDescent="0.2">
      <c r="B5" s="4" t="s">
        <v>21</v>
      </c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1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1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1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1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1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1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896.8</v>
      </c>
      <c r="J13" s="22" t="s">
        <v>45</v>
      </c>
      <c r="K13" s="19" t="s">
        <v>22</v>
      </c>
    </row>
    <row r="14" spans="2:11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1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1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1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1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1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1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1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1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94.4</v>
      </c>
      <c r="J22" s="22" t="s">
        <v>72</v>
      </c>
      <c r="K22" s="19" t="s">
        <v>17</v>
      </c>
    </row>
    <row r="23" spans="2:11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1246.08</v>
      </c>
      <c r="J23" s="22" t="s">
        <v>75</v>
      </c>
      <c r="K23" s="19" t="s">
        <v>42</v>
      </c>
    </row>
    <row r="24" spans="2:11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1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1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19257.599999999999</v>
      </c>
      <c r="J26" s="22" t="s">
        <v>84</v>
      </c>
      <c r="K26" s="19" t="s">
        <v>22</v>
      </c>
    </row>
    <row r="27" spans="2:11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1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1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1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1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1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2208.96</v>
      </c>
      <c r="J32" s="22" t="s">
        <v>103</v>
      </c>
      <c r="K32" s="19" t="s">
        <v>98</v>
      </c>
    </row>
    <row r="33" spans="2:11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1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1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1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1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1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</row>
    <row r="39" spans="2:11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1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1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1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1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131</v>
      </c>
      <c r="K43" s="19" t="s">
        <v>17</v>
      </c>
    </row>
    <row r="44" spans="2:11" x14ac:dyDescent="0.2">
      <c r="B44" s="24" t="s">
        <v>85</v>
      </c>
      <c r="C44" s="6" t="s">
        <v>125</v>
      </c>
      <c r="D44" s="6" t="s">
        <v>127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130</v>
      </c>
      <c r="K44" s="19" t="s">
        <v>17</v>
      </c>
    </row>
    <row r="45" spans="2:11" x14ac:dyDescent="0.2">
      <c r="B45" s="24" t="s">
        <v>85</v>
      </c>
      <c r="C45" s="6" t="s">
        <v>125</v>
      </c>
      <c r="D45" s="6" t="s">
        <v>127</v>
      </c>
      <c r="E45" s="6" t="s">
        <v>6</v>
      </c>
      <c r="F45" s="16">
        <v>960</v>
      </c>
      <c r="G45" s="16">
        <v>20563196387</v>
      </c>
      <c r="H45" s="1" t="s">
        <v>128</v>
      </c>
      <c r="I45" s="8">
        <v>5850.44</v>
      </c>
      <c r="J45" s="22" t="s">
        <v>129</v>
      </c>
      <c r="K45" s="19" t="s">
        <v>42</v>
      </c>
    </row>
    <row r="46" spans="2:11" x14ac:dyDescent="0.2">
      <c r="B46" s="24" t="s">
        <v>132</v>
      </c>
      <c r="C46" s="6" t="s">
        <v>133</v>
      </c>
      <c r="D46" s="6" t="s">
        <v>137</v>
      </c>
      <c r="E46" s="6" t="s">
        <v>6</v>
      </c>
      <c r="F46" s="16">
        <v>965</v>
      </c>
      <c r="G46" s="16">
        <v>20608328409</v>
      </c>
      <c r="H46" s="1" t="s">
        <v>135</v>
      </c>
      <c r="I46" s="8">
        <v>6112.4</v>
      </c>
      <c r="J46" s="22" t="s">
        <v>136</v>
      </c>
      <c r="K46" s="19" t="s">
        <v>98</v>
      </c>
    </row>
    <row r="47" spans="2:11" x14ac:dyDescent="0.2">
      <c r="B47" s="24" t="s">
        <v>132</v>
      </c>
      <c r="C47" s="6" t="s">
        <v>133</v>
      </c>
      <c r="D47" s="6" t="s">
        <v>137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138</v>
      </c>
      <c r="K47" s="19" t="s">
        <v>42</v>
      </c>
    </row>
    <row r="48" spans="2:11" x14ac:dyDescent="0.2">
      <c r="B48" s="24" t="s">
        <v>132</v>
      </c>
      <c r="C48" s="6" t="s">
        <v>134</v>
      </c>
      <c r="D48" s="6" t="s">
        <v>139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140</v>
      </c>
      <c r="K48" s="19" t="s">
        <v>98</v>
      </c>
    </row>
    <row r="49" spans="2:11" x14ac:dyDescent="0.2">
      <c r="B49" s="24" t="s">
        <v>132</v>
      </c>
      <c r="C49" s="6" t="s">
        <v>141</v>
      </c>
      <c r="D49" s="6" t="s">
        <v>146</v>
      </c>
      <c r="E49" s="6" t="s">
        <v>6</v>
      </c>
      <c r="F49" s="16">
        <v>968</v>
      </c>
      <c r="G49" s="16">
        <v>20565586247</v>
      </c>
      <c r="H49" s="1" t="s">
        <v>145</v>
      </c>
      <c r="I49" s="8">
        <v>1232</v>
      </c>
      <c r="J49" s="22" t="s">
        <v>147</v>
      </c>
      <c r="K49" s="19" t="s">
        <v>17</v>
      </c>
    </row>
    <row r="50" spans="2:11" x14ac:dyDescent="0.2">
      <c r="B50" s="24" t="s">
        <v>132</v>
      </c>
      <c r="C50" s="6" t="s">
        <v>141</v>
      </c>
      <c r="D50" s="6" t="s">
        <v>142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2761.2</v>
      </c>
      <c r="J50" s="22" t="s">
        <v>143</v>
      </c>
      <c r="K50" s="19" t="s">
        <v>98</v>
      </c>
    </row>
    <row r="51" spans="2:11" x14ac:dyDescent="0.2">
      <c r="B51" s="24" t="s">
        <v>132</v>
      </c>
      <c r="C51" s="6" t="s">
        <v>141</v>
      </c>
      <c r="D51" s="6" t="s">
        <v>142</v>
      </c>
      <c r="E51" s="6" t="s">
        <v>6</v>
      </c>
      <c r="F51" s="16">
        <v>970</v>
      </c>
      <c r="G51" s="16">
        <v>20608328409</v>
      </c>
      <c r="H51" s="1" t="s">
        <v>135</v>
      </c>
      <c r="I51" s="8">
        <v>10522.06</v>
      </c>
      <c r="J51" s="22" t="s">
        <v>144</v>
      </c>
      <c r="K51" s="19" t="s">
        <v>98</v>
      </c>
    </row>
    <row r="52" spans="2:11" x14ac:dyDescent="0.2">
      <c r="B52" s="24" t="s">
        <v>132</v>
      </c>
      <c r="C52" s="6" t="s">
        <v>141</v>
      </c>
      <c r="D52" s="6" t="s">
        <v>149</v>
      </c>
      <c r="E52" s="6" t="s">
        <v>6</v>
      </c>
      <c r="F52" s="16">
        <v>971</v>
      </c>
      <c r="G52" s="16">
        <v>10237050008</v>
      </c>
      <c r="H52" s="1" t="s">
        <v>148</v>
      </c>
      <c r="I52" s="8">
        <v>320</v>
      </c>
      <c r="J52" s="22" t="s">
        <v>150</v>
      </c>
      <c r="K52" s="19" t="s">
        <v>17</v>
      </c>
    </row>
    <row r="53" spans="2:11" x14ac:dyDescent="0.2">
      <c r="B53" s="24" t="s">
        <v>132</v>
      </c>
      <c r="C53" s="6" t="s">
        <v>151</v>
      </c>
      <c r="D53" s="6" t="s">
        <v>168</v>
      </c>
      <c r="E53" s="6" t="s">
        <v>6</v>
      </c>
      <c r="F53" s="16">
        <v>972</v>
      </c>
      <c r="G53" s="16">
        <v>20601438586</v>
      </c>
      <c r="H53" s="1" t="s">
        <v>152</v>
      </c>
      <c r="I53" s="8">
        <v>200</v>
      </c>
      <c r="J53" s="22" t="s">
        <v>153</v>
      </c>
      <c r="K53" s="19" t="s">
        <v>154</v>
      </c>
    </row>
    <row r="54" spans="2:11" x14ac:dyDescent="0.2">
      <c r="B54" s="24" t="s">
        <v>132</v>
      </c>
      <c r="C54" s="6" t="s">
        <v>155</v>
      </c>
      <c r="D54" s="6" t="s">
        <v>155</v>
      </c>
      <c r="E54" s="6" t="s">
        <v>6</v>
      </c>
      <c r="F54" s="16">
        <v>975</v>
      </c>
      <c r="G54" s="16">
        <v>20613808893</v>
      </c>
      <c r="H54" s="1" t="s">
        <v>158</v>
      </c>
      <c r="I54" s="8">
        <v>96</v>
      </c>
      <c r="J54" s="22" t="s">
        <v>157</v>
      </c>
      <c r="K54" s="19" t="s">
        <v>69</v>
      </c>
    </row>
    <row r="55" spans="2:11" x14ac:dyDescent="0.2">
      <c r="B55" s="24" t="s">
        <v>132</v>
      </c>
      <c r="C55" s="6" t="s">
        <v>156</v>
      </c>
      <c r="D55" s="6" t="s">
        <v>159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138</v>
      </c>
      <c r="K55" s="19" t="s">
        <v>42</v>
      </c>
    </row>
    <row r="56" spans="2:11" x14ac:dyDescent="0.2">
      <c r="B56" s="24" t="s">
        <v>132</v>
      </c>
      <c r="C56" s="6" t="s">
        <v>160</v>
      </c>
      <c r="D56" s="6" t="s">
        <v>162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163</v>
      </c>
      <c r="K56" s="19" t="s">
        <v>98</v>
      </c>
    </row>
    <row r="57" spans="2:11" x14ac:dyDescent="0.2">
      <c r="B57" s="24" t="s">
        <v>132</v>
      </c>
      <c r="C57" s="6" t="s">
        <v>161</v>
      </c>
      <c r="D57" s="6" t="s">
        <v>166</v>
      </c>
      <c r="E57" s="6" t="s">
        <v>6</v>
      </c>
      <c r="F57" s="16">
        <v>978</v>
      </c>
      <c r="G57" s="16">
        <v>20602691439</v>
      </c>
      <c r="H57" s="1" t="s">
        <v>165</v>
      </c>
      <c r="I57" s="8">
        <v>4531.2</v>
      </c>
      <c r="J57" s="22" t="s">
        <v>164</v>
      </c>
      <c r="K57" s="19" t="s">
        <v>17</v>
      </c>
    </row>
    <row r="58" spans="2:11" x14ac:dyDescent="0.2">
      <c r="B58" s="24" t="s">
        <v>132</v>
      </c>
      <c r="C58" s="6" t="s">
        <v>169</v>
      </c>
      <c r="D58" s="6" t="s">
        <v>170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182</v>
      </c>
      <c r="K58" s="19" t="s">
        <v>98</v>
      </c>
    </row>
    <row r="59" spans="2:11" x14ac:dyDescent="0.2">
      <c r="B59" s="24" t="s">
        <v>132</v>
      </c>
      <c r="C59" s="6" t="s">
        <v>169</v>
      </c>
      <c r="D59" s="6" t="s">
        <v>170</v>
      </c>
      <c r="E59" s="6" t="s">
        <v>6</v>
      </c>
      <c r="F59" s="16">
        <v>981</v>
      </c>
      <c r="G59" s="16">
        <v>10724616572</v>
      </c>
      <c r="H59" s="1" t="s">
        <v>171</v>
      </c>
      <c r="I59" s="8">
        <v>522</v>
      </c>
      <c r="J59" s="22" t="s">
        <v>172</v>
      </c>
      <c r="K59" s="19" t="s">
        <v>17</v>
      </c>
    </row>
    <row r="60" spans="2:11" x14ac:dyDescent="0.2">
      <c r="B60" s="24" t="s">
        <v>132</v>
      </c>
      <c r="C60" s="6" t="s">
        <v>173</v>
      </c>
      <c r="D60" s="6" t="s">
        <v>174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175</v>
      </c>
      <c r="K60" s="19" t="s">
        <v>98</v>
      </c>
    </row>
    <row r="61" spans="2:11" x14ac:dyDescent="0.2">
      <c r="B61" s="24" t="s">
        <v>132</v>
      </c>
      <c r="C61" s="6" t="s">
        <v>177</v>
      </c>
      <c r="D61" s="6" t="s">
        <v>178</v>
      </c>
      <c r="E61" s="6" t="s">
        <v>6</v>
      </c>
      <c r="F61" s="16">
        <v>983</v>
      </c>
      <c r="G61" s="16">
        <v>20411051782</v>
      </c>
      <c r="H61" s="1" t="s">
        <v>176</v>
      </c>
      <c r="I61" s="8">
        <v>3150</v>
      </c>
      <c r="J61" s="22" t="s">
        <v>179</v>
      </c>
      <c r="K61" s="19" t="s">
        <v>17</v>
      </c>
    </row>
    <row r="62" spans="2:11" x14ac:dyDescent="0.2">
      <c r="B62" s="24" t="s">
        <v>132</v>
      </c>
      <c r="C62" s="6" t="s">
        <v>177</v>
      </c>
      <c r="D62" s="6" t="s">
        <v>180</v>
      </c>
      <c r="E62" s="6" t="s">
        <v>6</v>
      </c>
      <c r="F62" s="16">
        <v>984</v>
      </c>
      <c r="G62" s="16">
        <v>20601438586</v>
      </c>
      <c r="H62" s="1" t="s">
        <v>152</v>
      </c>
      <c r="I62" s="8">
        <v>400</v>
      </c>
      <c r="J62" s="22" t="s">
        <v>181</v>
      </c>
      <c r="K62" s="19" t="s">
        <v>154</v>
      </c>
    </row>
    <row r="63" spans="2:11" x14ac:dyDescent="0.2">
      <c r="B63" s="24" t="s">
        <v>132</v>
      </c>
      <c r="C63" s="6" t="s">
        <v>183</v>
      </c>
      <c r="D63" s="6" t="s">
        <v>184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185</v>
      </c>
      <c r="K63" s="19" t="s">
        <v>17</v>
      </c>
    </row>
    <row r="64" spans="2:11" x14ac:dyDescent="0.2">
      <c r="B64" s="24" t="s">
        <v>132</v>
      </c>
      <c r="C64" s="6" t="s">
        <v>183</v>
      </c>
      <c r="D64" s="6" t="s">
        <v>184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186</v>
      </c>
      <c r="K64" s="19" t="s">
        <v>17</v>
      </c>
    </row>
    <row r="65" spans="2:11" x14ac:dyDescent="0.2">
      <c r="B65" s="24" t="s">
        <v>132</v>
      </c>
      <c r="C65" s="26">
        <v>46107</v>
      </c>
      <c r="D65" s="28" t="s">
        <v>188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187</v>
      </c>
      <c r="K65" s="19" t="s">
        <v>98</v>
      </c>
    </row>
    <row r="66" spans="2:11" x14ac:dyDescent="0.2">
      <c r="B66" s="24" t="s">
        <v>132</v>
      </c>
      <c r="C66" s="26" t="s">
        <v>190</v>
      </c>
      <c r="D66" s="28" t="s">
        <v>191</v>
      </c>
      <c r="E66" s="6" t="s">
        <v>6</v>
      </c>
      <c r="F66" s="16">
        <v>990</v>
      </c>
      <c r="G66" s="16">
        <v>20100032709</v>
      </c>
      <c r="H66" s="1" t="s">
        <v>189</v>
      </c>
      <c r="I66" s="8">
        <v>4200</v>
      </c>
      <c r="J66" s="22" t="s">
        <v>192</v>
      </c>
      <c r="K66" s="19" t="s">
        <v>17</v>
      </c>
    </row>
    <row r="67" spans="2:11" x14ac:dyDescent="0.2">
      <c r="B67" s="24" t="s">
        <v>132</v>
      </c>
      <c r="C67" s="26" t="s">
        <v>190</v>
      </c>
      <c r="D67" s="28" t="s">
        <v>191</v>
      </c>
      <c r="E67" s="6" t="s">
        <v>6</v>
      </c>
      <c r="F67" s="16">
        <v>991</v>
      </c>
      <c r="G67" s="16">
        <v>20100032709</v>
      </c>
      <c r="H67" s="1" t="s">
        <v>189</v>
      </c>
      <c r="I67" s="8">
        <v>7920</v>
      </c>
      <c r="J67" s="22" t="s">
        <v>193</v>
      </c>
      <c r="K67" s="19" t="s">
        <v>17</v>
      </c>
    </row>
    <row r="68" spans="2:11" x14ac:dyDescent="0.2">
      <c r="B68" s="24" t="s">
        <v>132</v>
      </c>
      <c r="C68" s="26">
        <v>46111</v>
      </c>
      <c r="D68" s="28" t="s">
        <v>195</v>
      </c>
      <c r="E68" s="6" t="s">
        <v>6</v>
      </c>
      <c r="F68" s="16">
        <v>992</v>
      </c>
      <c r="G68" s="16">
        <v>20176770474</v>
      </c>
      <c r="H68" s="1" t="s">
        <v>194</v>
      </c>
      <c r="I68" s="8">
        <v>2000</v>
      </c>
      <c r="J68" s="22" t="s">
        <v>196</v>
      </c>
      <c r="K68" s="19" t="s">
        <v>98</v>
      </c>
    </row>
    <row r="69" spans="2:11" x14ac:dyDescent="0.2">
      <c r="B69" s="24" t="s">
        <v>132</v>
      </c>
      <c r="C69" s="26">
        <v>46112</v>
      </c>
      <c r="D69" s="26" t="s">
        <v>197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198</v>
      </c>
      <c r="K69" s="19" t="s">
        <v>17</v>
      </c>
    </row>
    <row r="70" spans="2:11" x14ac:dyDescent="0.2">
      <c r="B70" s="24" t="s">
        <v>132</v>
      </c>
      <c r="C70" s="26">
        <v>46112</v>
      </c>
      <c r="D70" s="28" t="s">
        <v>199</v>
      </c>
      <c r="E70" s="6" t="s">
        <v>6</v>
      </c>
      <c r="F70" s="16">
        <v>998</v>
      </c>
      <c r="G70" s="16">
        <v>20601438586</v>
      </c>
      <c r="H70" s="1" t="s">
        <v>200</v>
      </c>
      <c r="I70" s="8">
        <v>400</v>
      </c>
      <c r="J70" s="22" t="s">
        <v>181</v>
      </c>
      <c r="K70" s="19" t="s">
        <v>154</v>
      </c>
    </row>
    <row r="71" spans="2:11" x14ac:dyDescent="0.2">
      <c r="B71" s="24" t="s">
        <v>202</v>
      </c>
      <c r="C71" s="26" t="s">
        <v>28</v>
      </c>
      <c r="D71" s="28" t="s">
        <v>204</v>
      </c>
      <c r="E71" s="6" t="s">
        <v>6</v>
      </c>
      <c r="F71" s="16">
        <v>1001</v>
      </c>
      <c r="G71" s="16">
        <v>20100032709</v>
      </c>
      <c r="H71" s="1" t="s">
        <v>189</v>
      </c>
      <c r="I71" s="8">
        <v>8100</v>
      </c>
      <c r="J71" s="22" t="s">
        <v>203</v>
      </c>
      <c r="K71" s="19" t="s">
        <v>17</v>
      </c>
    </row>
    <row r="72" spans="2:11" x14ac:dyDescent="0.2">
      <c r="B72" s="24" t="s">
        <v>202</v>
      </c>
      <c r="C72" s="26" t="s">
        <v>205</v>
      </c>
      <c r="D72" s="28" t="s">
        <v>207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209</v>
      </c>
      <c r="K72" s="19" t="s">
        <v>98</v>
      </c>
    </row>
    <row r="73" spans="2:11" x14ac:dyDescent="0.2">
      <c r="B73" s="24" t="s">
        <v>202</v>
      </c>
      <c r="C73" s="26" t="s">
        <v>205</v>
      </c>
      <c r="D73" s="28" t="s">
        <v>207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209</v>
      </c>
      <c r="K73" s="19" t="s">
        <v>98</v>
      </c>
    </row>
    <row r="74" spans="2:11" x14ac:dyDescent="0.2">
      <c r="B74" s="24" t="s">
        <v>202</v>
      </c>
      <c r="C74" s="26" t="s">
        <v>205</v>
      </c>
      <c r="D74" s="28" t="s">
        <v>206</v>
      </c>
      <c r="E74" s="6" t="s">
        <v>6</v>
      </c>
      <c r="F74" s="16">
        <v>1005</v>
      </c>
      <c r="G74" s="16">
        <v>20100032709</v>
      </c>
      <c r="H74" s="1" t="s">
        <v>189</v>
      </c>
      <c r="I74" s="8">
        <v>5737.5</v>
      </c>
      <c r="J74" s="22" t="s">
        <v>208</v>
      </c>
      <c r="K74" s="19" t="s">
        <v>17</v>
      </c>
    </row>
    <row r="75" spans="2:11" x14ac:dyDescent="0.2">
      <c r="B75" s="24" t="s">
        <v>202</v>
      </c>
      <c r="C75" s="26" t="s">
        <v>210</v>
      </c>
      <c r="D75" s="28" t="s">
        <v>211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212</v>
      </c>
      <c r="K75" s="19" t="s">
        <v>98</v>
      </c>
    </row>
    <row r="76" spans="2:11" x14ac:dyDescent="0.2">
      <c r="B76" s="24" t="s">
        <v>202</v>
      </c>
      <c r="C76" s="6" t="s">
        <v>213</v>
      </c>
      <c r="D76" s="6" t="s">
        <v>214</v>
      </c>
      <c r="E76" s="6" t="s">
        <v>6</v>
      </c>
      <c r="F76" s="16">
        <v>1008</v>
      </c>
      <c r="G76" s="16">
        <v>20100032709</v>
      </c>
      <c r="H76" s="1" t="s">
        <v>189</v>
      </c>
      <c r="I76" s="8">
        <v>8712</v>
      </c>
      <c r="J76" s="22" t="s">
        <v>215</v>
      </c>
      <c r="K76" s="19" t="s">
        <v>17</v>
      </c>
    </row>
    <row r="77" spans="2:11" x14ac:dyDescent="0.2">
      <c r="B77" s="24" t="s">
        <v>202</v>
      </c>
      <c r="C77" s="6" t="s">
        <v>216</v>
      </c>
      <c r="D77" s="6" t="s">
        <v>217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218</v>
      </c>
      <c r="K77" s="19" t="s">
        <v>98</v>
      </c>
    </row>
    <row r="78" spans="2:11" x14ac:dyDescent="0.2">
      <c r="B78" s="24"/>
      <c r="C78" s="6"/>
      <c r="D78" s="6"/>
      <c r="E78" s="6"/>
      <c r="F78" s="16"/>
      <c r="G78" s="16"/>
      <c r="I78" s="8"/>
      <c r="J78" s="22"/>
      <c r="K78" s="19"/>
    </row>
    <row r="79" spans="2:11" ht="12" customHeight="1" thickBot="1" x14ac:dyDescent="0.25">
      <c r="H79" s="7" t="s">
        <v>3</v>
      </c>
      <c r="I79" s="9">
        <f>SUM(I7:I77)</f>
        <v>232058.54</v>
      </c>
    </row>
    <row r="80" spans="2:11" ht="10.8" thickTop="1" x14ac:dyDescent="0.2"/>
    <row r="88" spans="10:11" x14ac:dyDescent="0.2">
      <c r="J88" s="8"/>
    </row>
    <row r="89" spans="10:11" x14ac:dyDescent="0.2">
      <c r="K89" s="23"/>
    </row>
  </sheetData>
  <autoFilter ref="A6:K79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ABRIL</vt:lpstr>
      <vt:lpstr>VENTAS ACUMULADAS 2026</vt:lpstr>
      <vt:lpstr>'VENTAS ABRIL'!Títulos_a_imprimir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2026-04-15T22:21:19Z</dcterms:modified>
</cp:coreProperties>
</file>