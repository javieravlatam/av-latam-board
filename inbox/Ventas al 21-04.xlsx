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Desktop\Andrea\"/>
    </mc:Choice>
  </mc:AlternateContent>
  <xr:revisionPtr revIDLastSave="0" documentId="8_{97FDA7CB-28CB-4746-AB03-0F307B36529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SUMEN" sheetId="2" r:id="rId1"/>
    <sheet name="VENTAS" sheetId="1" r:id="rId2"/>
    <sheet name="ACUMULADO T1" sheetId="4" r:id="rId3"/>
  </sheets>
  <definedNames>
    <definedName name="_xlnm._FilterDatabase" localSheetId="1" hidden="1">VENTAS!$A$2:$U$779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08" i="1" l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789" i="1"/>
  <c r="N790" i="1"/>
  <c r="N791" i="1"/>
  <c r="N792" i="1"/>
  <c r="N793" i="1"/>
  <c r="N794" i="1"/>
  <c r="N795" i="1"/>
  <c r="N796" i="1"/>
  <c r="N797" i="1"/>
  <c r="N798" i="1"/>
  <c r="N784" i="1"/>
  <c r="N785" i="1"/>
  <c r="N786" i="1"/>
  <c r="N787" i="1"/>
  <c r="N780" i="1"/>
  <c r="N781" i="1"/>
  <c r="N782" i="1"/>
  <c r="N783" i="1"/>
  <c r="N788" i="1"/>
  <c r="N799" i="1"/>
  <c r="N800" i="1"/>
  <c r="N801" i="1"/>
  <c r="N802" i="1"/>
  <c r="N803" i="1"/>
  <c r="N804" i="1"/>
  <c r="N805" i="1"/>
  <c r="N806" i="1"/>
  <c r="N807" i="1"/>
  <c r="N627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H37" i="2"/>
  <c r="C16" i="4"/>
  <c r="C18" i="4"/>
  <c r="C14" i="4"/>
  <c r="C17" i="4"/>
  <c r="I21" i="2" l="1"/>
  <c r="J21" i="2" s="1"/>
  <c r="I36" i="2" s="1"/>
  <c r="H21" i="2"/>
  <c r="H20" i="2"/>
  <c r="B30" i="4"/>
  <c r="B29" i="4"/>
  <c r="B28" i="4"/>
  <c r="B27" i="4"/>
  <c r="B26" i="4"/>
  <c r="H20" i="4" l="1"/>
  <c r="F20" i="4"/>
  <c r="G20" i="4" s="1"/>
  <c r="E20" i="4"/>
  <c r="C20" i="4"/>
  <c r="B20" i="4"/>
  <c r="D20" i="4" l="1"/>
  <c r="J19" i="4"/>
  <c r="G19" i="4"/>
  <c r="D19" i="4"/>
  <c r="J18" i="4" l="1"/>
  <c r="G18" i="4"/>
  <c r="D18" i="4"/>
  <c r="J17" i="4" l="1"/>
  <c r="G17" i="4"/>
  <c r="D17" i="4"/>
  <c r="J16" i="4" l="1"/>
  <c r="G16" i="4"/>
  <c r="D16" i="4"/>
  <c r="J15" i="4" l="1"/>
  <c r="G15" i="4"/>
  <c r="D15" i="4"/>
  <c r="I20" i="4" l="1"/>
  <c r="J20" i="4" s="1"/>
  <c r="J14" i="4"/>
  <c r="G14" i="4"/>
  <c r="D14" i="4"/>
  <c r="N767" i="1"/>
  <c r="N766" i="1"/>
  <c r="N765" i="1"/>
  <c r="N749" i="1" l="1"/>
  <c r="N750" i="1"/>
  <c r="N751" i="1"/>
  <c r="N752" i="1"/>
  <c r="N753" i="1"/>
  <c r="N754" i="1"/>
  <c r="N764" i="1" l="1"/>
  <c r="N763" i="1"/>
  <c r="N762" i="1"/>
  <c r="N761" i="1"/>
  <c r="N760" i="1"/>
  <c r="N759" i="1"/>
  <c r="N758" i="1"/>
  <c r="N757" i="1"/>
  <c r="N756" i="1"/>
  <c r="N755" i="1"/>
  <c r="N748" i="1" l="1"/>
  <c r="N747" i="1"/>
  <c r="N746" i="1"/>
  <c r="N745" i="1"/>
  <c r="N744" i="1"/>
  <c r="N743" i="1"/>
  <c r="N742" i="1" l="1"/>
  <c r="N741" i="1"/>
  <c r="N740" i="1"/>
  <c r="N739" i="1"/>
  <c r="N738" i="1"/>
  <c r="N737" i="1"/>
  <c r="N736" i="1"/>
  <c r="N735" i="1"/>
  <c r="N734" i="1"/>
  <c r="N733" i="1" l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 l="1"/>
  <c r="N707" i="1"/>
  <c r="N706" i="1"/>
  <c r="N705" i="1"/>
  <c r="N704" i="1"/>
  <c r="N703" i="1"/>
  <c r="N702" i="1"/>
  <c r="N700" i="1"/>
  <c r="N699" i="1"/>
  <c r="N698" i="1"/>
  <c r="N697" i="1"/>
  <c r="N696" i="1"/>
  <c r="N695" i="1"/>
  <c r="N694" i="1"/>
  <c r="N693" i="1"/>
  <c r="N692" i="1"/>
  <c r="N691" i="1"/>
  <c r="N690" i="1"/>
  <c r="N689" i="1" l="1"/>
  <c r="N688" i="1"/>
  <c r="N684" i="1"/>
  <c r="N683" i="1"/>
  <c r="N682" i="1"/>
  <c r="N673" i="1"/>
  <c r="N672" i="1"/>
  <c r="N670" i="1"/>
  <c r="N669" i="1"/>
  <c r="N514" i="1"/>
  <c r="N686" i="1"/>
  <c r="N687" i="1"/>
  <c r="N685" i="1"/>
  <c r="N681" i="1"/>
  <c r="N680" i="1"/>
  <c r="N679" i="1"/>
  <c r="N678" i="1"/>
  <c r="N677" i="1"/>
  <c r="N676" i="1"/>
  <c r="N675" i="1"/>
  <c r="N674" i="1"/>
  <c r="N671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6" i="1"/>
  <c r="N625" i="1"/>
  <c r="N624" i="1"/>
  <c r="N623" i="1"/>
  <c r="N622" i="1"/>
  <c r="N621" i="1"/>
  <c r="N616" i="1" l="1"/>
  <c r="N617" i="1"/>
  <c r="N618" i="1"/>
  <c r="N619" i="1"/>
  <c r="N620" i="1"/>
  <c r="N613" i="1"/>
  <c r="N614" i="1"/>
  <c r="N615" i="1"/>
  <c r="G8" i="4" l="1"/>
  <c r="D8" i="4"/>
  <c r="N612" i="1"/>
  <c r="N611" i="1"/>
  <c r="D6" i="4"/>
  <c r="N592" i="1"/>
  <c r="R39" i="1"/>
  <c r="N4" i="1"/>
  <c r="N5" i="1"/>
  <c r="N6" i="1"/>
  <c r="N7" i="1"/>
  <c r="N8" i="1"/>
  <c r="N9" i="1"/>
  <c r="N10" i="1"/>
  <c r="N11" i="1"/>
  <c r="N12" i="1"/>
  <c r="B32" i="4"/>
  <c r="H9" i="4"/>
  <c r="I6" i="4"/>
  <c r="I5" i="4"/>
  <c r="I7" i="4"/>
  <c r="I4" i="4"/>
  <c r="I3" i="4"/>
  <c r="I8" i="4"/>
  <c r="H35" i="2"/>
  <c r="H39" i="2"/>
  <c r="H31" i="2"/>
  <c r="J6" i="4" l="1"/>
  <c r="J5" i="4"/>
  <c r="J8" i="4"/>
  <c r="J7" i="4"/>
  <c r="J4" i="4"/>
  <c r="C26" i="4"/>
  <c r="C27" i="4"/>
  <c r="D27" i="4" s="1"/>
  <c r="I20" i="2"/>
  <c r="J20" i="2" s="1"/>
  <c r="I34" i="2" s="1"/>
  <c r="C30" i="4"/>
  <c r="C29" i="4"/>
  <c r="C28" i="4"/>
  <c r="D28" i="4" s="1"/>
  <c r="J3" i="4"/>
  <c r="I9" i="4"/>
  <c r="J9" i="4" s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D26" i="4" l="1"/>
  <c r="G3" i="4"/>
  <c r="C31" i="4"/>
  <c r="C32" i="4" s="1"/>
  <c r="D32" i="4" s="1"/>
  <c r="D29" i="4"/>
  <c r="E9" i="4"/>
  <c r="F9" i="4"/>
  <c r="C9" i="4"/>
  <c r="B9" i="4"/>
  <c r="G4" i="4"/>
  <c r="G5" i="4"/>
  <c r="G6" i="4"/>
  <c r="G7" i="4"/>
  <c r="D4" i="4"/>
  <c r="D5" i="4"/>
  <c r="D7" i="4"/>
  <c r="D3" i="4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68" i="1"/>
  <c r="N569" i="1"/>
  <c r="N570" i="1"/>
  <c r="N571" i="1"/>
  <c r="N572" i="1"/>
  <c r="N573" i="1"/>
  <c r="N574" i="1"/>
  <c r="N575" i="1"/>
  <c r="N576" i="1"/>
  <c r="D9" i="4" l="1"/>
  <c r="G9" i="4"/>
  <c r="D30" i="4"/>
  <c r="N562" i="1"/>
  <c r="N563" i="1"/>
  <c r="N564" i="1"/>
  <c r="N565" i="1"/>
  <c r="N566" i="1"/>
  <c r="N567" i="1"/>
  <c r="N559" i="1"/>
  <c r="N560" i="1"/>
  <c r="N561" i="1"/>
  <c r="N538" i="1"/>
  <c r="N539" i="1"/>
  <c r="N540" i="1"/>
  <c r="N541" i="1"/>
  <c r="N542" i="1"/>
  <c r="N543" i="1"/>
  <c r="N544" i="1"/>
  <c r="N545" i="1"/>
  <c r="N557" i="1"/>
  <c r="N558" i="1"/>
  <c r="H19" i="2"/>
  <c r="H18" i="2"/>
  <c r="H22" i="2" s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46" i="1"/>
  <c r="N547" i="1"/>
  <c r="N548" i="1"/>
  <c r="N549" i="1"/>
  <c r="N550" i="1"/>
  <c r="N551" i="1"/>
  <c r="N552" i="1"/>
  <c r="N553" i="1"/>
  <c r="N554" i="1"/>
  <c r="N555" i="1"/>
  <c r="N556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3" i="1"/>
  <c r="H33" i="2"/>
  <c r="I32" i="2" l="1"/>
  <c r="I30" i="2"/>
  <c r="I18" i="2"/>
  <c r="I19" i="2"/>
  <c r="J19" i="2" s="1"/>
  <c r="I22" i="2" l="1"/>
  <c r="J22" i="2" s="1"/>
  <c r="J18" i="2"/>
</calcChain>
</file>

<file path=xl/sharedStrings.xml><?xml version="1.0" encoding="utf-8"?>
<sst xmlns="http://schemas.openxmlformats.org/spreadsheetml/2006/main" count="11015" uniqueCount="814">
  <si>
    <t>MES</t>
  </si>
  <si>
    <t>Rut</t>
  </si>
  <si>
    <t>Razón Social</t>
  </si>
  <si>
    <t>Fecha</t>
  </si>
  <si>
    <t xml:space="preserve">Región 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</si>
  <si>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</si>
  <si>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</si>
  <si>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</si>
  <si>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</si>
  <si>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</si>
  <si>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</si>
  <si>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</si>
  <si>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</si>
  <si>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T/C Promedio</t>
  </si>
  <si>
    <t>Moneda</t>
  </si>
  <si>
    <t>PAÍS</t>
  </si>
  <si>
    <t xml:space="preserve">FECHA VENCIMIENTO </t>
  </si>
  <si>
    <t xml:space="preserve">Negocio </t>
  </si>
  <si>
    <t>Comentarios</t>
  </si>
  <si>
    <t>Fecha guía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</si>
  <si>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</si>
  <si>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</si>
  <si>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</si>
  <si>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</si>
  <si>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</si>
  <si>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</si>
  <si>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</si>
  <si>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Agroveca</t>
  </si>
  <si>
    <t>Factura Electrónica</t>
  </si>
  <si>
    <t>LTS</t>
  </si>
  <si>
    <t>CLP</t>
  </si>
  <si>
    <t>CHILE</t>
  </si>
  <si>
    <t>AV</t>
  </si>
  <si>
    <t>77.852.841-K</t>
  </si>
  <si>
    <t>COMERCIAL GUS SPA</t>
  </si>
  <si>
    <t>05/01/2026</t>
  </si>
  <si>
    <t>SEPTIMA</t>
  </si>
  <si>
    <t>FRANCISCO VELASQUEZ</t>
  </si>
  <si>
    <t>BIOVECA FOLIAR 250 GR</t>
  </si>
  <si>
    <t>78.148.834-8</t>
  </si>
  <si>
    <t>COMERCIALIZADORA LA COLONIA LIMITADA</t>
  </si>
  <si>
    <t>QUINTA</t>
  </si>
  <si>
    <t>VECA MAX FULVIC 45% - 20 L</t>
  </si>
  <si>
    <t>18.584.049-2</t>
  </si>
  <si>
    <t>SEBASTIAN MAURICIO BUTTI MENDOZA</t>
  </si>
  <si>
    <t>VECA ROOT MAX - 20 L</t>
  </si>
  <si>
    <t>76.532.516-1</t>
  </si>
  <si>
    <t>AGROINVEST SPA</t>
  </si>
  <si>
    <t>SEXTA</t>
  </si>
  <si>
    <t>VALENTINA MUÑOZ</t>
  </si>
  <si>
    <t>PK-DEFEND MAX - 20 L</t>
  </si>
  <si>
    <t>PK-DEFEND MAX - 5 L</t>
  </si>
  <si>
    <t>76.428.021-0</t>
  </si>
  <si>
    <t>SOCIEDAD AGRICOLA TIERRA DE BACO LIMITADA</t>
  </si>
  <si>
    <t xml:space="preserve">SEXTA </t>
  </si>
  <si>
    <t>JORGE CAROCA</t>
  </si>
  <si>
    <t>BIOVECA FOLIAR - 250 GR</t>
  </si>
  <si>
    <t>Agrocomercial</t>
  </si>
  <si>
    <t>Guia N 107</t>
  </si>
  <si>
    <t>RODRIGO ENCINA</t>
  </si>
  <si>
    <t>BIOVECA FOLIAR - 250 GRS</t>
  </si>
  <si>
    <t>Guia N 121</t>
  </si>
  <si>
    <t>5.786.817-1</t>
  </si>
  <si>
    <t>MARIO FERNANDO MUÑOZ SILVA</t>
  </si>
  <si>
    <t>AV-BIOSOLARIS - 20 L</t>
  </si>
  <si>
    <t>Guía de Despacho Electrónica</t>
  </si>
  <si>
    <t>AV-BIOSOLARIS - 5 L</t>
  </si>
  <si>
    <t>AV-BIOSOLARIS - 1 L</t>
  </si>
  <si>
    <t>78.189.158-4</t>
  </si>
  <si>
    <t>AGRICOLA SAN PEDRO SPA</t>
  </si>
  <si>
    <t>AV-AMIN SUGAR - 20 L</t>
  </si>
  <si>
    <t>AV-AMIN SUGAR - 1 L</t>
  </si>
  <si>
    <t>AV-SILFORTE - 20 L</t>
  </si>
  <si>
    <t>78.304.686-5</t>
  </si>
  <si>
    <t>DISTRIBUIDORA AGRO DEL MONTE SPA</t>
  </si>
  <si>
    <t>06/01/2026</t>
  </si>
  <si>
    <t>VECA AMIN - 5 L</t>
  </si>
  <si>
    <t>Guia N 132</t>
  </si>
  <si>
    <t>4.593.930-8</t>
  </si>
  <si>
    <t>MANUEL ANTONIO CASTRO LOPEZ</t>
  </si>
  <si>
    <t>AV BIOSOLARIS - 20 L</t>
  </si>
  <si>
    <t>AV BIOSOLARIS - 5 L</t>
  </si>
  <si>
    <t>78.061.253-3</t>
  </si>
  <si>
    <t>AGRICOLA DON PEDRO SPA</t>
  </si>
  <si>
    <t>07/01/2026</t>
  </si>
  <si>
    <t>ANALISIS FOLIAR CEREZO</t>
  </si>
  <si>
    <t>Laboratorio</t>
  </si>
  <si>
    <t>77.598.960-2</t>
  </si>
  <si>
    <t>AGROCOMERCIAL Y GANADERA LOMA LARGA LIMITADA</t>
  </si>
  <si>
    <t>CUARTA</t>
  </si>
  <si>
    <t>IVAN VEVERKA</t>
  </si>
  <si>
    <t>AV ALGAP 30 x 20 LT</t>
  </si>
  <si>
    <t>3 cuotas</t>
  </si>
  <si>
    <t>AV PLUS POTASIO x 20 LT</t>
  </si>
  <si>
    <t>AV PLUS AMIN x 20 LT</t>
  </si>
  <si>
    <t>81.669.200-8</t>
  </si>
  <si>
    <t>PONTIFICIA UNIVERSIDAD CATOLICA DE VALPARAISO</t>
  </si>
  <si>
    <t>Guia N 105</t>
  </si>
  <si>
    <t>76.826.270-5</t>
  </si>
  <si>
    <t>INVERSIONES DON FORTUNATO LTDA</t>
  </si>
  <si>
    <t>VECA PLUS POTASIO - 20 L</t>
  </si>
  <si>
    <t>VECA PLUS CALCIO - 20 L</t>
  </si>
  <si>
    <t>VECA PLUS MAGNESIO - 20 L</t>
  </si>
  <si>
    <t>BIOVECA RAÍZ - 500 GRS</t>
  </si>
  <si>
    <t>ODIN TEBUCONAZOLE 43% LT</t>
  </si>
  <si>
    <t>76.188.119-1</t>
  </si>
  <si>
    <t>PEDRO PATRICIO MENESES SOTO AGRICOLA Y TRANSPORTES E.I.R.L.</t>
  </si>
  <si>
    <t>AV PLUS ROOT MAX x 5LT</t>
  </si>
  <si>
    <t>BIOVECA NEMAOFF 500 GRS</t>
  </si>
  <si>
    <t>77.758.114-7</t>
  </si>
  <si>
    <t>SOCIEDAD AGRÍCOLA COMERCIAL SIEMBRA SPA</t>
  </si>
  <si>
    <t>AV PLUS MAGNESIO x 5 LT</t>
  </si>
  <si>
    <t>AV PLUS POTASIO x 5 LT</t>
  </si>
  <si>
    <t>76.552.164-5</t>
  </si>
  <si>
    <t>ANGELA MARIA DIAZ SCHMIDT AGRICOLA E.I.R.L.</t>
  </si>
  <si>
    <t>AV ROOT MAX x 20 LT</t>
  </si>
  <si>
    <t>BIOVECA FOLIAR 250 GRS</t>
  </si>
  <si>
    <t>76.180.961-K</t>
  </si>
  <si>
    <t>AGRICOLA SAN ANTONIO LIMITADA</t>
  </si>
  <si>
    <t>AV PLUS MAGNESIO x 20 LT</t>
  </si>
  <si>
    <t>77.650.227-8</t>
  </si>
  <si>
    <t>SOCIEDAD AGRICOLA COMERCIAL LA HIGUERA SPA</t>
  </si>
  <si>
    <t>08/01/2026</t>
  </si>
  <si>
    <t>VECA AMIN - 20 L</t>
  </si>
  <si>
    <t>LITROS</t>
  </si>
  <si>
    <t>Guia  N 48</t>
  </si>
  <si>
    <t>VECA BALANCE - 5 L</t>
  </si>
  <si>
    <t>Guia N 60</t>
  </si>
  <si>
    <t>CYTO PRIME -  1 L</t>
  </si>
  <si>
    <t>VECA PLUS POTASIO - 5 L</t>
  </si>
  <si>
    <t>Guia N 78</t>
  </si>
  <si>
    <t>VECA PLUS CALCIO - 5 L</t>
  </si>
  <si>
    <t>VECA PLUS BORO - 5 L (PRECIO EN  USD)</t>
  </si>
  <si>
    <t>Guia N 49</t>
  </si>
  <si>
    <t>VECA PLUS ZINC - 5 L (PRECIO EN USD)</t>
  </si>
  <si>
    <t>5.904.111-8</t>
  </si>
  <si>
    <t>BETTY PATRICIA MONTENEGRO ESCOBAR</t>
  </si>
  <si>
    <t>VECA AMIN SUGAR - 20 L</t>
  </si>
  <si>
    <t>Guia N 139</t>
  </si>
  <si>
    <t>77.036.196-6</t>
  </si>
  <si>
    <t>SOCIEDAD COMERCIAL RYN SPA</t>
  </si>
  <si>
    <t>VECA CALCIO BORO - 20 L</t>
  </si>
  <si>
    <t>76.788.317-K</t>
  </si>
  <si>
    <t>AGRICOLA MARIO ALEJANDRO VIDAL NUNEZ EIRL</t>
  </si>
  <si>
    <t>09/01/2026</t>
  </si>
  <si>
    <t>BIOVECA NEMAOFF - 500 GR</t>
  </si>
  <si>
    <t>9.056.061-1</t>
  </si>
  <si>
    <t>FELIPE ALBERTO RIQUELME ACUNA</t>
  </si>
  <si>
    <t>ÑUBLE</t>
  </si>
  <si>
    <t>AV ROOT MAX X 20 LT</t>
  </si>
  <si>
    <t>AV PLUS MAGNESIO X 20 LT</t>
  </si>
  <si>
    <t>AV PLUS POTASIO X 20 LT</t>
  </si>
  <si>
    <t>76.547.701-8</t>
  </si>
  <si>
    <t>SOCIEDAD AGRICOLA BRUGNATO LIMITADA</t>
  </si>
  <si>
    <t>VECASIL FORTE - 20 L</t>
  </si>
  <si>
    <t>77.988.779-0</t>
  </si>
  <si>
    <t>SEIS SOLES SPA</t>
  </si>
  <si>
    <t>10/01/2026</t>
  </si>
  <si>
    <t>TERCERA</t>
  </si>
  <si>
    <t>ALGAP 30 - 20 L</t>
  </si>
  <si>
    <t>77.582.414-K</t>
  </si>
  <si>
    <t>AGROINSUMOS KULLIN</t>
  </si>
  <si>
    <t>12/01/2026</t>
  </si>
  <si>
    <t>AV PLUS CALCIO BORO - 20 L</t>
  </si>
  <si>
    <t>GUIA AV 708</t>
  </si>
  <si>
    <t>AV PLUS BORO - 20 L</t>
  </si>
  <si>
    <t>AV AMIN - 20 L</t>
  </si>
  <si>
    <t>VECA AMIN - 1 L</t>
  </si>
  <si>
    <t>GUIA AV 709</t>
  </si>
  <si>
    <t>VECA PLUS ZINC - 1 L</t>
  </si>
  <si>
    <t>VECA PLUS MAGNESIO - 1 L</t>
  </si>
  <si>
    <t>GUIA AV 789</t>
  </si>
  <si>
    <t>VECA NUTRI MIX - 1 L</t>
  </si>
  <si>
    <t>VECA NUTRI MIX - 20 L</t>
  </si>
  <si>
    <t>77.139.169-9</t>
  </si>
  <si>
    <t>AGRICOLA FUNDO LA PROVIDENCIA LTDA</t>
  </si>
  <si>
    <t>GUIA AV 827</t>
  </si>
  <si>
    <t>76.421.617-2</t>
  </si>
  <si>
    <t>AGRICOLA CASA DEL CERRILLO EIRL</t>
  </si>
  <si>
    <t>GUIA AV 769</t>
  </si>
  <si>
    <t>ALGAP 30 - 5 L</t>
  </si>
  <si>
    <t>VECA N-P MIX - 20 L</t>
  </si>
  <si>
    <t>GUIA AV 780</t>
  </si>
  <si>
    <t>15.111.777-5</t>
  </si>
  <si>
    <t>JORGE HERNAN ESPINOZA QUEZADA</t>
  </si>
  <si>
    <t>GUIA AV 725</t>
  </si>
  <si>
    <t>CYTO PRIME - 5 L</t>
  </si>
  <si>
    <t>77.224.235-2</t>
  </si>
  <si>
    <t>CONTRATISTAS AZUA LIMITADA</t>
  </si>
  <si>
    <t>GUIA AV 829</t>
  </si>
  <si>
    <t>14.346.200-5</t>
  </si>
  <si>
    <t>SAMUEL ENRIQUE ACEVEDO CONTRERAS</t>
  </si>
  <si>
    <t>GUIA AV 841</t>
  </si>
  <si>
    <t>VECA BLOOM - 5 L</t>
  </si>
  <si>
    <t>77.327.221-2</t>
  </si>
  <si>
    <t>SOCIEDAD AGRICOLA Y COMERCIAL RIO DIUTO SPA</t>
  </si>
  <si>
    <t>OCTAVA</t>
  </si>
  <si>
    <t>VECA PLUS MANGANESO - 20 L</t>
  </si>
  <si>
    <t>AV BIOVECA FOLIAR - 250 GR</t>
  </si>
  <si>
    <t>Guia N142</t>
  </si>
  <si>
    <t>9.501.614-6</t>
  </si>
  <si>
    <t>JUAN ENRIQUE VARGAS ALZAMORA</t>
  </si>
  <si>
    <t>AV AMIN SUGAR - 200 L</t>
  </si>
  <si>
    <t>10.824.336-8</t>
  </si>
  <si>
    <t>EUGENIO ALFREDO AMPUERO GUERRA</t>
  </si>
  <si>
    <t>13/01/2026</t>
  </si>
  <si>
    <t>BIOVECA NEMAOFF - 500 GRS</t>
  </si>
  <si>
    <t>GUIA AV 851</t>
  </si>
  <si>
    <t>76.104.169-K</t>
  </si>
  <si>
    <t>AGRICOLA RIBERA LIMITADA</t>
  </si>
  <si>
    <t>GUIA AV 550</t>
  </si>
  <si>
    <t>77.987.344-7</t>
  </si>
  <si>
    <t>AGRÍCOLA CORNEJO ALVAREZ SPA</t>
  </si>
  <si>
    <t>AV AMIN X 5 LT</t>
  </si>
  <si>
    <t>AV AMIN X 1 LT</t>
  </si>
  <si>
    <t>AV HUMIC ROOT X 20LT</t>
  </si>
  <si>
    <t>AV ROOT MAX X 20LT</t>
  </si>
  <si>
    <t>14/01/2026</t>
  </si>
  <si>
    <t>LABORATORIO</t>
  </si>
  <si>
    <t>ANÁLISIS FOLIAR - CAMPO LOS LIRIOS</t>
  </si>
  <si>
    <t>ANÁLISIS FOLIAR - CAMPO LA MONTAÑA</t>
  </si>
  <si>
    <t>ANÁLISIS FOLIAR - CAMPO SANTA LUISA</t>
  </si>
  <si>
    <t>13.302.310-0</t>
  </si>
  <si>
    <t>LUIS AMERICO VIDAL MEZA</t>
  </si>
  <si>
    <t>NUTRI MIX - 5 L</t>
  </si>
  <si>
    <t>89.308.000-7</t>
  </si>
  <si>
    <t>VILLEGAS Y BERRIOS Y CIA LTDA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</si>
  <si>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</si>
  <si>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</si>
  <si>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</si>
  <si>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</si>
  <si>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</si>
  <si>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</si>
  <si>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</si>
  <si>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</si>
  <si>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</si>
  <si>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</si>
  <si>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</si>
  <si>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</si>
  <si>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BIOBODEN CRYOPHILE - 250 GRS</t>
  </si>
  <si>
    <t>XCARATOR - 20 L</t>
  </si>
  <si>
    <t>11.762.436-6</t>
  </si>
  <si>
    <t>ELIAS FELICIANO RETAMAL RIVERA</t>
  </si>
  <si>
    <t>AV ROOT MAX - 20 L</t>
  </si>
  <si>
    <t>AV PLUS NUTRI MIX - 20 L</t>
  </si>
  <si>
    <t>AV MOVE - 20 L</t>
  </si>
  <si>
    <t>AV SILFORTE - 200 L</t>
  </si>
  <si>
    <t>VECA MOVE - 5 L</t>
  </si>
  <si>
    <t>BIOVECA FOLIAR</t>
  </si>
  <si>
    <t>77.576.071-0</t>
  </si>
  <si>
    <t>AGRICOLA E INVERSIONES VGV SPA</t>
  </si>
  <si>
    <t>AV MAX FULVIC - 20 L</t>
  </si>
  <si>
    <t>AV HUMIC ROOT - 20 L</t>
  </si>
  <si>
    <t>AV AMINSUGAR - 20 L</t>
  </si>
  <si>
    <t>AV ALGAP 30 - 20 L</t>
  </si>
  <si>
    <t>76.351.331-9</t>
  </si>
  <si>
    <t>ACEITE DE OLIVA ANA MARIA MONSALVE NAVES E.I.R.L</t>
  </si>
  <si>
    <t>15/01/2026</t>
  </si>
  <si>
    <t>AV PLUS MICRO MIX - 20 L</t>
  </si>
  <si>
    <t>AV PLUS MICRO MIX - 5 L</t>
  </si>
  <si>
    <t>77.611.026-4</t>
  </si>
  <si>
    <t>AGRODONI LIMITADA</t>
  </si>
  <si>
    <t>AV BALANCE X 20LT</t>
  </si>
  <si>
    <t>AV MOVE X 20LT</t>
  </si>
  <si>
    <t>77.980.980-3</t>
  </si>
  <si>
    <t>AGRICOLA GEOAGRO LTDA</t>
  </si>
  <si>
    <t>Guia N 150</t>
  </si>
  <si>
    <t>AV MOVE X 5LT</t>
  </si>
  <si>
    <t>AV MOVE X 1LT</t>
  </si>
  <si>
    <t>Guia N 151</t>
  </si>
  <si>
    <t>76.756.815-0</t>
  </si>
  <si>
    <t>AGRICOLA SANTA INES DE MALLOA LIMITADA</t>
  </si>
  <si>
    <t>16/01/2026</t>
  </si>
  <si>
    <t>Guia N 153</t>
  </si>
  <si>
    <t>78.223.261-4</t>
  </si>
  <si>
    <t>AGRICOLA TOMATERRA SPA</t>
  </si>
  <si>
    <t>AV BIOVECA RAIZ - 500 GR</t>
  </si>
  <si>
    <t>UNIDAD</t>
  </si>
  <si>
    <t>79.673.320-9</t>
  </si>
  <si>
    <t>SOC AGRICOLA PALO ALTO LIMITADA</t>
  </si>
  <si>
    <t>14.284.877-5</t>
  </si>
  <si>
    <t>CARLOS HUMBERTO CASTRO VALENZUELA</t>
  </si>
  <si>
    <t>AV MAX FULVIC 45% - 5 L</t>
  </si>
  <si>
    <t>AV SILFORTE - 5 L</t>
  </si>
  <si>
    <t>21.974.115-4</t>
  </si>
  <si>
    <t>BENJAMIN FRANCISCO FARIAS VERA</t>
  </si>
  <si>
    <t>AV ROOT MAX - 5 L</t>
  </si>
  <si>
    <t>AV BIOSOLARIS - 1 L</t>
  </si>
  <si>
    <t>AV BALANCE - 1 L</t>
  </si>
  <si>
    <t>18/01/2026</t>
  </si>
  <si>
    <t>AV PLUS POTASIO - 20 L</t>
  </si>
  <si>
    <t>77.278.317-5</t>
  </si>
  <si>
    <t>SOCIEDAD AGRICOLA CESEP LIMITADA</t>
  </si>
  <si>
    <t>19/01/2026</t>
  </si>
  <si>
    <t>AV AMIN - 5 L</t>
  </si>
  <si>
    <t>AV PLUS ZINC - 5 L</t>
  </si>
  <si>
    <t>AV PLUS MAGNESIO - 5 L</t>
  </si>
  <si>
    <t>AV BLOOM - 5 L</t>
  </si>
  <si>
    <t>AV PLUS MANGANESO - 5 L</t>
  </si>
  <si>
    <t>AV PLUS HIERRO - 5 L</t>
  </si>
  <si>
    <t>13.542.282-7</t>
  </si>
  <si>
    <t>FRANCISCO JAVIER CHAVES SAN MARTIN</t>
  </si>
  <si>
    <t>GUIA AV 529</t>
  </si>
  <si>
    <t>K-DEFEND MAX - 20 L</t>
  </si>
  <si>
    <t>6.482.678-6</t>
  </si>
  <si>
    <t>MANUEL JESUS CHAVES CALDERON</t>
  </si>
  <si>
    <t>GUIA AV 530</t>
  </si>
  <si>
    <t>76.442.085-3</t>
  </si>
  <si>
    <t>AGRICOLA TUNICHE LIMITADA</t>
  </si>
  <si>
    <t>AV PLUS POTASIO - 5 L</t>
  </si>
  <si>
    <t>AV PLUS POTASIO - 1 L</t>
  </si>
  <si>
    <t>AV PLUS MAGNESIO - 1 L</t>
  </si>
  <si>
    <t>96.661.820-5</t>
  </si>
  <si>
    <t>COMERCIAL COPELEC SA</t>
  </si>
  <si>
    <t>ALGAP 30 - 1 L</t>
  </si>
  <si>
    <t>20/01/2026</t>
  </si>
  <si>
    <t>VECA  PLUS MAGNESIO x 5LT</t>
  </si>
  <si>
    <t>GUIA 125</t>
  </si>
  <si>
    <t>VECA  PLUS MAGNESIO x 1LT</t>
  </si>
  <si>
    <t>VECA PLUS POTASIO x 20LT</t>
  </si>
  <si>
    <t>VECA PLUS POTASIO x 5LT</t>
  </si>
  <si>
    <t>AV ALGAP 30 - 5 L</t>
  </si>
  <si>
    <t>AV SILFORTE - 20 L</t>
  </si>
  <si>
    <t>AV CYTO PRIME - 5 L</t>
  </si>
  <si>
    <t>5.280.371-3</t>
  </si>
  <si>
    <t>JUAN FRANCISCO VARGAS MANCILLA</t>
  </si>
  <si>
    <t>LOS LAGOS</t>
  </si>
  <si>
    <t>AV PLUS CALCIO BORO - 5 L</t>
  </si>
  <si>
    <t>AV MOVE - 5 L</t>
  </si>
  <si>
    <t>13.535.138-5</t>
  </si>
  <si>
    <t>MARCELA ANDREA DUBO ORDENES</t>
  </si>
  <si>
    <t>11.937.873-7</t>
  </si>
  <si>
    <t>MARITZA DEL PILAR DUBO ORDENES</t>
  </si>
  <si>
    <t>VECASIL FORTE X 20LT</t>
  </si>
  <si>
    <t>AV MICROMIX X 20LT</t>
  </si>
  <si>
    <t>77.135.740-7</t>
  </si>
  <si>
    <t>RAUL JOFRE Y COMPAQIA LIMITADA</t>
  </si>
  <si>
    <t>21/01/2026</t>
  </si>
  <si>
    <t>VECA PLUS POTASIO X 1LT</t>
  </si>
  <si>
    <t>VECA PLUS POTASIO X 5LT</t>
  </si>
  <si>
    <t>VECA PLUS MAGNESIO X 1LT</t>
  </si>
  <si>
    <t>VECA PLUS MAGNESIO X 5LT</t>
  </si>
  <si>
    <t>VECA PLUS CALCIO X 1LT</t>
  </si>
  <si>
    <t>VECA PLUS CALCIO X 5LT</t>
  </si>
  <si>
    <t>VECA PLUS CALCIO BORO	X 5LT</t>
  </si>
  <si>
    <t>VECA PLUS ZINC X 5 LT</t>
  </si>
  <si>
    <t>VECA ROOT MAX X 1LT</t>
  </si>
  <si>
    <t>PK DEFENDER MAX X 5LT</t>
  </si>
  <si>
    <t>77.317.590-K</t>
  </si>
  <si>
    <t>SOCIEDAD AGRICOLA SAN FRANCISCO</t>
  </si>
  <si>
    <t>VECA AMIN SUGAR X 1LT</t>
  </si>
  <si>
    <t>VECA AMIN SUGAR X 5LT</t>
  </si>
  <si>
    <t>VECA PLUS HIERRO X 5LT</t>
  </si>
  <si>
    <t>VECA AMIN X 1LT</t>
  </si>
  <si>
    <t>VECA AMIN X 5LT</t>
  </si>
  <si>
    <t>VECA ROOT MAX X 5LT</t>
  </si>
  <si>
    <t>VECA PLUS CALCIO BORO X 1LT</t>
  </si>
  <si>
    <t>VECA PLUS CALCIO BORO X 5LT</t>
  </si>
  <si>
    <t>VECA BORO X 1LT</t>
  </si>
  <si>
    <t>VECA BORO X 5LT</t>
  </si>
  <si>
    <t>VECA DEFENDER MAX X 1LT</t>
  </si>
  <si>
    <t>VECA DEFENDER MAX X 5LT</t>
  </si>
  <si>
    <t>VECA BLOOM X 1LT</t>
  </si>
  <si>
    <t>VECA BLOOM X 5LT</t>
  </si>
  <si>
    <t>VECA PLUS CALCIO X 20LT</t>
  </si>
  <si>
    <t>VECA PLUS POTASIO X 20LT</t>
  </si>
  <si>
    <t>VECA CALCIO X 1LT</t>
  </si>
  <si>
    <t>VECA CALCIO X 5LT</t>
  </si>
  <si>
    <t>VECA PLUC HIERRO X 5LT</t>
  </si>
  <si>
    <t>VECASIL FORTE X 1LT</t>
  </si>
  <si>
    <t>VECA AMIN X 20LT</t>
  </si>
  <si>
    <t>VECA PLUS BORO X 1LT</t>
  </si>
  <si>
    <t>VECA PLUS BORO X 5LT</t>
  </si>
  <si>
    <t>VECA PLUS BORO X 20 LT</t>
  </si>
  <si>
    <t>VECA BLANCE X 5LT</t>
  </si>
  <si>
    <t>78.168.038-9</t>
  </si>
  <si>
    <t>INSUMOS AGRICOLAS RAICES DEL CAMPO SPA</t>
  </si>
  <si>
    <t>GUIA N 74</t>
  </si>
  <si>
    <t>BIOVECA RAIZ - 500 GR</t>
  </si>
  <si>
    <t>AV BLOOM - 1 L</t>
  </si>
  <si>
    <t>AV MAX FULVIC 45% - 20 L</t>
  </si>
  <si>
    <t>22/01/2026</t>
  </si>
  <si>
    <t xml:space="preserve">QUINTA </t>
  </si>
  <si>
    <t>AV AMIN SUGAR - 20 L</t>
  </si>
  <si>
    <t>6.725.491-0</t>
  </si>
  <si>
    <t>JOSE CRISTOBAL GONZALEZ CORREA</t>
  </si>
  <si>
    <t>23/01/2026</t>
  </si>
  <si>
    <t>17.504.838-3</t>
  </si>
  <si>
    <t>ALUDI ALEJANDRA REYES PEREZ</t>
  </si>
  <si>
    <t>AV15 40-20 - 20 L</t>
  </si>
  <si>
    <t>GUIA N 169</t>
  </si>
  <si>
    <t>GUIA N 160</t>
  </si>
  <si>
    <t>77.458.933-3</t>
  </si>
  <si>
    <t>VIVERO PARQUE LANTAÑO SPA</t>
  </si>
  <si>
    <t>BIOPOTASICO 500CC GATILLO</t>
  </si>
  <si>
    <t>FUNGISTOP 500CC GATILLO</t>
  </si>
  <si>
    <t>RAIZ 500CC GATILLO</t>
  </si>
  <si>
    <t>SILFORTEM 500 CC GATILLO</t>
  </si>
  <si>
    <t>NUTRAMIX 500CC GATILLO</t>
  </si>
  <si>
    <t>BALANCE 500CC GATILLO</t>
  </si>
  <si>
    <t>TERRAPULSE CONC. 200 CC</t>
  </si>
  <si>
    <t>BIOPOTASICO CONC. 200CC</t>
  </si>
  <si>
    <t>FUNGISTOP CONC. 200CC</t>
  </si>
  <si>
    <t>BIORAIZ - 20 GR</t>
  </si>
  <si>
    <t>76.044.123-6</t>
  </si>
  <si>
    <t>AGRICOLA EL TOQUI LIMITADA</t>
  </si>
  <si>
    <t>77.112.646-4</t>
  </si>
  <si>
    <t>AGRICOLA LAS VERTIENTES S.A.</t>
  </si>
  <si>
    <t>AV BALANCE - 20 L</t>
  </si>
  <si>
    <t>AV BALANCE - 5 L</t>
  </si>
  <si>
    <t>AV PLUS ZINC MANGANESO - 20 L</t>
  </si>
  <si>
    <t>AV PLUS MAGNESIO - 20 L</t>
  </si>
  <si>
    <t>78.062.921-5</t>
  </si>
  <si>
    <t>PLANTTAE BOTÁNICA SPA</t>
  </si>
  <si>
    <t>NUTRAMIX CONC. 500CC</t>
  </si>
  <si>
    <t>79.611.530-0</t>
  </si>
  <si>
    <t>AGRICOLA BUNSTER Y TAGLE LTDA</t>
  </si>
  <si>
    <t>26/01/2026</t>
  </si>
  <si>
    <t>78.191.436-3</t>
  </si>
  <si>
    <t>VIVERO DONA AURORA SPA</t>
  </si>
  <si>
    <t>BALANCE CONC. 200CC</t>
  </si>
  <si>
    <t>NUTRAMIX CONC. 200CC</t>
  </si>
  <si>
    <t>SILFORTEM CONC. 200 CC</t>
  </si>
  <si>
    <t>7.036.820-K</t>
  </si>
  <si>
    <t>CARLOS GUILLERMO SOUPER URRA</t>
  </si>
  <si>
    <t>AV MAX FULVIC 45% - 200 L</t>
  </si>
  <si>
    <t>AV PLUS CALCIO - 20 L</t>
  </si>
  <si>
    <t>89.255.000-K</t>
  </si>
  <si>
    <t>AGRICOLA VICTORIA S.A.</t>
  </si>
  <si>
    <t>AV MOVE - 1 L</t>
  </si>
  <si>
    <t>77.133.772-4</t>
  </si>
  <si>
    <t>AGRICOLA GEORUCA SPA</t>
  </si>
  <si>
    <t>99.511.460-7</t>
  </si>
  <si>
    <t>SOCIEDAD AGRICOLA SAN NICOLAS LIMITADA</t>
  </si>
  <si>
    <t>27/01/2026</t>
  </si>
  <si>
    <t>AV PLUS CALCIO - 1 L</t>
  </si>
  <si>
    <t>AV PLUS CALCIO - 5 L</t>
  </si>
  <si>
    <t>AV PLUS BORO - 1 L</t>
  </si>
  <si>
    <t>AV15 40-20 - 1 L</t>
  </si>
  <si>
    <t>AV15 40-20 - 5 L</t>
  </si>
  <si>
    <t>76.209.230-1</t>
  </si>
  <si>
    <t>AGRICOLA JOSE MARIA Y OTRO LTDA</t>
  </si>
  <si>
    <t>AV HUMIC ROOT - 1000 L</t>
  </si>
  <si>
    <t>AV HUMIC ROOT - 200 L</t>
  </si>
  <si>
    <t>AV ROOT MAX - 200 L</t>
  </si>
  <si>
    <t>76.210.444-K</t>
  </si>
  <si>
    <t>SOCIEDAD AGRICOLA ALIAGA LTDA</t>
  </si>
  <si>
    <t>76.036.193-3</t>
  </si>
  <si>
    <t>AGRICOLA LUIS ANTONIO HERRERA AVENDANO E.I.R.L.</t>
  </si>
  <si>
    <t>28/01/2026</t>
  </si>
  <si>
    <t>29/01/2026</t>
  </si>
  <si>
    <t>AV PLUS CALCIO BORO - 1 L</t>
  </si>
  <si>
    <t>AV PLUS BORO - 5 L</t>
  </si>
  <si>
    <t>AV AMIN - 1 L</t>
  </si>
  <si>
    <t>AV PLUS MICRO MIX - 1 L</t>
  </si>
  <si>
    <t>AV PLUS NUTRI MIX - 1 L</t>
  </si>
  <si>
    <t>AV AMIN SUGAR - 5 L</t>
  </si>
  <si>
    <t>30/01/2026</t>
  </si>
  <si>
    <t>76.536.492-2</t>
  </si>
  <si>
    <t>AGRICOLA FUNDO LA PIEDRA LIMITADA</t>
  </si>
  <si>
    <t>77.536.995-7</t>
  </si>
  <si>
    <t>RAMADA DE CAMPO SPA</t>
  </si>
  <si>
    <t xml:space="preserve">SEPTIMA </t>
  </si>
  <si>
    <t>AV PLUS NUTRI MIX - 5 L</t>
  </si>
  <si>
    <t>AV ROOT MAX - 1 L</t>
  </si>
  <si>
    <t>AV SILFORTE - 1 L</t>
  </si>
  <si>
    <t>AV ALGAP 30 - 1 L</t>
  </si>
  <si>
    <t>AV CYTO PRIME - 1 L</t>
  </si>
  <si>
    <t>AV BIOVECA PRADERAS - 250 GR</t>
  </si>
  <si>
    <t>BODENPRO POTASIO - 20 L</t>
  </si>
  <si>
    <t>FEBRERO</t>
  </si>
  <si>
    <t>76.238.110-9</t>
  </si>
  <si>
    <t>AGRICOLA FRANCISCA MONTES E.I.R.L</t>
  </si>
  <si>
    <t>02/02/2026</t>
  </si>
  <si>
    <t>AV PLUS ZINC - 20 L</t>
  </si>
  <si>
    <t>AV PLUS ZINC - 1 L</t>
  </si>
  <si>
    <t>GUIA N 162</t>
  </si>
  <si>
    <t>76.031.255-K</t>
  </si>
  <si>
    <t>AGRICOLA LLANQUIHUE S.A.</t>
  </si>
  <si>
    <t>GUIA N 188</t>
  </si>
  <si>
    <t>03/02/2026</t>
  </si>
  <si>
    <t>78.109.329-7</t>
  </si>
  <si>
    <t>SOCIEDAD COMERCIAL HIERBA BUENA LIMITADA</t>
  </si>
  <si>
    <t>RAYEN BERNAZAR</t>
  </si>
  <si>
    <t>BALANCE CONC. 500CC</t>
  </si>
  <si>
    <t>04/02/2026</t>
  </si>
  <si>
    <t>GUIA N 96</t>
  </si>
  <si>
    <t>GUIA N 103</t>
  </si>
  <si>
    <t>GUIA N 167</t>
  </si>
  <si>
    <t>GUIA N 168</t>
  </si>
  <si>
    <t>78.260.910-6</t>
  </si>
  <si>
    <t>SOC AGRICOLA SANTA TERESA LIMITADA</t>
  </si>
  <si>
    <t>05/02/2026</t>
  </si>
  <si>
    <t>GUIA AV N 832</t>
  </si>
  <si>
    <t>K-DEFEND MAX - 5 L</t>
  </si>
  <si>
    <t>VECASIL FORTE - 5 L</t>
  </si>
  <si>
    <t>VECA BLOOM - 20 L</t>
  </si>
  <si>
    <t>BIOVECA RAIZ - 500 GRS</t>
  </si>
  <si>
    <t>77.242.610-0</t>
  </si>
  <si>
    <t>SOC AGRICOLA LAS TINAJAS LIMITADA</t>
  </si>
  <si>
    <t>77.773.872-0</t>
  </si>
  <si>
    <t>GREENBRO SPA</t>
  </si>
  <si>
    <t>06/02/2026</t>
  </si>
  <si>
    <t>11.260.728-5</t>
  </si>
  <si>
    <t>RICARDO ANTONIO ARAYA ALVAREZ</t>
  </si>
  <si>
    <t>10/02/2026</t>
  </si>
  <si>
    <t>78.485.940-1</t>
  </si>
  <si>
    <t>H R INVERSIONES SPA</t>
  </si>
  <si>
    <t>4.174.809-5</t>
  </si>
  <si>
    <t>GUILLERMO SEGUNDO CONCHA BUSTOS</t>
  </si>
  <si>
    <t>76.878.072-2</t>
  </si>
  <si>
    <t>SOCIEDAD AGRICOLA FRUTOS DE ÑUBLE LIMITADA</t>
  </si>
  <si>
    <t xml:space="preserve">ÑUBLE </t>
  </si>
  <si>
    <t>ANALISIS V-CO-0000 HOJAS ARANDANO</t>
  </si>
  <si>
    <t>ANALISIS V-C0-0000 HOJAS ARANDANO</t>
  </si>
  <si>
    <t>ANALISIS V-C0-0000 HOJAS CEREZO</t>
  </si>
  <si>
    <t>86.673.700-2</t>
  </si>
  <si>
    <t>AGRICOLA LOS ALAMOS LTDA</t>
  </si>
  <si>
    <t>GUIA N 198</t>
  </si>
  <si>
    <t>77.119.412-5</t>
  </si>
  <si>
    <t>AGRICOLA ADNAL LTDA</t>
  </si>
  <si>
    <t>76.073.818-2</t>
  </si>
  <si>
    <t>GUIA N 196</t>
  </si>
  <si>
    <t>GUIA N 200</t>
  </si>
  <si>
    <t>GUIA N 148</t>
  </si>
  <si>
    <t>GUIA N 165</t>
  </si>
  <si>
    <t>11/02/2026</t>
  </si>
  <si>
    <t>14.109.149-2</t>
  </si>
  <si>
    <t>EDUARDO MILTON IBACACHE ORTIZ</t>
  </si>
  <si>
    <t>12/02/2026</t>
  </si>
  <si>
    <t xml:space="preserve">CUARTA </t>
  </si>
  <si>
    <t>13/02/2026</t>
  </si>
  <si>
    <t>AV ALGAP 30 - 200 L</t>
  </si>
  <si>
    <t>10.936.241-7</t>
  </si>
  <si>
    <t>WILLEM BIERMA</t>
  </si>
  <si>
    <t>17/02/2026</t>
  </si>
  <si>
    <t>78.295.150-5</t>
  </si>
  <si>
    <t>AGRICOLA LLAHUEN S.A.</t>
  </si>
  <si>
    <t>18/02/2026</t>
  </si>
  <si>
    <t>77.870.899-K</t>
  </si>
  <si>
    <t>CULTIAGRO SPA</t>
  </si>
  <si>
    <t>19/02/2026</t>
  </si>
  <si>
    <t>20/02/2026</t>
  </si>
  <si>
    <t>16.247.441-3</t>
  </si>
  <si>
    <t>ROMINA DEL PILAR MACKENNA RIOS</t>
  </si>
  <si>
    <t>GREEN PLANT 500CC GATILLO</t>
  </si>
  <si>
    <t>76.048.467-9</t>
  </si>
  <si>
    <t>SOCIEDAD AGRICOLA VIVEROS EL TREMENDO LIMITADA</t>
  </si>
  <si>
    <t>AV PLUS MICRO MIX - 200 L</t>
  </si>
  <si>
    <t>Analisis foliar</t>
  </si>
  <si>
    <t>78.279.610-0</t>
  </si>
  <si>
    <t>AGRICOLA ALTO CALIBRE LTDA</t>
  </si>
  <si>
    <t>17.272.914-2</t>
  </si>
  <si>
    <t>LEONARDO ENRIQUE OYARCE GENERAL</t>
  </si>
  <si>
    <t>5.911.735-1</t>
  </si>
  <si>
    <t>BERMECIDES ENRIQUE ROJAS BUGUENO</t>
  </si>
  <si>
    <t>23/02/2026</t>
  </si>
  <si>
    <t>24/02/2026</t>
  </si>
  <si>
    <t>OVALLE</t>
  </si>
  <si>
    <t>AV BLOOM - 20 L</t>
  </si>
  <si>
    <t>Precio Uni</t>
  </si>
  <si>
    <t>GUIA N 157</t>
  </si>
  <si>
    <t>GUIA N 133</t>
  </si>
  <si>
    <t>GUIA N 203</t>
  </si>
  <si>
    <t>GUIA N 213</t>
  </si>
  <si>
    <t>GUIA N 204</t>
  </si>
  <si>
    <t>GUIA N 538</t>
  </si>
  <si>
    <t>GUIA N 826</t>
  </si>
  <si>
    <t>Total general</t>
  </si>
  <si>
    <t>Suma de Total</t>
  </si>
  <si>
    <t>Cumplimiento %</t>
  </si>
  <si>
    <t>PPTO Enero</t>
  </si>
  <si>
    <t>Venta Enero</t>
  </si>
  <si>
    <t>PPTO Febrero</t>
  </si>
  <si>
    <t>Total Acumulado (año)</t>
  </si>
  <si>
    <t>2. Detalle Presupuesto vs Venta</t>
  </si>
  <si>
    <t>Presupuesto ($)</t>
  </si>
  <si>
    <t>Venta ($)</t>
  </si>
  <si>
    <t>Cumplimiento (%)</t>
  </si>
  <si>
    <t>Enero</t>
  </si>
  <si>
    <t>Febrero</t>
  </si>
  <si>
    <t>Total Acumulado Año</t>
  </si>
  <si>
    <t>14.681.984-2</t>
  </si>
  <si>
    <t>MONICA GONZALEZ LOPEZ</t>
  </si>
  <si>
    <t>13.504.183-1</t>
  </si>
  <si>
    <t>EDUARDO AQUILES HERRERA CABELLO</t>
  </si>
  <si>
    <t>AV AMIN SUGAR - 1 L</t>
  </si>
  <si>
    <t>AV PLUS ZINC MANGANESO - 5 L</t>
  </si>
  <si>
    <t>AV PLUS ZINC MANGANESO - 1 L</t>
  </si>
  <si>
    <t>25/02/2026</t>
  </si>
  <si>
    <t>GUIA N 136</t>
  </si>
  <si>
    <t>78.220.721-0</t>
  </si>
  <si>
    <t>AGRICOLA Y COMERCIALIZADORA ALDO ROBERTO ARRIETA AHUMADA E.I.R.L.</t>
  </si>
  <si>
    <t>26/02/2026</t>
  </si>
  <si>
    <t>AV BIOVECA NEMA OFF - 500 GR</t>
  </si>
  <si>
    <t>SOCIEDAD AGRICOLA SAN FRANCISCO LTDA</t>
  </si>
  <si>
    <t>%</t>
  </si>
  <si>
    <t>Francisco Velasquez</t>
  </si>
  <si>
    <t>Ivan Veverka</t>
  </si>
  <si>
    <t>Jorge Caroca</t>
  </si>
  <si>
    <t>Pablo Laratro</t>
  </si>
  <si>
    <t>Rodrigo Encina</t>
  </si>
  <si>
    <t>Valentina Muñoz</t>
  </si>
  <si>
    <t>Venta</t>
  </si>
  <si>
    <t>Ppto</t>
  </si>
  <si>
    <t>Mes</t>
  </si>
  <si>
    <t>Ppto Enero ($)</t>
  </si>
  <si>
    <t>Venta Enero ($)</t>
  </si>
  <si>
    <t>Ppto Febrero ($)</t>
  </si>
  <si>
    <t>Venta Febrero ($)</t>
  </si>
  <si>
    <t>Cumplimiento (%)2</t>
  </si>
  <si>
    <t>Acumulado T1 ( Concepto Año)</t>
  </si>
  <si>
    <t>MARZO</t>
  </si>
  <si>
    <t>12.266.087-7</t>
  </si>
  <si>
    <t>MAURICIO ESTEBAN POBLETE BARRA</t>
  </si>
  <si>
    <t>02/03/2026</t>
  </si>
  <si>
    <t>Marzo</t>
  </si>
  <si>
    <t>PPTO Marzo</t>
  </si>
  <si>
    <t>Venta Marzo</t>
  </si>
  <si>
    <t>Venta Febrero</t>
  </si>
  <si>
    <t>Ppto Marzo ($)</t>
  </si>
  <si>
    <t>Venta Marzo ($)</t>
  </si>
  <si>
    <t>Cumplimiento (%)3</t>
  </si>
  <si>
    <t>13.304.290-3</t>
  </si>
  <si>
    <t>ANITA ANDREA SALGADO MUNOZ</t>
  </si>
  <si>
    <t>VECA HUMIC ROOT - 20 L</t>
  </si>
  <si>
    <t>CYTOPRIME</t>
  </si>
  <si>
    <t>VECA MICROMIX - 20 L</t>
  </si>
  <si>
    <t>Guía de Diciembre (Pablo acuerda con Jorrge dejarla para Enero 2026</t>
  </si>
  <si>
    <t>Guía de Diciembre (Pablo acuerda con Jorrge dejarla para Enero 2027</t>
  </si>
  <si>
    <t>Guía de Diciembre (Pablo acuerda con Jorrge dejarla para Enero 2028</t>
  </si>
  <si>
    <t>Guía de Diciembre (Pablo acuerda con Jorrge dejarla para Enero 2029</t>
  </si>
  <si>
    <t>Guía de Diciembre (Pablo acuerda con Jorrge dejarla para Enero 2030</t>
  </si>
  <si>
    <t>Guía de Diciembre (Pablo acuerda con Jorrge dejarla para Enero 2031</t>
  </si>
  <si>
    <t>Guía de Diciembre (Pablo acuerda con Jorrge dejarla para Enero 2032</t>
  </si>
  <si>
    <t>Guía de Diciembre (Pablo acuerda con Jorrge dejarla para Enero 2033</t>
  </si>
  <si>
    <t>Guía de Diciembre (Pablo acuerda con Jorrge dejarla para Enero 2034</t>
  </si>
  <si>
    <t>NOVENA</t>
  </si>
  <si>
    <t>SOLUFOS - 500 GR</t>
  </si>
  <si>
    <t>AGRICOLA LA ITALIANA LTDA</t>
  </si>
  <si>
    <t>03/03/2026</t>
  </si>
  <si>
    <t>CRYOPHILE - 250 GR</t>
  </si>
  <si>
    <t>76.776.128-7</t>
  </si>
  <si>
    <t>AGRICOLA SANTA SABINA LIMITADA</t>
  </si>
  <si>
    <t>AV PLUS HIERRO - 20 L</t>
  </si>
  <si>
    <t>6.363.035-7</t>
  </si>
  <si>
    <t>EDWIN LEONARDO GOYKOVIC CORTES</t>
  </si>
  <si>
    <t>76.009.895-7</t>
  </si>
  <si>
    <t>AGRICOLA BERRIES QUILLOTA LIMITADA</t>
  </si>
  <si>
    <t>77.053.472-0</t>
  </si>
  <si>
    <t>TERMOFUSION ANTONIO RENATO MADARIAGA ARAVENA EMPRESA INDIVIDUAL DE RES</t>
  </si>
  <si>
    <t>ANALISIS FOLIAR</t>
  </si>
  <si>
    <t>ALGAP 30 - 200 L</t>
  </si>
  <si>
    <t>GUIA N 98</t>
  </si>
  <si>
    <t>CUIDA TU PLANTA</t>
  </si>
  <si>
    <t>77.157.056-9</t>
  </si>
  <si>
    <t>CRR SERVICIOS SPA</t>
  </si>
  <si>
    <t>04/03/2026</t>
  </si>
  <si>
    <t>RAIZ CONC. 500CC</t>
  </si>
  <si>
    <t>TERRAPULSE CONC. 500 CC</t>
  </si>
  <si>
    <t>76.645.477-1</t>
  </si>
  <si>
    <t>COMERCILIZADORA DE PLANTAS MONICA DEL PILAR PIZARRO VALDES E.I.R.L.</t>
  </si>
  <si>
    <t>77.467.157-9</t>
  </si>
  <si>
    <t>IMPORTADORA BRISAS VALDOVINO SPA</t>
  </si>
  <si>
    <t>05/03/2026</t>
  </si>
  <si>
    <t>GUIA N 159</t>
  </si>
  <si>
    <t>BIOVECA RAÍZ - 500 GR</t>
  </si>
  <si>
    <t>GUIA N 120</t>
  </si>
  <si>
    <t>GUIA N 161</t>
  </si>
  <si>
    <t>VECA MAX FULVIC 45% 20LT</t>
  </si>
  <si>
    <t>GUIA N 99</t>
  </si>
  <si>
    <t>77.654.430-2</t>
  </si>
  <si>
    <t>AGRICOLA LA LOICA SPA</t>
  </si>
  <si>
    <t>GUIA N 82</t>
  </si>
  <si>
    <t>VECA AMIN SUGAR x 20LT</t>
  </si>
  <si>
    <t>GUIA N 88</t>
  </si>
  <si>
    <t>06/03/2026</t>
  </si>
  <si>
    <t>07/03/2026</t>
  </si>
  <si>
    <t>77.504.909-K</t>
  </si>
  <si>
    <t>AGRICOLA QUINQUILHUE SPA</t>
  </si>
  <si>
    <t>11/03/2026</t>
  </si>
  <si>
    <t xml:space="preserve">LOS RIOS </t>
  </si>
  <si>
    <t>78.542.250-3</t>
  </si>
  <si>
    <t>INVERSIONES ALFARO E INFANTE LTDA</t>
  </si>
  <si>
    <t>ANALSIS FOLIAR</t>
  </si>
  <si>
    <t>12/03/2026</t>
  </si>
  <si>
    <t>13/03/2026</t>
  </si>
  <si>
    <t>76.867.632-1</t>
  </si>
  <si>
    <t>GOYASERVICE SPA</t>
  </si>
  <si>
    <t>VECA BALANCE (CALIBRE MAX) - 20 L</t>
  </si>
  <si>
    <t>VECA BALANCE (CALIBRE MAX) - 5 L</t>
  </si>
  <si>
    <t>VECA BALANCE (CALIBRE MAX) - 1 L</t>
  </si>
  <si>
    <t>AV CYTO PRIME - 20 L</t>
  </si>
  <si>
    <t>77.171.744-6</t>
  </si>
  <si>
    <t>GANAFRUT SPA</t>
  </si>
  <si>
    <t>10.831.211-4</t>
  </si>
  <si>
    <t>BRIGITTE ELENA PARDO CONTRERAS</t>
  </si>
  <si>
    <t>16/03/2026</t>
  </si>
  <si>
    <t>GUIA N 847</t>
  </si>
  <si>
    <t>GUIA N 750</t>
  </si>
  <si>
    <t>GUIA N 713</t>
  </si>
  <si>
    <t>13.126.772-K</t>
  </si>
  <si>
    <t>DAVID DEL CARMEN SALINAS MORALES</t>
  </si>
  <si>
    <t>ANÁLSIS FOLIAR</t>
  </si>
  <si>
    <t>ANÁLISIS SUELO EPS</t>
  </si>
  <si>
    <t>ANÁLISIS SUELO BÁSICO</t>
  </si>
  <si>
    <t>ANÁLISIS AGUA DE RIEGO</t>
  </si>
  <si>
    <t>17/03/2026</t>
  </si>
  <si>
    <t xml:space="preserve">GUIA N 174 </t>
  </si>
  <si>
    <t>GUIA N 230</t>
  </si>
  <si>
    <t>GUIA N 155</t>
  </si>
  <si>
    <t>18/03/2026</t>
  </si>
  <si>
    <t>6.847.048-K</t>
  </si>
  <si>
    <t>FLORENCIO SEGUNDO ALAYAN BRICENO</t>
  </si>
  <si>
    <t>AV MOVE - 20 L AVCH-110</t>
  </si>
  <si>
    <t xml:space="preserve">GUIA N 47 </t>
  </si>
  <si>
    <t>19/03/2026</t>
  </si>
  <si>
    <t>GUIA N 201</t>
  </si>
  <si>
    <t>GUIA N 202</t>
  </si>
  <si>
    <t>20/03/2026</t>
  </si>
  <si>
    <t>GUIA N 166</t>
  </si>
  <si>
    <t>GUIA N 235</t>
  </si>
  <si>
    <t>AV BIOVECA INVERNAL - 250 GR</t>
  </si>
  <si>
    <t>77.185.037-5</t>
  </si>
  <si>
    <t>SOCIEDAD AGRICOLA LA ESPERANZA SPA</t>
  </si>
  <si>
    <t>PROTECT PRADERAS - 250 G</t>
  </si>
  <si>
    <t>KILOS</t>
  </si>
  <si>
    <t>23/03/2026</t>
  </si>
  <si>
    <t>AV PLUS NP MIX - 1 L</t>
  </si>
  <si>
    <t>76.146.000-5</t>
  </si>
  <si>
    <t>SOC AGRICOLA LA ISLA LIMITADA</t>
  </si>
  <si>
    <t>24/03/2026</t>
  </si>
  <si>
    <t>77.787.364-4</t>
  </si>
  <si>
    <t>INVERSIONES COSTA DE ALGARROBO SPA.</t>
  </si>
  <si>
    <t>25/03/2026</t>
  </si>
  <si>
    <t>27/03/2026</t>
  </si>
  <si>
    <t>GUIA N 219</t>
  </si>
  <si>
    <t>76.678.184-5</t>
  </si>
  <si>
    <t>COMERCIALIZADORA S &amp; M SPA</t>
  </si>
  <si>
    <t>28/03/2026</t>
  </si>
  <si>
    <t>76.149.388-4</t>
  </si>
  <si>
    <t>AGRICOLA GOMEZ SPA</t>
  </si>
  <si>
    <t>26/03/2026</t>
  </si>
  <si>
    <t>96.813.740-9</t>
  </si>
  <si>
    <t>AGRICOLA EL CANELILLO S A</t>
  </si>
  <si>
    <t>31/03/2026</t>
  </si>
  <si>
    <t>Venta día 31-03-2026</t>
  </si>
  <si>
    <t>Acumulado T1 (Concepto RTC)</t>
  </si>
  <si>
    <t>Ppto Abril ($)</t>
  </si>
  <si>
    <t>Venta Abril ($)</t>
  </si>
  <si>
    <t>Ppto Mayo ($)</t>
  </si>
  <si>
    <t>Venta Mayo ($)</t>
  </si>
  <si>
    <t>Ppto Junio ($)</t>
  </si>
  <si>
    <t>Venta Junio ($)</t>
  </si>
  <si>
    <t>Ppto Abril</t>
  </si>
  <si>
    <t>Venta Abril</t>
  </si>
  <si>
    <t>Abril</t>
  </si>
  <si>
    <t>ABRIL</t>
  </si>
  <si>
    <t>01/04/2026</t>
  </si>
  <si>
    <t>FOLIBAC BIO INVIERNO - 250 G</t>
  </si>
  <si>
    <t>GUIA N 253</t>
  </si>
  <si>
    <t>GUIA N 58</t>
  </si>
  <si>
    <t>02/04/2026</t>
  </si>
  <si>
    <t>GUIA N 245</t>
  </si>
  <si>
    <t>05/04/2026</t>
  </si>
  <si>
    <t>CECILIA VELENTINA MALEBRAN</t>
  </si>
  <si>
    <t>7.714.703-9</t>
  </si>
  <si>
    <t>Prodructos de 1 litro</t>
  </si>
  <si>
    <t>Boleta Electronica</t>
  </si>
  <si>
    <t>PPTO V/S VENTAS -  T1 // 2026</t>
  </si>
  <si>
    <t>PPTO V/S VENTAS - T2 // 2026</t>
  </si>
  <si>
    <t>10.302.140-5</t>
  </si>
  <si>
    <t>ALEJANDRA INES LEIGHTON NARANJO</t>
  </si>
  <si>
    <t>15.755.762-9</t>
  </si>
  <si>
    <t>GONZALO ALEJANDRO CORRALES CORREA</t>
  </si>
  <si>
    <t>06/04/2026</t>
  </si>
  <si>
    <t>08/04/2026</t>
  </si>
  <si>
    <t>10/04/2026</t>
  </si>
  <si>
    <t>76.593.447-8</t>
  </si>
  <si>
    <t>AGRICOLA EDITH MARGARITA VASQUEZ OROZCO SPA</t>
  </si>
  <si>
    <t>09/04/2026</t>
  </si>
  <si>
    <t>6.931.829-0</t>
  </si>
  <si>
    <t>SERGIO ELADIO YANEZ YANEZ</t>
  </si>
  <si>
    <t>11.110.621-5</t>
  </si>
  <si>
    <t>HECTOR HERNAN ROMERO NAVARRO</t>
  </si>
  <si>
    <t>12/04/2026</t>
  </si>
  <si>
    <t>13/04/2026</t>
  </si>
  <si>
    <t>14/04/2026</t>
  </si>
  <si>
    <t>15/04/2026</t>
  </si>
  <si>
    <t>17/04/2026</t>
  </si>
  <si>
    <t>EN TERRENO 1</t>
  </si>
  <si>
    <t>AV SOLARIS 1LT</t>
  </si>
  <si>
    <t>VECASIL FORTE 20LT</t>
  </si>
  <si>
    <t>VECA PLUS CALCIO 20LT</t>
  </si>
  <si>
    <t>VECA BALANCE 1LT</t>
  </si>
  <si>
    <t>VECA BLOOM 1LT</t>
  </si>
  <si>
    <t>VECA BALANCE - 20 L</t>
  </si>
  <si>
    <t>VECASIL FORTE 20 LT</t>
  </si>
  <si>
    <t>AV SOLARIS 20 LT</t>
  </si>
  <si>
    <t>VECA MOVE x 20LT</t>
  </si>
  <si>
    <t>Etiquetas de columna</t>
  </si>
  <si>
    <t>Etiquetas de fila</t>
  </si>
  <si>
    <t>GUIA N 252</t>
  </si>
  <si>
    <t>GUIA N 195</t>
  </si>
  <si>
    <t>GUIA N 83</t>
  </si>
  <si>
    <t>GUIA N 85</t>
  </si>
  <si>
    <t>GUIA N 84</t>
  </si>
  <si>
    <t>GUIA N 80</t>
  </si>
  <si>
    <t>GUIA N 87</t>
  </si>
  <si>
    <t>GUIA N 142</t>
  </si>
  <si>
    <t>GUIA N 258</t>
  </si>
  <si>
    <t>GUIA N 117</t>
  </si>
  <si>
    <t>GUIA N 93</t>
  </si>
  <si>
    <t>GUIA  N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</si>
</sst>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4" fillId="3" borderId="1" xfId="1" applyFont="1" applyFill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5" fillId="4" borderId="1" xfId="0" applyFont="1" applyFill="1" applyBorder="1" applyAlignment="1">
      <alignment wrapText="1"/>
    </xf>
    <xf numFmtId="3" fontId="6" fillId="4" borderId="2" xfId="0" applyNumberFormat="1" applyFont="1" applyFill="1" applyBorder="1" applyAlignment="1">
      <alignment horizontal="right" wrapText="1"/>
    </xf>
    <xf numFmtId="3" fontId="6" fillId="4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6" borderId="4" xfId="0" applyFont="1" applyFill="1" applyBorder="1"/>
    <xf numFmtId="0" fontId="0" fillId="0" borderId="4" xfId="0" applyBorder="1" applyAlignment="1">
      <alignment horizontal="center"/>
    </xf>
    <xf numFmtId="0" fontId="0" fillId="0" borderId="10" xfId="0" applyBorder="1"/>
    <xf numFmtId="3" fontId="2" fillId="0" borderId="0" xfId="0" applyNumberFormat="1" applyFont="1"/>
    <xf numFmtId="3" fontId="0" fillId="5" borderId="0" xfId="0" applyNumberFormat="1" applyFill="1"/>
    <xf numFmtId="0" fontId="0" fillId="0" borderId="0" xfId="0" applyAlignment="1">
      <alignment horizontal="right"/>
    </xf>
    <xf numFmtId="0" fontId="9" fillId="0" borderId="0" xfId="0" applyFont="1"/>
    <xf numFmtId="0" fontId="8" fillId="2" borderId="1" xfId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0" borderId="0" xfId="1" applyFont="1"/>
    <xf numFmtId="3" fontId="8" fillId="5" borderId="0" xfId="1" applyNumberFormat="1" applyFont="1" applyFill="1"/>
    <xf numFmtId="3" fontId="8" fillId="0" borderId="0" xfId="1" applyNumberFormat="1" applyFont="1"/>
    <xf numFmtId="0" fontId="8" fillId="5" borderId="0" xfId="1" applyFont="1" applyFill="1"/>
    <xf numFmtId="0" fontId="8" fillId="3" borderId="0" xfId="1" applyFont="1" applyFill="1"/>
    <xf numFmtId="0" fontId="0" fillId="0" borderId="0" xfId="1" applyFont="1"/>
    <xf numFmtId="3" fontId="8" fillId="3" borderId="0" xfId="1" applyNumberFormat="1" applyFont="1" applyFill="1"/>
    <xf numFmtId="0" fontId="0" fillId="3" borderId="0" xfId="0" applyFill="1"/>
    <xf numFmtId="3" fontId="0" fillId="3" borderId="0" xfId="0" applyNumberFormat="1" applyFill="1"/>
    <xf numFmtId="0" fontId="0" fillId="5" borderId="0" xfId="0" applyFill="1"/>
    <xf numFmtId="3" fontId="2" fillId="0" borderId="0" xfId="1" applyNumberFormat="1"/>
    <xf numFmtId="3" fontId="10" fillId="5" borderId="0" xfId="1" applyNumberFormat="1" applyFont="1" applyFill="1"/>
    <xf numFmtId="3" fontId="10" fillId="5" borderId="0" xfId="0" applyNumberFormat="1" applyFont="1" applyFill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2" fillId="0" borderId="0" xfId="1" applyNumberFormat="1" applyFont="1"/>
    <xf numFmtId="14" fontId="0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61"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numFmt numFmtId="3" formatCode="#,##0"/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3" formatCode="#,##0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29.717746180555" createdVersion="8" refreshedVersion="8" minRefreshableVersion="3" recordCount="829" xr:uid="{00000000-000A-0000-FFFF-FFFF27000000}">
  <cacheSource type="worksheet">
    <worksheetSource ref="A2:U1048576" sheet="VENTAS"/>
  </cacheSource>
  <cacheFields count="21">
    <cacheField name="MES" numFmtId="0">
      <sharedItems containsBlank="1" count="5">
        <s v="ENERO"/>
        <s v="FEBRERO"/>
        <s v="MARZO"/>
        <s v="ABRIL"/>
        <m/>
      </sharedItems>
    </cacheField>
    <cacheField name="Rut" numFmtId="0">
      <sharedItems containsBlank="1"/>
    </cacheField>
    <cacheField name="Razón Social" numFmtId="0">
      <sharedItems containsBlank="1"/>
    </cacheField>
    <cacheField name="Fecha" numFmtId="0">
      <sharedItems containsDate="1" containsBlank="1" containsMixedTypes="1" minDate="2026-04-12T00:00:00" maxDate="2026-04-13T00:00:00"/>
    </cacheField>
    <cacheField name="Región " numFmtId="0">
      <sharedItems containsBlank="1"/>
    </cacheField>
    <cacheField name="Vendedor" numFmtId="0">
      <sharedItems containsBlank="1" count="13">
        <s v="PABLO LARATRO"/>
        <s v="FRANCISCO VELASQUEZ"/>
        <s v="VALENTINA MUÑOZ"/>
        <s v="JORGE CAROCA"/>
        <s v="RODRIGO ENCINA"/>
        <s v="IVAN VEVERKA"/>
        <s v="LABORATORIO"/>
        <s v="RAYEN BERNAZAR"/>
        <s v="EN TERRENO 1"/>
        <m/>
        <s v="OFICINA" u="1"/>
        <s v="MARCA BLANCA" u="1"/>
        <s v="JAVIER ALMEIDA" u="1"/>
      </sharedItems>
    </cacheField>
    <cacheField name="Producto" numFmtId="0">
      <sharedItems containsBlank="1"/>
    </cacheField>
    <cacheField name="UN" numFmtId="0">
      <sharedItems containsBlank="1"/>
    </cacheField>
    <cacheField name="Documento" numFmtId="0">
      <sharedItems containsBlank="1"/>
    </cacheField>
    <cacheField name="Folio" numFmtId="0">
      <sharedItems containsString="0" containsBlank="1" containsNumber="1" containsInteger="1" minValue="47" maxValue="612"/>
    </cacheField>
    <cacheField name="UM" numFmtId="0">
      <sharedItems containsBlank="1"/>
    </cacheField>
    <cacheField name="Cantidad" numFmtId="0">
      <sharedItems containsString="0" containsBlank="1" containsNumber="1" containsInteger="1" minValue="1" maxValue="2000"/>
    </cacheField>
    <cacheField name="Total" numFmtId="0">
      <sharedItems containsString="0" containsBlank="1" containsNumber="1" containsInteger="1" minValue="0" maxValue="11356000"/>
    </cacheField>
    <cacheField name="Precio Uni" numFmtId="0">
      <sharedItems containsString="0" containsBlank="1" containsNumber="1" minValue="0" maxValue="41517"/>
    </cacheField>
    <cacheField name="T/C Promedio" numFmtId="0">
      <sharedItems containsString="0" containsBlank="1" containsNumber="1" minValue="0" maxValue="4064.516129032258"/>
    </cacheField>
    <cacheField name="Moneda" numFmtId="0">
      <sharedItems containsBlank="1"/>
    </cacheField>
    <cacheField name="PAÍS" numFmtId="0">
      <sharedItems containsBlank="1"/>
    </cacheField>
    <cacheField name="FECHA VENCIMIENTO " numFmtId="0">
      <sharedItems containsDate="1" containsBlank="1" containsMixedTypes="1" minDate="2025-12-19T00:00:00" maxDate="2026-12-21T00:00:00"/>
    </cacheField>
    <cacheField name="Negocio " numFmtId="0">
      <sharedItems containsBlank="1"/>
    </cacheField>
    <cacheField name="Comentarios" numFmtId="0">
      <sharedItems containsBlank="1"/>
    </cacheField>
    <cacheField name="Fecha guía" numFmtId="0">
      <sharedItems containsNonDate="0" containsDate="1" containsString="0" containsBlank="1" minDate="2025-02-18T00:00:00" maxDate="2026-12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9">
  <r>
    <x v="0"/>
    <s v="76.412.827-3"/>
    <s v="FRUTICOLA RIO BLANCO SPA"/>
    <s v="02/01/2026"/>
    <s v="METROPOLITANA"/>
    <x v="0"/>
    <s v="VECA MOVE - 20 L"/>
    <s v="Agroveca"/>
    <s v="Factura Electrónica"/>
    <n v="395"/>
    <s v="LTS"/>
    <n v="200"/>
    <n v="1300000"/>
    <n v="6500"/>
    <n v="1397.8494623655913"/>
    <s v="CLP"/>
    <s v="CHILE"/>
    <d v="2026-04-30T00:00:00"/>
    <s v="AV"/>
    <m/>
    <m/>
  </r>
  <r>
    <x v="0"/>
    <s v="13.304.290-3"/>
    <s v="ANITA ANDREA SALGADO MUNOZ"/>
    <s v="02/01/2026"/>
    <s v="SEXTA"/>
    <x v="0"/>
    <s v="VECA ROOT MAX - 20 L"/>
    <s v="Agroveca"/>
    <s v="Guía de Despacho Electrónica"/>
    <n v="128"/>
    <s v="LTS"/>
    <n v="60"/>
    <n v="630000"/>
    <n v="10500"/>
    <m/>
    <s v="CLP"/>
    <s v="CHILE"/>
    <d v="2026-05-31T00:00:00"/>
    <s v="AV"/>
    <s v="Guía de Diciembre (Pablo acuerda con Jorrge dejarla para Enero 2026"/>
    <m/>
  </r>
  <r>
    <x v="0"/>
    <s v="13.304.290-3"/>
    <s v="ANITA ANDREA SALGADO MUNOZ"/>
    <s v="02/01/2026"/>
    <s v="SEXTA"/>
    <x v="0"/>
    <s v="VECASIL FORTE - 20 L"/>
    <s v="Agroveca"/>
    <s v="Guía de Despacho Electrónica"/>
    <n v="128"/>
    <s v="LTS"/>
    <n v="80"/>
    <n v="1008000"/>
    <n v="12600"/>
    <m/>
    <s v="CLP"/>
    <s v="CHILE"/>
    <d v="2026-05-31T00:00:00"/>
    <s v="AV"/>
    <s v="Guía de Diciembre (Pablo acuerda con Jorrge dejarla para Enero 2027"/>
    <m/>
  </r>
  <r>
    <x v="0"/>
    <s v="13.304.290-3"/>
    <s v="ANITA ANDREA SALGADO MUNOZ"/>
    <s v="02/01/2026"/>
    <s v="SEXTA"/>
    <x v="0"/>
    <s v="VECA HUMIC ROOT - 20 L"/>
    <s v="Agroveca"/>
    <s v="Guía de Despacho Electrónica"/>
    <n v="128"/>
    <s v="LTS"/>
    <n v="220"/>
    <n v="990000"/>
    <n v="4500"/>
    <m/>
    <s v="CLP"/>
    <s v="CHILE"/>
    <d v="2026-05-31T00:00:00"/>
    <s v="AV"/>
    <s v="Guía de Diciembre (Pablo acuerda con Jorrge dejarla para Enero 2028"/>
    <m/>
  </r>
  <r>
    <x v="0"/>
    <s v="13.304.290-3"/>
    <s v="ANITA ANDREA SALGADO MUNOZ"/>
    <s v="02/01/2026"/>
    <s v="SEXTA"/>
    <x v="0"/>
    <s v="CYTOPRIME"/>
    <s v="Agroveca"/>
    <s v="Guía de Despacho Electrónica"/>
    <n v="128"/>
    <s v="LTS"/>
    <n v="11"/>
    <n v="209000"/>
    <n v="19000"/>
    <m/>
    <s v="CLP"/>
    <s v="CHILE"/>
    <d v="2026-05-31T00:00:00"/>
    <s v="AV"/>
    <s v="Guía de Diciembre (Pablo acuerda con Jorrge dejarla para Enero 2029"/>
    <m/>
  </r>
  <r>
    <x v="0"/>
    <s v="13.304.290-3"/>
    <s v="ANITA ANDREA SALGADO MUNOZ"/>
    <s v="02/01/2026"/>
    <s v="SEXTA"/>
    <x v="0"/>
    <s v="VECA PLUS POTASIO - 20 L"/>
    <s v="Agroveca"/>
    <s v="Guía de Despacho Electrónica"/>
    <n v="128"/>
    <s v="LTS"/>
    <n v="80"/>
    <n v="408000"/>
    <n v="5100"/>
    <m/>
    <s v="CLP"/>
    <s v="CHILE"/>
    <d v="2026-05-31T00:00:00"/>
    <s v="AV"/>
    <s v="Guía de Diciembre (Pablo acuerda con Jorrge dejarla para Enero 2030"/>
    <m/>
  </r>
  <r>
    <x v="0"/>
    <s v="13.304.290-3"/>
    <s v="ANITA ANDREA SALGADO MUNOZ"/>
    <s v="02/01/2026"/>
    <s v="SEXTA"/>
    <x v="0"/>
    <s v="VECA PLUS MAGNESIO - 20 L"/>
    <s v="Agroveca"/>
    <s v="Guía de Despacho Electrónica"/>
    <n v="128"/>
    <s v="LTS"/>
    <n v="100"/>
    <n v="510000"/>
    <n v="5100"/>
    <m/>
    <s v="CLP"/>
    <s v="CHILE"/>
    <d v="2026-05-31T00:00:00"/>
    <s v="AV"/>
    <s v="Guía de Diciembre (Pablo acuerda con Jorrge dejarla para Enero 2031"/>
    <m/>
  </r>
  <r>
    <x v="0"/>
    <s v="13.304.290-3"/>
    <s v="ANITA ANDREA SALGADO MUNOZ"/>
    <s v="02/01/2026"/>
    <s v="SEXTA"/>
    <x v="0"/>
    <s v="VECA MICROMIX - 20 L"/>
    <s v="Agroveca"/>
    <s v="Guía de Despacho Electrónica"/>
    <n v="128"/>
    <s v="LTS"/>
    <n v="80"/>
    <n v="440000"/>
    <n v="5500"/>
    <m/>
    <s v="CLP"/>
    <s v="CHILE"/>
    <d v="2026-05-31T00:00:00"/>
    <s v="AV"/>
    <s v="Guía de Diciembre (Pablo acuerda con Jorrge dejarla para Enero 2032"/>
    <m/>
  </r>
  <r>
    <x v="0"/>
    <s v="13.304.290-3"/>
    <s v="ANITA ANDREA SALGADO MUNOZ"/>
    <s v="02/01/2026"/>
    <s v="SEXTA"/>
    <x v="0"/>
    <s v="ALGAP 30 - 20 L"/>
    <s v="Agroveca"/>
    <s v="Guía de Despacho Electrónica"/>
    <n v="128"/>
    <s v="LTS"/>
    <n v="80"/>
    <n v="544000"/>
    <n v="6800"/>
    <m/>
    <s v="CLP"/>
    <s v="CHILE"/>
    <d v="2026-05-31T00:00:00"/>
    <s v="AV"/>
    <s v="Guía de Diciembre (Pablo acuerda con Jorrge dejarla para Enero 2033"/>
    <m/>
  </r>
  <r>
    <x v="0"/>
    <s v="13.304.290-3"/>
    <s v="ANITA ANDREA SALGADO MUNOZ"/>
    <s v="02/01/2026"/>
    <s v="SEXTA"/>
    <x v="0"/>
    <s v="VECA MOVE - 20 L"/>
    <s v="Agroveca"/>
    <s v="Guía de Despacho Electrónica"/>
    <n v="128"/>
    <s v="LTS"/>
    <n v="140"/>
    <n v="1204000"/>
    <n v="8600"/>
    <m/>
    <s v="CLP"/>
    <s v="CHILE"/>
    <d v="2026-05-31T00:00:00"/>
    <s v="AV"/>
    <s v="Guía de Diciembre (Pablo acuerda con Jorrge dejarla para Enero 2034"/>
    <m/>
  </r>
  <r>
    <x v="0"/>
    <s v="77.852.841-K"/>
    <s v="COMERCIAL GUS SPA"/>
    <s v="05/01/2026"/>
    <s v="SEPTIMA"/>
    <x v="1"/>
    <s v="BIOVECA FOLIAR 250 GR"/>
    <s v="Agroveca"/>
    <s v="Factura Electrónica"/>
    <n v="396"/>
    <s v="UN"/>
    <n v="1"/>
    <n v="35000"/>
    <n v="35000"/>
    <n v="37.634408602150536"/>
    <s v="CLP"/>
    <s v="CHILE"/>
    <d v="2026-01-05T00:00:00"/>
    <s v="AV"/>
    <m/>
    <m/>
  </r>
  <r>
    <x v="0"/>
    <s v="78.148.834-8"/>
    <s v="COMERCIALIZADORA LA COLONIA LIMITADA"/>
    <s v="05/01/2026"/>
    <s v="QUINTA"/>
    <x v="1"/>
    <s v="VECA MAX FULVIC 45% - 20 L"/>
    <s v="Agroveca"/>
    <s v="Factura Electrónica"/>
    <n v="397"/>
    <s v="LITROS"/>
    <n v="500"/>
    <n v="1250000"/>
    <n v="2500"/>
    <n v="1344.0860215053763"/>
    <s v="CLP"/>
    <s v="CHILE"/>
    <d v="2026-01-05T00:00:00"/>
    <s v="AV"/>
    <m/>
    <m/>
  </r>
  <r>
    <x v="0"/>
    <s v="18.584.049-2"/>
    <s v="SEBASTIAN MAURICIO BUTTI MENDOZA"/>
    <s v="05/01/2026"/>
    <s v="QUINTA"/>
    <x v="1"/>
    <s v="VECA ROOT MAX - 20 L"/>
    <s v="Agroveca"/>
    <s v="Factura Electrónica"/>
    <n v="398"/>
    <s v="LTS"/>
    <n v="20"/>
    <n v="160000"/>
    <n v="8000"/>
    <n v="172.04301075268816"/>
    <s v="CLP"/>
    <s v="CHILE"/>
    <d v="2026-01-05T00:00:00"/>
    <s v="AV"/>
    <m/>
    <m/>
  </r>
  <r>
    <x v="0"/>
    <s v="76.532.516-1"/>
    <s v="AGROINVEST SPA"/>
    <s v="05/01/2026"/>
    <s v="SEXTA"/>
    <x v="2"/>
    <s v="PK-DEFEND MAX - 20 L"/>
    <s v="Agroveca"/>
    <s v="Factura Electrónica"/>
    <n v="399"/>
    <s v="LTS"/>
    <n v="140"/>
    <n v="560000"/>
    <n v="4000"/>
    <n v="602.15053763440858"/>
    <s v="CLP"/>
    <s v="CHILE"/>
    <d v="2026-03-16T00:00:00"/>
    <s v="AV"/>
    <m/>
    <m/>
  </r>
  <r>
    <x v="0"/>
    <s v="76.532.516-1"/>
    <s v="AGROINVEST SPA"/>
    <s v="05/01/2026"/>
    <s v="SEXTA"/>
    <x v="2"/>
    <s v="PK-DEFEND MAX - 5 L"/>
    <s v="Agroveca"/>
    <s v="Factura Electrónica"/>
    <n v="399"/>
    <s v="LTS"/>
    <n v="10"/>
    <n v="40000"/>
    <n v="4000"/>
    <n v="43.01075268817204"/>
    <s v="CLP"/>
    <s v="CHILE"/>
    <d v="2026-03-16T00:00:00"/>
    <s v="AV"/>
    <m/>
    <m/>
  </r>
  <r>
    <x v="0"/>
    <s v="76.428.021-0"/>
    <s v="SOCIEDAD AGRICOLA TIERRA DE BACO LIMITADA"/>
    <s v="05/01/2026"/>
    <s v="SEXTA "/>
    <x v="3"/>
    <s v="BIOVECA FOLIAR - 250 GR"/>
    <s v="Agrocomercial"/>
    <s v="Factura Electrónica"/>
    <n v="439"/>
    <s v="UN"/>
    <n v="70"/>
    <n v="0"/>
    <n v="0"/>
    <n v="0"/>
    <s v="CLP"/>
    <s v="CHILE"/>
    <d v="2026-03-17T00:00:00"/>
    <s v="AV"/>
    <s v="Guia N 107"/>
    <d v="2025-12-17T00:00:00"/>
  </r>
  <r>
    <x v="0"/>
    <s v="76.428.021-0"/>
    <s v="SOCIEDAD AGRICOLA TIERRA DE BACO LIMITADA"/>
    <s v="05/01/2026"/>
    <s v="SEXTA"/>
    <x v="4"/>
    <s v="BIOVECA FOLIAR - 250 GRS"/>
    <s v="Agroveca"/>
    <s v="Factura Electrónica"/>
    <n v="440"/>
    <s v="UN"/>
    <n v="65"/>
    <n v="0"/>
    <n v="0"/>
    <n v="0"/>
    <s v="CLP"/>
    <s v="CHILE"/>
    <d v="2026-03-29T00:00:00"/>
    <s v="AV"/>
    <s v="Guia N 121"/>
    <d v="2025-12-29T00:00:00"/>
  </r>
  <r>
    <x v="0"/>
    <s v="5.786.817-1"/>
    <s v="MARIO FERNANDO MUÑOZ SILVA"/>
    <s v="05/01/2026"/>
    <s v="SEXTA"/>
    <x v="0"/>
    <s v="AV-BIOSOLARIS - 20 L"/>
    <s v="Agroveca"/>
    <s v="Guía de Despacho Electrónica"/>
    <n v="129"/>
    <s v="LTS"/>
    <n v="40"/>
    <n v="512000"/>
    <n v="12800"/>
    <n v="550.53763440860212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5 L"/>
    <s v="Agroveca"/>
    <s v="Guía de Despacho Electrónica"/>
    <n v="129"/>
    <s v="LTS"/>
    <n v="5"/>
    <n v="64000"/>
    <n v="12800"/>
    <n v="68.817204301075265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1 L"/>
    <s v="Agroveca"/>
    <s v="Guía de Despacho Electrónica"/>
    <n v="129"/>
    <s v="LTS"/>
    <n v="3"/>
    <n v="38400"/>
    <n v="12800"/>
    <n v="41.29032258064516"/>
    <s v="CLP"/>
    <s v="CHILE"/>
    <d v="2026-06-15T00:00:00"/>
    <s v="AV"/>
    <m/>
    <m/>
  </r>
  <r>
    <x v="0"/>
    <s v="78.189.158-4"/>
    <s v="AGRICOLA SAN PEDRO SPA"/>
    <s v="05/01/2026"/>
    <s v="SEXTA"/>
    <x v="0"/>
    <s v="AV-AMIN SUGAR - 20 L"/>
    <s v="Agroveca"/>
    <s v="Guía de Despacho Electrónica"/>
    <n v="130"/>
    <s v="LTS"/>
    <n v="20"/>
    <n v="62000"/>
    <n v="3100"/>
    <n v="66.666666666666671"/>
    <s v="CLP"/>
    <s v="CHILE"/>
    <d v="2026-05-31T00:00:00"/>
    <s v="AV"/>
    <m/>
    <m/>
  </r>
  <r>
    <x v="0"/>
    <s v="78.189.158-4"/>
    <s v="AGRICOLA SAN PEDRO SPA"/>
    <s v="05/01/2026"/>
    <s v="SEXTA"/>
    <x v="0"/>
    <s v="AV-AMIN SUGAR - 1 L"/>
    <s v="Agroveca"/>
    <s v="Guía de Despacho Electrónica"/>
    <n v="130"/>
    <s v="LTS"/>
    <n v="3"/>
    <n v="9300"/>
    <n v="3100"/>
    <n v="10"/>
    <s v="CLP"/>
    <s v="CHILE"/>
    <d v="2026-05-31T00:00:00"/>
    <s v="AV"/>
    <m/>
    <m/>
  </r>
  <r>
    <x v="0"/>
    <s v="78.189.158-4"/>
    <s v="AGRICOLA SAN PEDRO SPA"/>
    <s v="05/01/2026"/>
    <s v="SEXTA"/>
    <x v="0"/>
    <s v="AV-SILFORTE - 20 L"/>
    <s v="Agroveca"/>
    <s v="Guía de Despacho Electrónica"/>
    <n v="130"/>
    <s v="LTS"/>
    <n v="20"/>
    <n v="272000"/>
    <n v="13600"/>
    <n v="292.47311827956992"/>
    <s v="CLP"/>
    <s v="CHILE"/>
    <d v="2026-05-31T00:00:00"/>
    <s v="AV"/>
    <m/>
    <m/>
  </r>
  <r>
    <x v="0"/>
    <s v="78.304.686-5"/>
    <s v="DISTRIBUIDORA AGRO DEL MONTE SPA"/>
    <s v="06/01/2026"/>
    <s v="SEXTA"/>
    <x v="4"/>
    <s v="VECA AMIN - 5 L"/>
    <s v="Agroveca"/>
    <s v="Factura Electrónica"/>
    <n v="400"/>
    <s v="LTS"/>
    <n v="10"/>
    <n v="75900"/>
    <n v="7590"/>
    <n v="81.612903225806448"/>
    <s v="CLP"/>
    <s v="CHILE"/>
    <d v="2026-01-06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Factura Electrónica"/>
    <n v="438"/>
    <s v="UN"/>
    <n v="55"/>
    <n v="0"/>
    <n v="0"/>
    <n v="0"/>
    <s v="CLP"/>
    <s v="CHILE"/>
    <d v="2026-04-06T00:00:00"/>
    <s v="AV"/>
    <s v="Guia N 132"/>
    <d v="2026-01-06T00:00:00"/>
  </r>
  <r>
    <x v="0"/>
    <s v="4.593.930-8"/>
    <s v="MANUEL ANTONIO CASTRO LOPEZ"/>
    <s v="06/01/2026"/>
    <s v="SEPTIMA"/>
    <x v="1"/>
    <s v="AV BIOSOLARIS - 20 L"/>
    <s v="Agroveca"/>
    <s v="Guía de Despacho Electrónica"/>
    <n v="131"/>
    <s v="LTS"/>
    <n v="20"/>
    <n v="260000"/>
    <n v="13000"/>
    <n v="279.56989247311827"/>
    <s v="CLP"/>
    <s v="CHILE"/>
    <d v="2026-05-20T00:00:00"/>
    <s v="AV"/>
    <m/>
    <m/>
  </r>
  <r>
    <x v="0"/>
    <s v="4.593.930-8"/>
    <s v="MANUEL ANTONIO CASTRO LOPEZ"/>
    <s v="06/01/2026"/>
    <s v="SEPTIMA"/>
    <x v="1"/>
    <s v="AV BIOSOLARIS - 5 L"/>
    <s v="Agroveca"/>
    <s v="Guía de Despacho Electrónica"/>
    <n v="131"/>
    <s v="LTS"/>
    <n v="5"/>
    <n v="65000"/>
    <n v="13000"/>
    <n v="69.892473118279568"/>
    <s v="CLP"/>
    <s v="CHILE"/>
    <d v="2026-05-20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Guía de Despacho Electrónica"/>
    <n v="132"/>
    <s v="UN"/>
    <n v="55"/>
    <n v="1925000"/>
    <n v="35000"/>
    <n v="2069.8924731182797"/>
    <s v="CLP"/>
    <s v="CHILE"/>
    <d v="2026-04-06T00:00:00"/>
    <s v="AV"/>
    <m/>
    <m/>
  </r>
  <r>
    <x v="0"/>
    <s v="78.061.253-3"/>
    <s v="AGRICOLA DON PEDRO SPA"/>
    <s v="07/01/2026"/>
    <s v="METROPOLITANA"/>
    <x v="0"/>
    <s v="ANALISIS FOLIAR CEREZO"/>
    <s v="Laboratorio"/>
    <s v="Factura Electrónica"/>
    <n v="402"/>
    <s v="UN"/>
    <n v="2"/>
    <n v="0"/>
    <n v="0"/>
    <n v="112.90322580645162"/>
    <s v="CLP"/>
    <s v="CHILE"/>
    <d v="2026-01-07T00:00:00"/>
    <s v="AV"/>
    <s v="Analisis foliar"/>
    <m/>
  </r>
  <r>
    <x v="0"/>
    <s v="77.598.960-2"/>
    <s v="AGROCOMERCIAL Y GANADERA LOMA LARGA LIMITADA"/>
    <s v="07/01/2026"/>
    <s v="CUARTA"/>
    <x v="5"/>
    <s v="AV ALGAP 30 x 20 LT"/>
    <s v="Agroveca"/>
    <s v="Factura Electrónica"/>
    <n v="403"/>
    <s v="LTS"/>
    <n v="120"/>
    <n v="876000"/>
    <n v="7300"/>
    <n v="941.93548387096769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POTASIO x 20 LT"/>
    <s v="Agroveca"/>
    <s v="Factura Electrónica"/>
    <n v="403"/>
    <s v="LTS"/>
    <n v="120"/>
    <n v="564000"/>
    <n v="4700"/>
    <n v="606.45161290322585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AMIN x 20 LT"/>
    <s v="Agroveca"/>
    <s v="Factura Electrónica"/>
    <n v="403"/>
    <s v="LTS"/>
    <n v="120"/>
    <n v="624000"/>
    <n v="5200"/>
    <n v="670.9677419354839"/>
    <s v="CLP"/>
    <s v="CHILE"/>
    <d v="2026-03-08T00:00:00"/>
    <s v="AV"/>
    <s v="3 cuotas"/>
    <m/>
  </r>
  <r>
    <x v="0"/>
    <s v="81.669.200-8"/>
    <s v="PONTIFICIA UNIVERSIDAD CATOLICA DE VALPARAISO"/>
    <s v="07/01/2026"/>
    <s v="QUINTA"/>
    <x v="1"/>
    <s v="AV BIOSOLARIS - 20 L"/>
    <s v="Agroveca"/>
    <s v="Factura Electrónica"/>
    <n v="404"/>
    <s v="LTS"/>
    <n v="20"/>
    <n v="0"/>
    <n v="0"/>
    <n v="0"/>
    <s v="CLP"/>
    <s v="CHILE"/>
    <d v="2026-01-15T00:00:00"/>
    <s v="AV"/>
    <s v="Guia N 105"/>
    <d v="2025-12-16T00:00:00"/>
  </r>
  <r>
    <x v="0"/>
    <s v="76.826.270-5"/>
    <s v="INVERSIONES DON FORTUNATO LTDA"/>
    <s v="07/01/2026"/>
    <s v="SEXTA"/>
    <x v="1"/>
    <s v="VECA PLUS POTASIO - 20 L"/>
    <s v="Agroveca"/>
    <s v="Factura Electrónica"/>
    <n v="405"/>
    <s v="LTS"/>
    <n v="4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CALCIO - 20 L"/>
    <s v="Agroveca"/>
    <s v="Factura Electrónica"/>
    <n v="405"/>
    <s v="LTS"/>
    <n v="4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MAGNESIO - 20 L"/>
    <s v="Agroveca"/>
    <s v="Factura Electrónica"/>
    <n v="405"/>
    <s v="LTS"/>
    <n v="20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BIOVECA RAÍZ - 500 GRS"/>
    <s v="Agroveca"/>
    <s v="Factura Electrónica"/>
    <n v="405"/>
    <s v="UN"/>
    <n v="8"/>
    <n v="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ODIN TEBUCONAZOLE 43% LT"/>
    <s v="Agroveca"/>
    <s v="Factura Electrónica"/>
    <n v="405"/>
    <s v="LTS"/>
    <n v="5"/>
    <n v="0"/>
    <n v="0"/>
    <n v="0"/>
    <s v="CLP"/>
    <s v="CHILE"/>
    <d v="2026-01-09T00:00:00"/>
    <s v="AV"/>
    <m/>
    <m/>
  </r>
  <r>
    <x v="0"/>
    <s v="76.188.119-1"/>
    <s v="PEDRO PATRICIO MENESES SOTO AGRICOLA Y TRANSPORTES E.I.R.L."/>
    <s v="07/01/2026"/>
    <s v="SEXTA"/>
    <x v="4"/>
    <s v="AV PLUS ROOT MAX x 5LT"/>
    <s v="Agroveca"/>
    <s v="Guía de Despacho Electrónica"/>
    <n v="133"/>
    <s v="LTS"/>
    <n v="5"/>
    <n v="49750"/>
    <n v="9950"/>
    <n v="53.494623655913976"/>
    <s v="CLP"/>
    <s v="CHILE"/>
    <d v="2026-02-06T00:00:00"/>
    <s v="AV"/>
    <m/>
    <m/>
  </r>
  <r>
    <x v="0"/>
    <s v="76.188.119-1"/>
    <s v="PEDRO PATRICIO MENESES SOTO AGRICOLA Y TRANSPORTES E.I.R.L."/>
    <s v="07/01/2026"/>
    <s v="SEXTA"/>
    <x v="4"/>
    <s v="BIOVECA NEMAOFF 500 GRS"/>
    <s v="Agroveca"/>
    <s v="Guía de Despacho Electrónica"/>
    <n v="133"/>
    <s v="UN"/>
    <n v="1"/>
    <n v="35000"/>
    <n v="35000"/>
    <n v="37.634408602150536"/>
    <s v="CLP"/>
    <s v="CHILE"/>
    <d v="2026-02-06T00:00:00"/>
    <s v="AV"/>
    <m/>
    <m/>
  </r>
  <r>
    <x v="0"/>
    <s v="77.758.114-7"/>
    <s v="SOCIEDAD AGRÍCOLA COMERCIAL SIEMBRA SPA"/>
    <s v="07/01/2026"/>
    <s v="SEXTA"/>
    <x v="4"/>
    <s v="AV PLUS MAGNESIO x 5 LT"/>
    <s v="Agroveca"/>
    <s v="Guía de Despacho Electrónica"/>
    <n v="134"/>
    <s v="LTS"/>
    <n v="5"/>
    <n v="20000"/>
    <n v="4000"/>
    <n v="21.50537634408602"/>
    <s v="CLP"/>
    <s v="CHILE"/>
    <d v="2026-03-06T00:00:00"/>
    <s v="AV"/>
    <m/>
    <m/>
  </r>
  <r>
    <x v="0"/>
    <s v="77.758.114-7"/>
    <s v="SOCIEDAD AGRÍCOLA COMERCIAL SIEMBRA SPA"/>
    <s v="07/01/2026"/>
    <s v="SEXTA"/>
    <x v="4"/>
    <s v="AV PLUS POTASIO x 5 LT"/>
    <s v="Agroveca"/>
    <s v="Guía de Despacho Electrónica"/>
    <n v="134"/>
    <s v="LTS"/>
    <n v="5"/>
    <n v="20000"/>
    <n v="4000"/>
    <n v="21.50537634408602"/>
    <s v="CLP"/>
    <s v="CHILE"/>
    <d v="2026-03-06T00:00:00"/>
    <s v="AV"/>
    <m/>
    <m/>
  </r>
  <r>
    <x v="0"/>
    <s v="76.552.164-5"/>
    <s v="ANGELA MARIA DIAZ SCHMIDT AGRICOLA E.I.R.L."/>
    <s v="07/01/2026"/>
    <s v="CUARTA"/>
    <x v="5"/>
    <s v="AV PLUS AMIN x 20 LT"/>
    <s v="Agroveca"/>
    <s v="Guía de Despacho Electrónica"/>
    <n v="135"/>
    <s v="LTS"/>
    <n v="60"/>
    <n v="312000"/>
    <n v="5200"/>
    <n v="335.48387096774195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ALGAP 30 x 20 LT"/>
    <s v="Agroveca"/>
    <s v="Guía de Despacho Electrónica"/>
    <n v="135"/>
    <s v="LTS"/>
    <n v="40"/>
    <n v="292000"/>
    <n v="7300"/>
    <n v="313.97849462365593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PLUS POTASIO x 20 LT"/>
    <s v="Agroveca"/>
    <s v="Guía de Despacho Electrónica"/>
    <n v="135"/>
    <s v="LTS"/>
    <n v="40"/>
    <n v="188000"/>
    <n v="4700"/>
    <n v="202.15053763440861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ROOT MAX x 20 LT"/>
    <s v="Agroveca"/>
    <s v="Guía de Despacho Electrónica"/>
    <n v="135"/>
    <s v="LTS"/>
    <n v="300"/>
    <n v="2670000"/>
    <n v="8900"/>
    <n v="2870.9677419354839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BIOVECA FOLIAR 250 GRS"/>
    <s v="Agroveca"/>
    <s v="Guía de Despacho Electrónica"/>
    <n v="135"/>
    <s v="UN"/>
    <n v="15"/>
    <n v="420000"/>
    <n v="28000"/>
    <n v="451.61290322580646"/>
    <s v="CLP"/>
    <s v="CHILE"/>
    <d v="2026-05-30T00:00:00"/>
    <s v="AV"/>
    <m/>
    <m/>
  </r>
  <r>
    <x v="0"/>
    <s v="76.180.961-K"/>
    <s v="AGRICOLA SAN ANTONIO LIMITADA"/>
    <s v="07/01/2026"/>
    <s v="CUARTA"/>
    <x v="5"/>
    <s v="AV ALGAP 30 x 20 LT"/>
    <s v="Agroveca"/>
    <s v="Guía de Despacho Electrónica"/>
    <n v="136"/>
    <s v="LTS"/>
    <n v="20"/>
    <n v="146000"/>
    <n v="7300"/>
    <n v="156.98924731182797"/>
    <s v="CLP"/>
    <s v="CHILE"/>
    <d v="2026-05-30T00:00:00"/>
    <s v="AV"/>
    <m/>
    <m/>
  </r>
  <r>
    <x v="0"/>
    <s v="76.180.961-K"/>
    <s v="AGRICOLA SAN ANTONIO LIMITADA"/>
    <s v="07/01/2026"/>
    <s v="CUARTA"/>
    <x v="5"/>
    <s v="AV PLUS MAGNESIO x 20 LT"/>
    <s v="Agroveca"/>
    <s v="Guía de Despacho Electrónica"/>
    <n v="136"/>
    <s v="LTS"/>
    <n v="20"/>
    <n v="94000"/>
    <n v="4700"/>
    <n v="101.0752688172043"/>
    <s v="CLP"/>
    <s v="CHILE"/>
    <d v="2026-05-30T00:00:00"/>
    <s v="AV"/>
    <m/>
    <m/>
  </r>
  <r>
    <x v="0"/>
    <s v="77.650.227-8"/>
    <s v="SOCIEDAD AGRICOLA COMERCIAL LA HIGUERA SPA"/>
    <s v="08/01/2026"/>
    <s v="SEXTA"/>
    <x v="3"/>
    <s v="VECA AMIN - 20 L"/>
    <s v="Agroveca"/>
    <s v="Factura Electrónica"/>
    <n v="406"/>
    <s v="LITROS"/>
    <n v="20"/>
    <n v="0"/>
    <n v="0"/>
    <n v="0"/>
    <s v="CLP"/>
    <s v="CHILE"/>
    <d v="2026-01-10T00:00:00"/>
    <s v="AV"/>
    <s v="Guia  N 48"/>
    <d v="2025-08-25T00:00:00"/>
  </r>
  <r>
    <x v="0"/>
    <s v="77.650.227-8"/>
    <s v="SOCIEDAD AGRICOLA COMERCIAL LA HIGUERA SPA"/>
    <s v="08/01/2026"/>
    <s v="SEXTA"/>
    <x v="3"/>
    <s v="VECA BALANCE - 5 L"/>
    <s v="Agroveca"/>
    <s v="Factura Electrónica"/>
    <n v="407"/>
    <s v="LTS"/>
    <n v="5"/>
    <n v="0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CYTO PRIME -  1 L"/>
    <s v="Agroveca"/>
    <s v="Factura Electrónica"/>
    <n v="407"/>
    <s v="LTS"/>
    <n v="3"/>
    <n v="0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VECA PLUS POTASIO - 5 L"/>
    <s v="Agroveca"/>
    <s v="Factura Electrónica"/>
    <n v="408"/>
    <s v="LTS"/>
    <n v="10"/>
    <n v="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CALCIO - 5 L"/>
    <s v="Agroveca"/>
    <s v="Factura Electrónica"/>
    <n v="408"/>
    <s v="LTS"/>
    <n v="10"/>
    <n v="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BORO - 5 L (PRECIO EN  USD)"/>
    <s v="Agroveca"/>
    <s v="Factura Electrónica"/>
    <n v="409"/>
    <s v="LITROS"/>
    <n v="5"/>
    <n v="0"/>
    <n v="0"/>
    <n v="0"/>
    <s v="CLP"/>
    <s v="CHILE"/>
    <d v="2026-01-10T00:00:00"/>
    <s v="AV"/>
    <s v="Guia N 49"/>
    <d v="2025-08-28T00:00:00"/>
  </r>
  <r>
    <x v="0"/>
    <s v="77.650.227-8"/>
    <s v="SOCIEDAD AGRICOLA COMERCIAL LA HIGUERA SPA"/>
    <s v="08/01/2026"/>
    <s v="SEXTA"/>
    <x v="3"/>
    <s v="VECA PLUS ZINC - 5 L (PRECIO EN USD)"/>
    <s v="Agroveca"/>
    <s v="Factura Electrónica"/>
    <n v="409"/>
    <s v="LITROS"/>
    <n v="5"/>
    <n v="0"/>
    <n v="0"/>
    <n v="0"/>
    <s v="CLP"/>
    <s v="CHILE"/>
    <d v="2026-01-10T00:00:00"/>
    <s v="AV"/>
    <s v="Guia N 49"/>
    <d v="2025-08-28T00:00:00"/>
  </r>
  <r>
    <x v="0"/>
    <s v="5.904.111-8"/>
    <s v="BETTY PATRICIA MONTENEGRO ESCOBAR"/>
    <s v="08/01/2026"/>
    <s v="QUINTA"/>
    <x v="1"/>
    <s v="VECA AMIN SUGAR - 20 L"/>
    <s v="Agroveca"/>
    <s v="Factura Electrónica"/>
    <n v="410"/>
    <s v="LTS"/>
    <n v="20"/>
    <n v="130000"/>
    <n v="6500"/>
    <n v="139.78494623655914"/>
    <s v="CLP"/>
    <s v="CHILE"/>
    <d v="2026-01-09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Factura Electrónica"/>
    <n v="437"/>
    <s v="UN"/>
    <n v="25"/>
    <n v="0"/>
    <n v="0"/>
    <n v="0"/>
    <s v="CLP"/>
    <s v="CHILE"/>
    <d v="2026-04-08T00:00:00"/>
    <s v="AV"/>
    <s v="Guia N 139"/>
    <d v="2026-01-08T00:00:00"/>
  </r>
  <r>
    <x v="0"/>
    <s v="77.036.196-6"/>
    <s v="SOCIEDAD COMERCIAL RYN SPA"/>
    <s v="08/01/2026"/>
    <s v="SEXTA"/>
    <x v="4"/>
    <s v="VECA CALCIO BORO - 20 L"/>
    <s v="Agroveca"/>
    <s v="Guía de Despacho Electrónica"/>
    <n v="138"/>
    <s v="LTS"/>
    <n v="60"/>
    <n v="228309"/>
    <n v="3805.15"/>
    <n v="245.49354838709678"/>
    <s v="CLP"/>
    <s v="CHILE"/>
    <d v="2026-05-08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Guía de Despacho Electrónica"/>
    <n v="139"/>
    <s v="UN"/>
    <n v="25"/>
    <n v="875000"/>
    <n v="35000"/>
    <n v="940.86021505376345"/>
    <s v="CLP"/>
    <s v="CHILE"/>
    <d v="2026-04-08T00:00:00"/>
    <s v="AV"/>
    <m/>
    <m/>
  </r>
  <r>
    <x v="0"/>
    <s v="76.788.317-K"/>
    <s v="AGRICOLA MARIO ALEJANDRO VIDAL NUNEZ EIRL"/>
    <s v="09/01/2026"/>
    <s v="SEXTA"/>
    <x v="3"/>
    <s v="VECA PLUS POTAS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MAGNES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CALCIO - 20 L"/>
    <s v="Agrocomercial"/>
    <s v="Factura Electrónica"/>
    <n v="411"/>
    <s v="LTS"/>
    <n v="20"/>
    <n v="89689"/>
    <n v="4484.45"/>
    <n v="96.439784946236557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MAX FULVIC 45% - 20 L"/>
    <s v="Agrocomercial"/>
    <s v="Factura Electrónica"/>
    <n v="411"/>
    <s v="LTS"/>
    <n v="40"/>
    <n v="172203"/>
    <n v="4305.0749999999998"/>
    <n v="185.1645161290322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BIOVECA NEMAOFF - 500 GR"/>
    <s v="Agrocomercial"/>
    <s v="Factura Electrónica"/>
    <n v="411"/>
    <s v="UN"/>
    <n v="3"/>
    <n v="121080"/>
    <n v="40360"/>
    <n v="130.19354838709677"/>
    <s v="CLP"/>
    <s v="CHILE"/>
    <d v="2026-01-09T00:00:00"/>
    <s v="AV"/>
    <m/>
    <m/>
  </r>
  <r>
    <x v="0"/>
    <s v="9.056.061-1"/>
    <s v="FELIPE ALBERTO RIQUELME ACUNA"/>
    <s v="09/01/2026"/>
    <s v="ÑUBLE"/>
    <x v="2"/>
    <s v="AV ROOT MAX X 20 LT"/>
    <s v="Agroveca"/>
    <s v="Factura Electrónica"/>
    <n v="412"/>
    <s v="LTS"/>
    <n v="20"/>
    <n v="200000"/>
    <n v="10000"/>
    <n v="215.05376344086022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MAGNESIO X 20 LT"/>
    <s v="Agroveca"/>
    <s v="Factura Electrónica"/>
    <n v="412"/>
    <s v="LTS"/>
    <n v="20"/>
    <n v="100000"/>
    <n v="5000"/>
    <n v="107.52688172043011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POTASIO X 20 LT"/>
    <s v="Agroveca"/>
    <s v="Factura Electrónica"/>
    <n v="412"/>
    <s v="LTS"/>
    <n v="20"/>
    <n v="100000"/>
    <n v="5000"/>
    <n v="107.52688172043011"/>
    <s v="CLP"/>
    <s v="CHILE"/>
    <d v="2026-01-09T00:00:00"/>
    <s v="AV"/>
    <m/>
    <m/>
  </r>
  <r>
    <x v="0"/>
    <s v="76.547.701-8"/>
    <s v="SOCIEDAD AGRICOLA BRUGNATO LIMITADA"/>
    <s v="09/01/2026"/>
    <s v="QUINTA"/>
    <x v="1"/>
    <s v="VECASIL FORTE - 20 L"/>
    <s v="Agroveca"/>
    <s v="Guía de Despacho Electrónica"/>
    <n v="141"/>
    <s v="LTS"/>
    <n v="40"/>
    <n v="320000"/>
    <n v="8000"/>
    <n v="344.08602150537632"/>
    <s v="CLP"/>
    <s v="CHILE"/>
    <d v="2026-03-10T00:00:00"/>
    <s v="AV"/>
    <m/>
    <m/>
  </r>
  <r>
    <x v="0"/>
    <s v="77.988.779-0"/>
    <s v="SEIS SOLES SPA"/>
    <s v="10/01/2026"/>
    <s v="TERCERA"/>
    <x v="0"/>
    <s v="ALGAP 30 - 20 L"/>
    <s v="Agroveca"/>
    <s v="Factura Electrónica"/>
    <n v="413"/>
    <s v="UN"/>
    <n v="100"/>
    <n v="0"/>
    <n v="0"/>
    <n v="885.3763440860215"/>
    <s v="CLP"/>
    <s v="CHILE"/>
    <d v="2026-01-27T00:00:00"/>
    <s v="AV"/>
    <m/>
    <m/>
  </r>
  <r>
    <x v="0"/>
    <s v="77.582.414-K"/>
    <s v="AGROINSUMOS KULLIN"/>
    <s v="12/01/2026"/>
    <s v="SEPTIMA"/>
    <x v="0"/>
    <s v="AV PLUS CALCIO BORO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PLUS BORO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AMIN - 20 L"/>
    <s v="Agroveca"/>
    <s v="Factura Electrónica"/>
    <n v="414"/>
    <s v="LTS"/>
    <n v="20"/>
    <n v="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VECA AMIN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ZINC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MAGNESIO - 1 L"/>
    <s v="Agroveca"/>
    <s v="Factura Electrónica"/>
    <n v="415"/>
    <s v="LTS"/>
    <n v="5"/>
    <n v="0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POTASIO - 5 L"/>
    <s v="Agroveca"/>
    <s v="Factura Electrónica"/>
    <n v="416"/>
    <s v="LTS"/>
    <n v="60"/>
    <n v="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1 L"/>
    <s v="Agroveca"/>
    <s v="Factura Electrónica"/>
    <n v="416"/>
    <s v="LTS"/>
    <n v="10"/>
    <n v="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20 L"/>
    <s v="Agroveca"/>
    <s v="Factura Electrónica"/>
    <n v="416"/>
    <s v="LTS"/>
    <n v="20"/>
    <n v="0"/>
    <n v="0"/>
    <n v="0"/>
    <s v="CLP"/>
    <s v="CHILE"/>
    <d v="2026-01-22T00:00:00"/>
    <s v="AV"/>
    <s v="GUIA AV 789"/>
    <d v="2025-10-24T00:00:00"/>
  </r>
  <r>
    <x v="0"/>
    <s v="77.139.169-9"/>
    <s v="AGRICOLA FUNDO LA PROVIDENCIA LTDA"/>
    <s v="12/01/2026"/>
    <s v="METROPOLITANA"/>
    <x v="0"/>
    <s v="BIOVECA RAÍZ - 500 GRS"/>
    <s v="Agroveca"/>
    <s v="Factura Electrónica"/>
    <n v="417"/>
    <s v="LTS"/>
    <n v="10"/>
    <n v="0"/>
    <n v="0"/>
    <n v="0"/>
    <s v="CLP"/>
    <s v="CHILE"/>
    <d v="2026-01-16T00:00:00"/>
    <s v="AV"/>
    <s v="GUIA AV 827"/>
    <d v="2025-11-13T00:00:00"/>
  </r>
  <r>
    <x v="0"/>
    <s v="76.421.617-2"/>
    <s v="AGRICOLA CASA DEL CERRILLO EIRL"/>
    <s v="12/01/2026"/>
    <s v="QUINTA"/>
    <x v="1"/>
    <s v="ALGAP 30 - 20 L"/>
    <s v="Agroveca"/>
    <s v="Factura Electrónica"/>
    <n v="418"/>
    <s v="LTS"/>
    <n v="40"/>
    <n v="0"/>
    <n v="0"/>
    <n v="0"/>
    <s v="CLP"/>
    <s v="CHILE"/>
    <d v="2026-01-15T00:00:00"/>
    <s v="AV"/>
    <s v="GUIA AV 769"/>
    <d v="2025-10-18T00:00:00"/>
  </r>
  <r>
    <x v="0"/>
    <s v="76.421.617-2"/>
    <s v="AGRICOLA CASA DEL CERRILLO EIRL"/>
    <s v="12/01/2026"/>
    <s v="QUINTA"/>
    <x v="1"/>
    <s v="ALGAP 30 - 5 L"/>
    <s v="Agroveca"/>
    <s v="Factura Electrónica"/>
    <n v="418"/>
    <s v="LTS"/>
    <n v="10"/>
    <n v="0"/>
    <n v="0"/>
    <n v="0"/>
    <s v="CLP"/>
    <s v="CHILE"/>
    <d v="2026-01-15T00:00:00"/>
    <s v="AV"/>
    <s v="GUIA AV 769"/>
    <d v="2025-10-18T00:00:00"/>
  </r>
  <r>
    <x v="0"/>
    <s v="76.826.270-5"/>
    <s v="INVERSIONES DON FORTUNATO LTDA"/>
    <s v="12/01/2026"/>
    <s v="SEXTA"/>
    <x v="1"/>
    <s v="VECA N-P MIX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CALCIO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POTASIO - 20 L"/>
    <s v="Agroveca"/>
    <s v="Factura Electrónica"/>
    <n v="419"/>
    <s v="LTS"/>
    <n v="20"/>
    <n v="0"/>
    <n v="0"/>
    <n v="0"/>
    <s v="CLP"/>
    <s v="CHILE"/>
    <d v="2026-01-21T00:00:00"/>
    <s v="AV"/>
    <s v="GUIA AV 780"/>
    <d v="2025-10-22T00:00:00"/>
  </r>
  <r>
    <x v="0"/>
    <s v="15.111.777-5"/>
    <s v="JORGE HERNAN ESPINOZA QUEZADA"/>
    <s v="12/01/2026"/>
    <s v="SEXTA"/>
    <x v="4"/>
    <s v="VECA ROOT MAX - 20 L"/>
    <s v="Agroveca"/>
    <s v="Factura Electrónica"/>
    <n v="420"/>
    <s v="LTS"/>
    <n v="20"/>
    <n v="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CYTO PRIME - 5 L"/>
    <s v="Agroveca"/>
    <s v="Factura Electrónica"/>
    <n v="420"/>
    <s v="LTS"/>
    <n v="5"/>
    <n v="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VECA AMIN - 20 L"/>
    <s v="Agroveca"/>
    <s v="Factura Electrónica"/>
    <n v="420"/>
    <s v="LTS"/>
    <n v="40"/>
    <n v="0"/>
    <n v="0"/>
    <n v="0"/>
    <s v="CLP"/>
    <s v="CHILE"/>
    <d v="2026-01-15T00:00:00"/>
    <s v="AV"/>
    <s v="GUIA AV 725"/>
    <d v="2025-10-03T00:00:00"/>
  </r>
  <r>
    <x v="0"/>
    <s v="77.224.235-2"/>
    <s v="CONTRATISTAS AZUA LIMITADA"/>
    <s v="12/01/2026"/>
    <s v="SEXTA"/>
    <x v="4"/>
    <s v="VECA PLUS POTASIO - 20 L"/>
    <s v="Agroveca"/>
    <s v="Factura Electrónica"/>
    <n v="421"/>
    <s v="LTS"/>
    <n v="20"/>
    <n v="0"/>
    <n v="0"/>
    <n v="0"/>
    <s v="CLP"/>
    <s v="CHILE"/>
    <d v="2026-01-15T00:00:00"/>
    <s v="AV"/>
    <s v="GUIA AV 829"/>
    <d v="2025-11-13T00:00:00"/>
  </r>
  <r>
    <x v="0"/>
    <s v="77.224.235-2"/>
    <s v="CONTRATISTAS AZUA LIMITADA"/>
    <s v="12/01/2026"/>
    <s v="SEXTA"/>
    <x v="4"/>
    <s v="ALGAP 30 - 5 L"/>
    <s v="Agroveca"/>
    <s v="Factura Electrónica"/>
    <n v="421"/>
    <s v="LTS"/>
    <n v="10"/>
    <n v="0"/>
    <n v="0"/>
    <n v="0"/>
    <s v="CLP"/>
    <s v="CHILE"/>
    <d v="2026-01-15T00:00:00"/>
    <s v="AV"/>
    <s v="GUIA AV 829"/>
    <d v="2025-11-13T00:00:00"/>
  </r>
  <r>
    <x v="0"/>
    <s v="14.346.200-5"/>
    <s v="SAMUEL ENRIQUE ACEVEDO CONTRERAS"/>
    <s v="12/01/2026"/>
    <s v="SEXTA"/>
    <x v="4"/>
    <s v="VECA BALANCE - 5 L"/>
    <s v="Agroveca"/>
    <s v="Factura Electrónica"/>
    <n v="422"/>
    <s v="LTS"/>
    <n v="5"/>
    <n v="0"/>
    <n v="0"/>
    <n v="0"/>
    <s v="CLP"/>
    <s v="CHILE"/>
    <d v="2026-01-19T00:00:00"/>
    <s v="AV"/>
    <s v="GUIA AV 841"/>
    <d v="2025-11-19T00:00:00"/>
  </r>
  <r>
    <x v="0"/>
    <s v="14.346.200-5"/>
    <s v="SAMUEL ENRIQUE ACEVEDO CONTRERAS"/>
    <s v="12/01/2026"/>
    <s v="SEXTA"/>
    <x v="4"/>
    <s v="VECA BLOOM - 5 L"/>
    <s v="Agroveca"/>
    <s v="Factura Electrónica"/>
    <n v="422"/>
    <s v="LTS"/>
    <n v="5"/>
    <n v="0"/>
    <n v="0"/>
    <n v="0"/>
    <s v="CLP"/>
    <s v="CHILE"/>
    <d v="2026-01-19T00:00:00"/>
    <s v="AV"/>
    <s v="GUIA AV 841"/>
    <d v="2025-11-19T00:00:00"/>
  </r>
  <r>
    <x v="0"/>
    <s v="77.327.221-2"/>
    <s v="SOCIEDAD AGRICOLA Y COMERCIAL RIO DIUTO SPA"/>
    <s v="12/01/2026"/>
    <s v="OCTAVA"/>
    <x v="3"/>
    <s v="VECA PLUS MANGANESO - 20 L"/>
    <s v="Agroveca"/>
    <s v="Factura Electrónica"/>
    <n v="423"/>
    <s v="LTS"/>
    <n v="500"/>
    <n v="0"/>
    <n v="0"/>
    <n v="0"/>
    <s v="CLP"/>
    <s v="CHILE"/>
    <d v="2026-01-30T00:00:00"/>
    <s v="AV"/>
    <s v="GUIA AV 725"/>
    <d v="2025-10-03T00:00:00"/>
  </r>
  <r>
    <x v="0"/>
    <s v="76.428.021-0"/>
    <s v="SOCIEDAD AGRICOLA TIERRA DE BACO LIMITADA"/>
    <s v="12/01/2026"/>
    <s v="SEXTA"/>
    <x v="3"/>
    <s v="AV BIOVECA FOLIAR - 250 GR"/>
    <s v="Agroveca"/>
    <s v="Factura Electrónica"/>
    <n v="436"/>
    <s v="UN"/>
    <n v="45"/>
    <n v="0"/>
    <n v="0"/>
    <n v="0"/>
    <s v="CLP"/>
    <s v="CHILE"/>
    <d v="2026-04-09T00:00:00"/>
    <s v="AV"/>
    <s v="Guia N142"/>
    <d v="2026-01-12T00:00:00"/>
  </r>
  <r>
    <x v="0"/>
    <s v="9.501.614-6"/>
    <s v="JUAN ENRIQUE VARGAS ALZAMORA"/>
    <s v="12/01/2026"/>
    <s v="QUINTA"/>
    <x v="1"/>
    <s v="AV AMIN SUGAR - 200 L"/>
    <s v="Agroveca"/>
    <s v="Guía de Despacho Electrónica"/>
    <n v="142"/>
    <s v="LITROS"/>
    <n v="200"/>
    <n v="900000"/>
    <n v="4500"/>
    <n v="967.74193548387098"/>
    <s v="CLP"/>
    <s v="CHILE"/>
    <d v="2026-04-11T00:00:00"/>
    <s v="AV"/>
    <m/>
    <m/>
  </r>
  <r>
    <x v="0"/>
    <s v="76.428.021-0"/>
    <s v="SOCIEDAD AGRICOLA TIERRA DE BACO LIMITADA"/>
    <s v="12/01/2026"/>
    <s v="SEXTA"/>
    <x v="3"/>
    <s v="AV BIOVECA FOLIAR - 250 GR"/>
    <s v="Agroveca"/>
    <s v="Guía de Despacho Electrónica"/>
    <n v="143"/>
    <s v="UN"/>
    <n v="45"/>
    <n v="1575000"/>
    <n v="35000"/>
    <n v="1693.5483870967741"/>
    <s v="CLP"/>
    <s v="CHILE"/>
    <d v="2026-04-09T00:00:00"/>
    <s v="AV"/>
    <m/>
    <m/>
  </r>
  <r>
    <x v="0"/>
    <s v="10.824.336-8"/>
    <s v="EUGENIO ALFREDO AMPUERO GUERRA"/>
    <s v="13/01/2026"/>
    <s v="QUINTA"/>
    <x v="1"/>
    <s v="BIOVECA NEMAOFF - 500 GRS"/>
    <s v="Agroveca"/>
    <s v="Factura Electrónica"/>
    <n v="424"/>
    <s v="UN"/>
    <n v="10"/>
    <n v="0"/>
    <n v="0"/>
    <n v="0"/>
    <s v="CLP"/>
    <s v="CHILE"/>
    <d v="2026-01-15T00:00:00"/>
    <s v="AV"/>
    <s v="GUIA AV 851"/>
    <d v="2025-11-27T00:00:00"/>
  </r>
  <r>
    <x v="0"/>
    <s v="76.104.169-K"/>
    <s v="AGRICOLA RIBERA LIMITADA"/>
    <s v="13/01/2026"/>
    <s v="METROPOLITANA"/>
    <x v="3"/>
    <s v="VECA MOVE - 20 L"/>
    <s v="Agroveca"/>
    <s v="Factura Electrónica"/>
    <n v="425"/>
    <s v="LTS"/>
    <n v="180"/>
    <n v="0"/>
    <n v="0"/>
    <n v="0"/>
    <s v="CLP"/>
    <s v="CHILE"/>
    <d v="2026-01-15T00:00:00"/>
    <s v="AV"/>
    <s v="GUIA AV 550"/>
    <d v="2025-03-14T00:00:00"/>
  </r>
  <r>
    <x v="0"/>
    <s v="77.987.344-7"/>
    <s v="AGRÍCOLA CORNEJO ALVAREZ SPA"/>
    <s v="13/01/2026"/>
    <s v="SEXTA"/>
    <x v="4"/>
    <s v="AV AMIN X 5 LT"/>
    <s v="Agroveca"/>
    <s v="Factura Electrónica"/>
    <n v="426"/>
    <s v="LTS"/>
    <n v="5"/>
    <n v="40125"/>
    <n v="8025"/>
    <n v="43.145161290322584"/>
    <s v="CLP"/>
    <s v="CHILE"/>
    <d v="2026-01-13T00:00:00"/>
    <s v="AV"/>
    <m/>
    <m/>
  </r>
  <r>
    <x v="0"/>
    <s v="77.987.344-7"/>
    <s v="AGRÍCOLA CORNEJO ALVAREZ SPA"/>
    <s v="13/01/2026"/>
    <s v="SEXTA"/>
    <x v="4"/>
    <s v="AV AMIN X 1 LT"/>
    <s v="Agroveca"/>
    <s v="Factura Electrónica"/>
    <n v="426"/>
    <s v="LTS"/>
    <n v="1"/>
    <n v="8025"/>
    <n v="8025"/>
    <n v="8.629032258064516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HUMIC ROOT X 20LT"/>
    <s v="Agroveca"/>
    <s v="Factura Electrónica"/>
    <n v="427"/>
    <s v="LITROS"/>
    <n v="40"/>
    <n v="100000"/>
    <n v="2500"/>
    <n v="107.52688172043011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ROOT MAX X 20LT"/>
    <s v="Agroveca"/>
    <s v="Factura Electrónica"/>
    <n v="427"/>
    <s v="LITROS"/>
    <n v="20"/>
    <n v="160000"/>
    <n v="8000"/>
    <n v="172.04301075268816"/>
    <s v="CLP"/>
    <s v="CHILE"/>
    <d v="2026-01-13T00:00:00"/>
    <s v="AV"/>
    <m/>
    <m/>
  </r>
  <r>
    <x v="0"/>
    <s v="76.412.827-3"/>
    <s v="FRUTICOLA RIO BLANCO SPA"/>
    <s v="14/01/2026"/>
    <s v="METROPOLITANA"/>
    <x v="6"/>
    <s v="ANÁLISIS FOLIAR - CAMPO LOS LIRIOS"/>
    <s v="Laboratorio"/>
    <s v="Factura Electrónica"/>
    <n v="428"/>
    <s v="UN"/>
    <n v="9"/>
    <n v="0"/>
    <n v="0"/>
    <n v="546.23763440860216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LA MONTAÑA"/>
    <s v="Laboratorio"/>
    <s v="Factura Electrónica"/>
    <n v="429"/>
    <s v="UN"/>
    <n v="4"/>
    <n v="0"/>
    <n v="0"/>
    <n v="242.7720430107527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SANTA LUISA"/>
    <s v="Laboratorio"/>
    <s v="Factura Electrónica"/>
    <n v="430"/>
    <s v="UN"/>
    <n v="8"/>
    <n v="0"/>
    <n v="0"/>
    <n v="485.54408602150539"/>
    <s v="CLP"/>
    <s v="CHILE"/>
    <d v="2026-01-14T00:00:00"/>
    <s v="AV"/>
    <m/>
    <m/>
  </r>
  <r>
    <x v="0"/>
    <s v="13.302.310-0"/>
    <s v="LUIS AMERICO VIDAL MEZA"/>
    <s v="14/01/2026"/>
    <s v="SEXTA"/>
    <x v="3"/>
    <s v="NUTRI MIX - 5 L"/>
    <s v="Agrocomercial"/>
    <s v="Factura Electrónica"/>
    <n v="431"/>
    <s v="LTS"/>
    <n v="5"/>
    <n v="30935"/>
    <n v="6187"/>
    <n v="33.263440860215056"/>
    <s v="CLP"/>
    <s v="CHILE"/>
    <d v="2026-01-14T00:00:00"/>
    <s v="AV"/>
    <m/>
    <m/>
  </r>
  <r>
    <x v="0"/>
    <s v="89.308.000-7"/>
    <s v="VILLEGAS Y BERRIOS Y CIA LTDA"/>
    <s v="14/01/2026"/>
    <s v="SEXTA"/>
    <x v="3"/>
    <s v="VECA BALANCE - 1 L"/>
    <s v="Agroveca"/>
    <s v="Factura Electrónica"/>
    <n v="432"/>
    <s v="LTS"/>
    <n v="2"/>
    <n v="30660"/>
    <n v="15330"/>
    <n v="32.9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5 L"/>
    <s v="Agroveca"/>
    <s v="Factura Electrónica"/>
    <n v="432"/>
    <s v="LTS"/>
    <n v="5"/>
    <n v="22050"/>
    <n v="4410"/>
    <n v="23.7096774193548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BORO - 5 L"/>
    <s v="Agroveca"/>
    <s v="Factura Electrónica"/>
    <n v="432"/>
    <s v="LTS"/>
    <n v="5"/>
    <n v="22050"/>
    <n v="4410"/>
    <n v="23.7096774193548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2"/>
    <s v="LTS"/>
    <n v="15"/>
    <n v="87150"/>
    <n v="5810"/>
    <n v="93.70967741935483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2"/>
    <s v="LTS"/>
    <n v="30"/>
    <n v="132300"/>
    <n v="4410"/>
    <n v="142.2580645161290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2"/>
    <s v="LTS"/>
    <n v="8"/>
    <n v="46480"/>
    <n v="5810"/>
    <n v="49.97849462365591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2"/>
    <s v="LTS"/>
    <n v="40"/>
    <n v="176400"/>
    <n v="4410"/>
    <n v="189.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2"/>
    <s v="LTS"/>
    <n v="20"/>
    <n v="82600"/>
    <n v="4130"/>
    <n v="88.817204301075265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2"/>
    <s v="LTS"/>
    <n v="1"/>
    <n v="6020"/>
    <n v="6020"/>
    <n v="6.4731182795698921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HIERRO - 1 L"/>
    <s v="Agroveca"/>
    <s v="Factura Electrónica"/>
    <n v="432"/>
    <s v="LTS"/>
    <n v="1"/>
    <n v="5810"/>
    <n v="5810"/>
    <n v="6.247311827956989"/>
    <s v="CLP"/>
    <s v="CHILE"/>
    <d v="2026-04-14T00:00:00"/>
    <s v="AV"/>
    <m/>
    <m/>
  </r>
  <r>
    <x v="0"/>
    <s v="89.308.000-7"/>
    <s v="VILLEGAS Y BERRIOS Y CIA LTDA"/>
    <s v="14/01/2026"/>
    <s v="SEXTA"/>
    <x v="3"/>
    <s v="VECA AMIN - 5 L"/>
    <s v="Agroveca"/>
    <s v="Factura Electrónica"/>
    <n v="433"/>
    <s v="LTS"/>
    <n v="5"/>
    <n v="30275"/>
    <n v="6055"/>
    <n v="32.553763440860216"/>
    <s v="CLP"/>
    <s v="CHILE"/>
    <d v="2026-04-14T00:00:00"/>
    <s v="AV"/>
    <m/>
    <m/>
  </r>
  <r>
    <x v="0"/>
    <s v="89.308.000-7"/>
    <s v="VILLEGAS Y BERRIOS Y CIA LTDA"/>
    <s v="14/01/2026"/>
    <s v="SEXTA"/>
    <x v="3"/>
    <s v="VECA BALANCE - 5 L"/>
    <s v="Agroveca"/>
    <s v="Factura Electrónica"/>
    <n v="433"/>
    <s v="LTS"/>
    <n v="15"/>
    <n v="198450"/>
    <n v="13230"/>
    <n v="213.38709677419354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1 L"/>
    <s v="Agroveca"/>
    <s v="Factura Electrónica"/>
    <n v="433"/>
    <s v="LTS"/>
    <n v="4"/>
    <n v="34160"/>
    <n v="8540"/>
    <n v="36.731182795698928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5 L"/>
    <s v="Agroveca"/>
    <s v="Factura Electrónica"/>
    <n v="433"/>
    <s v="LTS"/>
    <n v="10"/>
    <n v="80500"/>
    <n v="8050"/>
    <n v="86.55913978494624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1 L"/>
    <s v="Agroveca"/>
    <s v="Factura Electrónica"/>
    <n v="433"/>
    <s v="LTS"/>
    <n v="3"/>
    <n v="17430"/>
    <n v="5810"/>
    <n v="18.741935483870968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3"/>
    <s v="LTS"/>
    <n v="15"/>
    <n v="87150"/>
    <n v="5810"/>
    <n v="93.70967741935483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3"/>
    <s v="LTS"/>
    <n v="27"/>
    <n v="156870"/>
    <n v="5810"/>
    <n v="168.67741935483872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3"/>
    <s v="LTS"/>
    <n v="60"/>
    <n v="264600"/>
    <n v="4410"/>
    <n v="284.51612903225805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3"/>
    <s v="LTS"/>
    <n v="40"/>
    <n v="165200"/>
    <n v="4130"/>
    <n v="177.63440860215053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3"/>
    <s v="LTS"/>
    <n v="8"/>
    <n v="48160"/>
    <n v="6020"/>
    <n v="51.784946236559136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20 L"/>
    <s v="Agroveca"/>
    <s v="Factura Electrónica"/>
    <n v="433"/>
    <s v="LTS"/>
    <n v="20"/>
    <n v="86800"/>
    <n v="4340"/>
    <n v="93.333333333333329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3"/>
    <s v="LTS"/>
    <n v="20"/>
    <n v="88200"/>
    <n v="4410"/>
    <n v="94.838709677419359"/>
    <s v="CLP"/>
    <s v="CHILE"/>
    <d v="2026-04-14T00:00:00"/>
    <s v="AV"/>
    <m/>
    <m/>
  </r>
  <r>
    <x v="0"/>
    <s v="77.941.544-9"/>
    <s v="BODEN SPA"/>
    <s v="14/01/2026"/>
    <s v="DECIMA"/>
    <x v="3"/>
    <s v="BIOBODEN CRYOPHILE - 250 GRS"/>
    <s v="Agrocomercial"/>
    <s v="Guía de Despacho Electrónica"/>
    <n v="145"/>
    <s v="UN"/>
    <n v="70"/>
    <n v="1190000"/>
    <n v="17000"/>
    <n v="1279.5698924731182"/>
    <s v="CLP"/>
    <s v="CHILE"/>
    <d v="2026-07-13T00:00:00"/>
    <s v="AV"/>
    <m/>
    <m/>
  </r>
  <r>
    <x v="0"/>
    <s v="77.941.544-9"/>
    <s v="BODEN SPA"/>
    <s v="14/01/2026"/>
    <s v="DECIMA"/>
    <x v="3"/>
    <s v="XCARATOR - 20 L"/>
    <s v="Agrocomercial"/>
    <s v="Guía de Despacho Electrónica"/>
    <n v="146"/>
    <s v="LTS"/>
    <n v="1000"/>
    <n v="2483000"/>
    <n v="2483"/>
    <n v="2669.8924731182797"/>
    <s v="CLP"/>
    <s v="CHILE"/>
    <d v="2026-07-13T00:00:00"/>
    <s v="AV"/>
    <m/>
    <m/>
  </r>
  <r>
    <x v="0"/>
    <s v="11.762.436-6"/>
    <s v="ELIAS FELICIANO RETAMAL RIVERA"/>
    <s v="14/01/2026"/>
    <s v="SEPTIMA"/>
    <x v="1"/>
    <s v="AV ROOT MAX - 20 L"/>
    <s v="Agroveca"/>
    <s v="Guía de Despacho Electrónica"/>
    <n v="147"/>
    <s v="LTS"/>
    <n v="100"/>
    <n v="800000"/>
    <n v="8000"/>
    <n v="860.21505376344089"/>
    <s v="CLP"/>
    <s v="CHILE"/>
    <d v="2026-05-22T00:00:00"/>
    <s v="AV"/>
    <m/>
    <m/>
  </r>
  <r>
    <x v="0"/>
    <s v="11.762.436-6"/>
    <s v="ELIAS FELICIANO RETAMAL RIVERA"/>
    <s v="14/01/2026"/>
    <s v="SEPTIMA"/>
    <x v="1"/>
    <s v="AV PLUS NUTRI MIX - 20 L"/>
    <s v="Agroveca"/>
    <s v="Guía de Despacho Electrónica"/>
    <n v="147"/>
    <s v="LTS"/>
    <n v="100"/>
    <n v="500000"/>
    <n v="5000"/>
    <n v="537.63440860215053"/>
    <s v="CLP"/>
    <s v="CHILE"/>
    <d v="2026-05-22T00:00:00"/>
    <s v="AV"/>
    <m/>
    <m/>
  </r>
  <r>
    <x v="0"/>
    <s v="11.762.436-6"/>
    <s v="ELIAS FELICIANO RETAMAL RIVERA"/>
    <s v="14/01/2026"/>
    <s v="SEPTIMA"/>
    <x v="1"/>
    <s v="AV MOVE - 20 L"/>
    <s v="Agroveca"/>
    <s v="Guía de Despacho Electrónica"/>
    <n v="147"/>
    <s v="LTS"/>
    <n v="100"/>
    <n v="700000"/>
    <n v="7000"/>
    <n v="752.68817204301081"/>
    <s v="CLP"/>
    <s v="CHILE"/>
    <d v="2026-05-22T00:00:00"/>
    <s v="AV"/>
    <m/>
    <m/>
  </r>
  <r>
    <x v="0"/>
    <s v="11.762.436-6"/>
    <s v="ELIAS FELICIANO RETAMAL RIVERA"/>
    <s v="14/01/2026"/>
    <s v="SEPTIMA"/>
    <x v="1"/>
    <s v="AV SILFORTE - 200 L"/>
    <s v="Agroveca"/>
    <s v="Guía de Despacho Electrónica"/>
    <n v="147"/>
    <s v="LTS"/>
    <n v="200"/>
    <n v="1515000"/>
    <n v="7575"/>
    <n v="1827.9569892473119"/>
    <s v="CLP"/>
    <s v="CHILE"/>
    <d v="2026-05-22T00:00:00"/>
    <s v="AV"/>
    <m/>
    <m/>
  </r>
  <r>
    <x v="0"/>
    <s v="77.650.227-8"/>
    <s v="SOCIEDAD AGRICOLA COMERCIAL LA HIGUERA SPA"/>
    <s v="14/01/2026"/>
    <s v="SEXTA"/>
    <x v="3"/>
    <s v="VECA PLUS CALCIO - 5 L"/>
    <s v="Agrocomercial"/>
    <s v="Guía de Despacho Electrónica"/>
    <n v="148"/>
    <s v="LTS"/>
    <n v="5"/>
    <n v="26571"/>
    <n v="5314.2"/>
    <n v="28.570967741935483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MOVE - 5 L"/>
    <s v="Agrocomercial"/>
    <s v="Guía de Despacho Electrónica"/>
    <n v="148"/>
    <s v="LTS"/>
    <n v="5"/>
    <n v="53038"/>
    <n v="10607.6"/>
    <n v="57.030107526881721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AMIN - 1 L"/>
    <s v="Agrocomercial"/>
    <s v="Guía de Despacho Electrónica"/>
    <n v="148"/>
    <s v="LTS"/>
    <n v="2"/>
    <n v="17679"/>
    <n v="8839.5"/>
    <n v="19.009677419354837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BIOVECA FOLIAR"/>
    <s v="Agrocomercial"/>
    <s v="Guía de Despacho Electrónica"/>
    <n v="148"/>
    <s v="UN"/>
    <n v="1"/>
    <n v="32707"/>
    <n v="32707"/>
    <n v="35.168817204301078"/>
    <s v="CLP"/>
    <s v="CHILE"/>
    <d v="2026-03-13T00:00:00"/>
    <s v="AV"/>
    <m/>
    <m/>
  </r>
  <r>
    <x v="0"/>
    <s v="77.576.071-0"/>
    <s v="AGRICOLA E INVERSIONES VGV SPA"/>
    <s v="14/01/2026"/>
    <s v="QUINTA"/>
    <x v="1"/>
    <s v="AV MAX FULVIC - 20 L"/>
    <s v="Agroveca"/>
    <s v="Guía de Despacho Electrónica"/>
    <n v="149"/>
    <s v="LTS"/>
    <n v="60"/>
    <n v="150000"/>
    <n v="2500"/>
    <n v="161.29032258064515"/>
    <s v="CLP"/>
    <s v="CHILE"/>
    <d v="2026-05-14T00:00:00"/>
    <s v="AV"/>
    <m/>
    <m/>
  </r>
  <r>
    <x v="0"/>
    <s v="77.576.071-0"/>
    <s v="AGRICOLA E INVERSIONES VGV SPA"/>
    <s v="14/01/2026"/>
    <s v="QUINTA"/>
    <x v="1"/>
    <s v="AV HUMIC ROOT - 20 L"/>
    <s v="Agroveca"/>
    <s v="Guía de Despacho Electrónica"/>
    <n v="149"/>
    <s v="LTS"/>
    <n v="60"/>
    <n v="150000"/>
    <n v="2500"/>
    <n v="161.29032258064515"/>
    <s v="CLP"/>
    <s v="CHILE"/>
    <d v="2026-05-14T00:00:00"/>
    <s v="AV"/>
    <m/>
    <m/>
  </r>
  <r>
    <x v="0"/>
    <s v="77.576.071-0"/>
    <s v="AGRICOLA E INVERSIONES VGV SPA"/>
    <s v="14/01/2026"/>
    <s v="QUINTA"/>
    <x v="1"/>
    <s v="AV AMINSUGAR - 20 L"/>
    <s v="Agroveca"/>
    <s v="Guía de Despacho Electrónica"/>
    <n v="149"/>
    <s v="LTS"/>
    <n v="60"/>
    <n v="255000"/>
    <n v="4250"/>
    <n v="274.19354838709677"/>
    <s v="CLP"/>
    <s v="CHILE"/>
    <d v="2026-05-14T00:00:00"/>
    <s v="AV"/>
    <m/>
    <m/>
  </r>
  <r>
    <x v="0"/>
    <s v="77.576.071-0"/>
    <s v="AGRICOLA E INVERSIONES VGV SPA"/>
    <s v="14/01/2026"/>
    <s v="QUINTA"/>
    <x v="1"/>
    <s v="AV ALGAP 30 - 20 L"/>
    <s v="Agroveca"/>
    <s v="Guía de Despacho Electrónica"/>
    <n v="149"/>
    <s v="LTS"/>
    <n v="60"/>
    <n v="246000"/>
    <n v="4100"/>
    <n v="264.51612903225805"/>
    <s v="CLP"/>
    <s v="CHILE"/>
    <d v="2026-05-14T00:00:00"/>
    <s v="AV"/>
    <m/>
    <m/>
  </r>
  <r>
    <x v="0"/>
    <s v="76.351.331-9"/>
    <s v="ACEITE DE OLIVA ANA MARIA MONSALVE NAVES E.I.R.L"/>
    <s v="15/01/2026"/>
    <s v="QUINTA"/>
    <x v="0"/>
    <s v="AV PLUS MICRO MIX - 20 L"/>
    <s v="Agroveca"/>
    <s v="Factura Electrónica"/>
    <n v="434"/>
    <s v="LITROS"/>
    <n v="20"/>
    <n v="0"/>
    <n v="0"/>
    <n v="133.33333333333334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MICRO MIX - 5 L"/>
    <s v="Agroveca"/>
    <s v="Factura Electrónica"/>
    <n v="434"/>
    <s v="LITROS"/>
    <n v="10"/>
    <n v="0"/>
    <n v="0"/>
    <n v="66.666666666666671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BORO - 20 L"/>
    <s v="Agroveca"/>
    <s v="Factura Electrónica"/>
    <n v="434"/>
    <s v="LITROS"/>
    <n v="20"/>
    <n v="0"/>
    <n v="0"/>
    <n v="111.82795698924731"/>
    <s v="CLP"/>
    <s v="CHILE"/>
    <d v="2026-02-14T00:00:00"/>
    <s v="AV"/>
    <m/>
    <m/>
  </r>
  <r>
    <x v="0"/>
    <s v="77.611.026-4"/>
    <s v="AGRODONI LIMITADA"/>
    <s v="15/01/2026"/>
    <s v="SEXTA"/>
    <x v="4"/>
    <s v="AV BALANCE X 20LT"/>
    <s v="Agroveca"/>
    <s v="Factura Electrónica"/>
    <n v="435"/>
    <s v="LTS"/>
    <n v="30"/>
    <n v="396900"/>
    <n v="13230"/>
    <n v="426.77419354838707"/>
    <s v="CLP"/>
    <s v="CHILE"/>
    <d v="2026-01-15T00:00:00"/>
    <s v="AV"/>
    <m/>
    <m/>
  </r>
  <r>
    <x v="0"/>
    <s v="77.611.026-4"/>
    <s v="AGRODONI LIMITADA"/>
    <s v="15/01/2026"/>
    <s v="SEXTA"/>
    <x v="4"/>
    <s v="AV MOVE X 20LT"/>
    <s v="Agroveca"/>
    <s v="Factura Electrónica"/>
    <n v="435"/>
    <s v="LTS"/>
    <n v="20"/>
    <n v="158760"/>
    <n v="7938"/>
    <n v="170.70967741935485"/>
    <s v="CLP"/>
    <s v="CHILE"/>
    <d v="2026-01-15T00:00:00"/>
    <s v="AV"/>
    <m/>
    <m/>
  </r>
  <r>
    <x v="0"/>
    <s v="77.980.980-3"/>
    <s v="AGRICOLA GEOAGRO LTDA"/>
    <s v="15/01/2026"/>
    <s v="SEXTA"/>
    <x v="0"/>
    <s v="AV MOVE X 20LT"/>
    <s v="Agroveca"/>
    <s v="Factura Electrónica"/>
    <n v="441"/>
    <s v="LTS"/>
    <n v="40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5LT"/>
    <s v="Agroveca"/>
    <s v="Factura Electrónica"/>
    <n v="441"/>
    <s v="LTS"/>
    <n v="5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1LT"/>
    <s v="Agroveca"/>
    <s v="Factura Electrónica"/>
    <n v="441"/>
    <s v="LTS"/>
    <n v="1"/>
    <n v="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20LT"/>
    <s v="Agroveca"/>
    <s v="Factura Electrónica"/>
    <n v="442"/>
    <s v="LTS"/>
    <n v="200"/>
    <n v="0"/>
    <n v="0"/>
    <n v="0"/>
    <s v="CLP"/>
    <s v="CHILE"/>
    <d v="2026-04-15T00:00:00"/>
    <s v="AV"/>
    <s v="Guia N 151"/>
    <d v="2026-01-15T00:00:00"/>
  </r>
  <r>
    <x v="0"/>
    <s v="77.980.980-3"/>
    <s v="AGRICOLA GEOAGRO LTDA"/>
    <s v="15/01/2026"/>
    <s v="SEXTA "/>
    <x v="0"/>
    <s v="AV MOVE X 20LT"/>
    <s v="Agroveca"/>
    <s v="Guía de Despacho Electrónica"/>
    <n v="150"/>
    <s v="LTS"/>
    <n v="40"/>
    <n v="300000"/>
    <n v="7500"/>
    <n v="322.58064516129031"/>
    <s v="CLP"/>
    <s v="CHILE"/>
    <d v="2026-04-15T00:00:00"/>
    <s v="AV"/>
    <m/>
    <m/>
  </r>
  <r>
    <x v="0"/>
    <s v="77.980.980-3"/>
    <s v="AGRICOLA GEOAGRO LTDA"/>
    <s v="15/01/2026"/>
    <s v="SEXTA "/>
    <x v="0"/>
    <s v="AV MOVE X 5LT"/>
    <s v="Agroveca"/>
    <s v="Guía de Despacho Electrónica"/>
    <n v="150"/>
    <s v="LTS"/>
    <n v="5"/>
    <n v="37500"/>
    <n v="7500"/>
    <n v="40.322580645161288"/>
    <s v="CLP"/>
    <s v="CHILE"/>
    <d v="2026-04-15T00:00:00"/>
    <s v="AV"/>
    <m/>
    <m/>
  </r>
  <r>
    <x v="0"/>
    <s v="77.980.980-3"/>
    <s v="AGRICOLA GEOAGRO LTDA"/>
    <s v="15/01/2026"/>
    <s v="SEXTA "/>
    <x v="0"/>
    <s v="AV MOVE X 1LT"/>
    <s v="Agroveca"/>
    <s v="Guía de Despacho Electrónica"/>
    <n v="150"/>
    <s v="LTS"/>
    <n v="1"/>
    <n v="7500"/>
    <n v="7500"/>
    <n v="8.064516129032258"/>
    <s v="CLP"/>
    <s v="CHILE"/>
    <d v="2026-04-15T00:00:00"/>
    <s v="AV"/>
    <m/>
    <m/>
  </r>
  <r>
    <x v="0"/>
    <s v="77.980.980-3"/>
    <s v="AGRICOLA GEOAGRO LTDA"/>
    <s v="15/01/2026"/>
    <s v="SEXTA "/>
    <x v="0"/>
    <s v="AV MOVE X 20LT"/>
    <s v="Agroveca"/>
    <s v="Guía de Despacho Electrónica"/>
    <n v="151"/>
    <s v="LTS"/>
    <n v="200"/>
    <n v="1500000"/>
    <n v="7500"/>
    <n v="1612.9032258064517"/>
    <s v="CLP"/>
    <s v="CHILE"/>
    <d v="2026-04-15T00:00:00"/>
    <s v="AV"/>
    <m/>
    <m/>
  </r>
  <r>
    <x v="0"/>
    <s v="77.036.196-6"/>
    <s v="SOCIEDAD COMERCIAL RYN SPA"/>
    <s v="15/01/2026"/>
    <s v="SEXTA "/>
    <x v="4"/>
    <s v="AV PLUS CALCIO BORO - 20 L"/>
    <s v="Agroveca"/>
    <s v="Guía de Despacho Electrónica"/>
    <n v="152"/>
    <s v="LITROS"/>
    <n v="40"/>
    <n v="152206"/>
    <n v="3805.15"/>
    <n v="163.66236559139784"/>
    <s v="CLP"/>
    <s v="CHILE"/>
    <d v="2026-05-15T00:00:00"/>
    <s v="AV"/>
    <m/>
    <m/>
  </r>
  <r>
    <x v="0"/>
    <s v="76.756.815-0"/>
    <s v="AGRICOLA SANTA INES DE MALLOA LIMITADA"/>
    <s v="15/01/2026"/>
    <s v="SEXTA"/>
    <x v="0"/>
    <s v="AV MOVE - 20 L"/>
    <s v="Agroveca"/>
    <s v="Guía de Despacho Electrónica"/>
    <n v="153"/>
    <s v="LITROS"/>
    <n v="100"/>
    <n v="750000"/>
    <n v="7500"/>
    <n v="806.45161290322585"/>
    <s v="CLP"/>
    <s v="CHILE"/>
    <d v="2026-05-15T00:00:00"/>
    <s v="AV"/>
    <m/>
    <m/>
  </r>
  <r>
    <x v="0"/>
    <s v="76.756.815-0"/>
    <s v="AGRICOLA SANTA INES DE MALLOA LIMITADA"/>
    <s v="16/01/2026"/>
    <s v="SEXTA"/>
    <x v="0"/>
    <s v="AV MOVE - 20 L"/>
    <s v="Agroveca"/>
    <s v="Factura Electrónica"/>
    <n v="443"/>
    <s v="LITROS"/>
    <n v="100"/>
    <n v="0"/>
    <n v="0"/>
    <n v="0"/>
    <s v="CLP"/>
    <s v="CHILE"/>
    <d v="2026-05-15T00:00:00"/>
    <s v="AV"/>
    <s v="Guia N 153"/>
    <d v="2026-01-15T00:00:00"/>
  </r>
  <r>
    <x v="0"/>
    <s v="77.980.980-3"/>
    <s v="AGRICOLA GEOAGRO LTDA"/>
    <s v="16/01/2026"/>
    <s v="SEXTA"/>
    <x v="0"/>
    <s v="AV MOVE - 20 L"/>
    <s v="Agroveca"/>
    <s v="Factura Electrónica"/>
    <n v="444"/>
    <s v="LITROS"/>
    <n v="320"/>
    <n v="2400000"/>
    <n v="7500"/>
    <n v="2580.6451612903224"/>
    <s v="CLP"/>
    <s v="CHILE"/>
    <d v="2026-05-11T00:00:00"/>
    <s v="AV"/>
    <m/>
    <m/>
  </r>
  <r>
    <x v="0"/>
    <s v="76.351.331-9"/>
    <s v="ACEITE DE OLIVA ANA MARIA MONSALVE NAVES E.I.R.L"/>
    <s v="16/01/2026"/>
    <s v="QUINTA"/>
    <x v="0"/>
    <s v="AV PLUS MICRO MIX - 20 L"/>
    <s v="Agroveca"/>
    <s v="Factura Electrónica"/>
    <n v="445"/>
    <s v="LITROS"/>
    <n v="20"/>
    <n v="124000"/>
    <n v="6200"/>
    <n v="133.33333333333334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MICRO MIX - 5 L"/>
    <s v="Agroveca"/>
    <s v="Factura Electrónica"/>
    <n v="445"/>
    <s v="LITROS"/>
    <n v="10"/>
    <n v="62000"/>
    <n v="6200"/>
    <n v="66.666666666666671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CALCIO BORO - 20 L"/>
    <s v="Agroveca"/>
    <s v="Factura Electrónica"/>
    <n v="445"/>
    <s v="LITROS"/>
    <n v="20"/>
    <n v="124000"/>
    <n v="6200"/>
    <n v="133.33333333333334"/>
    <s v="CLP"/>
    <s v="CHILE"/>
    <d v="2026-01-16T00:00:00"/>
    <s v="AV"/>
    <m/>
    <m/>
  </r>
  <r>
    <x v="0"/>
    <s v="78.223.261-4"/>
    <s v="AGRICOLA TOMATERRA SPA"/>
    <s v="16/01/2026"/>
    <s v="QUINTA"/>
    <x v="1"/>
    <s v="AV BIOVECA RAIZ - 500 GR"/>
    <s v="Agroveca"/>
    <s v="Factura Electrónica"/>
    <n v="446"/>
    <s v="UNIDAD"/>
    <n v="3"/>
    <n v="105000"/>
    <n v="35000"/>
    <n v="112.90322580645162"/>
    <s v="CLP"/>
    <s v="CHILE"/>
    <d v="2026-01-16T00:00:00"/>
    <s v="AV"/>
    <m/>
    <m/>
  </r>
  <r>
    <x v="0"/>
    <s v="79.673.320-9"/>
    <s v="SOC AGRICOLA PALO ALTO LIMITADA"/>
    <s v="16/01/2026"/>
    <s v="SEXTA"/>
    <x v="0"/>
    <s v="AV MOVE - 20 L"/>
    <s v="Agroveca"/>
    <s v="Guía de Despacho Electrónica"/>
    <n v="154"/>
    <s v="LITROS"/>
    <n v="400"/>
    <n v="3400000"/>
    <n v="8500"/>
    <n v="3655.9139784946237"/>
    <s v="CLP"/>
    <s v="CHILE"/>
    <d v="2026-08-30T00:00:00"/>
    <s v="AV"/>
    <m/>
    <m/>
  </r>
  <r>
    <x v="0"/>
    <s v="14.284.877-5"/>
    <s v="CARLOS HUMBERTO CASTRO VALENZUELA"/>
    <s v="16/01/2026"/>
    <s v="SEXTA"/>
    <x v="0"/>
    <s v="AV MAX FULVIC 45% - 5 L"/>
    <s v="Agroveca"/>
    <s v="Guía de Despacho Electrónica"/>
    <n v="155"/>
    <s v="LITROS"/>
    <n v="10"/>
    <n v="42000"/>
    <n v="4200"/>
    <n v="45.161290322580648"/>
    <s v="CLP"/>
    <s v="CHILE"/>
    <d v="2026-03-17T00:00:00"/>
    <s v="AV"/>
    <m/>
    <m/>
  </r>
  <r>
    <x v="0"/>
    <s v="14.284.877-5"/>
    <s v="CARLOS HUMBERTO CASTRO VALENZUELA"/>
    <s v="16/01/2026"/>
    <s v="SEXTA"/>
    <x v="0"/>
    <s v="AV SILFORTE - 5 L"/>
    <s v="Agrocomercial"/>
    <s v="Guía de Despacho Electrónica"/>
    <n v="155"/>
    <s v="LITROS"/>
    <n v="10"/>
    <n v="125000"/>
    <n v="12500"/>
    <n v="134.40860215053763"/>
    <s v="CLP"/>
    <s v="CHILE"/>
    <d v="2026-03-17T00:00:00"/>
    <s v="AV"/>
    <m/>
    <m/>
  </r>
  <r>
    <x v="0"/>
    <s v="21.974.115-4"/>
    <s v="BENJAMIN FRANCISCO FARIAS VERA"/>
    <s v="16/01/2026"/>
    <s v="SEXTA"/>
    <x v="0"/>
    <s v="AV HUMIC ROOT - 20 L"/>
    <s v="Agrocomercial"/>
    <s v="Guía de Despacho Electrónica"/>
    <n v="156"/>
    <s v="LITROS"/>
    <n v="100"/>
    <n v="350000"/>
    <n v="3500"/>
    <n v="376.3440860215054"/>
    <s v="CLP"/>
    <s v="CHILE"/>
    <d v="2026-05-31T00:00:00"/>
    <s v="AV"/>
    <m/>
    <m/>
  </r>
  <r>
    <x v="0"/>
    <s v="21.974.115-4"/>
    <s v="BENJAMIN FRANCISCO FARIAS VERA"/>
    <s v="16/01/2026"/>
    <s v="SEXTA"/>
    <x v="0"/>
    <s v="AV ROOT MAX - 5 L"/>
    <s v="Agrocomercial"/>
    <s v="Guía de Despacho Electrónica"/>
    <n v="156"/>
    <s v="LITROS"/>
    <n v="10"/>
    <n v="100000"/>
    <n v="10000"/>
    <n v="107.52688172043011"/>
    <s v="CLP"/>
    <s v="CHILE"/>
    <d v="2026-05-31T00:00:00"/>
    <s v="AV"/>
    <m/>
    <m/>
  </r>
  <r>
    <x v="0"/>
    <s v="77.758.114-7"/>
    <s v="SOCIEDAD AGRÍCOLA COMERCIAL SIEMBRA SPA"/>
    <s v="16/01/2026"/>
    <s v="SEXTA"/>
    <x v="4"/>
    <s v="AV BIOSOLARIS - 1 L"/>
    <s v="Agrocomercial"/>
    <s v="Guía de Despacho Electrónica"/>
    <n v="157"/>
    <s v="LITROS"/>
    <n v="12"/>
    <n v="120000"/>
    <n v="10000"/>
    <n v="129.03225806451613"/>
    <s v="CLP"/>
    <s v="CHILE"/>
    <d v="2026-02-15T00:00:00"/>
    <s v="AV"/>
    <m/>
    <m/>
  </r>
  <r>
    <x v="0"/>
    <s v="77.758.114-7"/>
    <s v="SOCIEDAD AGRÍCOLA COMERCIAL SIEMBRA SPA"/>
    <s v="16/01/2026"/>
    <s v="SEXTA"/>
    <x v="4"/>
    <s v="AV BALANCE - 1 L"/>
    <s v="Agrocomercial"/>
    <s v="Guía de Despacho Electrónica"/>
    <n v="157"/>
    <s v="LITROS"/>
    <n v="6"/>
    <n v="54000"/>
    <n v="9000"/>
    <n v="58.064516129032256"/>
    <s v="CLP"/>
    <s v="CHILE"/>
    <d v="2026-02-15T00:00:00"/>
    <s v="AV"/>
    <m/>
    <m/>
  </r>
  <r>
    <x v="0"/>
    <s v="77.576.071-0"/>
    <s v="AGRICOLA E INVERSIONES VGV SPA"/>
    <s v="18/01/2026"/>
    <s v="QUINTA"/>
    <x v="1"/>
    <s v="AV PLUS POTASIO - 20 L"/>
    <s v="Agrocomercial"/>
    <s v="Guía de Despacho Electrónica"/>
    <n v="158"/>
    <s v="LITROS"/>
    <n v="100"/>
    <n v="270000"/>
    <n v="2700"/>
    <n v="290.32258064516128"/>
    <s v="CLP"/>
    <s v="CHILE"/>
    <d v="2026-05-15T00:00:00"/>
    <s v="AV"/>
    <m/>
    <m/>
  </r>
  <r>
    <x v="0"/>
    <s v="77.278.317-5"/>
    <s v="SOCIEDAD AGRICOLA CESEP LIMITADA"/>
    <s v="19/01/2026"/>
    <s v="SEXTA"/>
    <x v="4"/>
    <s v="AV AMIN - 5 L"/>
    <s v="Agrocomercial"/>
    <s v="Factura Electrónica"/>
    <n v="447"/>
    <s v="LITROS"/>
    <n v="5"/>
    <n v="30975"/>
    <n v="6195"/>
    <n v="33.306451612903224"/>
    <s v="CLP"/>
    <s v="CHILE"/>
    <d v="2026-05-15T00:00:00"/>
    <s v="AV"/>
    <m/>
    <m/>
  </r>
  <r>
    <x v="0"/>
    <s v="77.278.317-5"/>
    <s v="SOCIEDAD AGRICOLA CESEP LIMITADA"/>
    <s v="19/01/2026"/>
    <s v="SEXTA"/>
    <x v="4"/>
    <s v="AV PLUS ZINC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GNESIO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BLOOM - 5 L"/>
    <s v="Agrocomercial"/>
    <s v="Factura Electrónica"/>
    <n v="447"/>
    <s v="LITROS"/>
    <n v="5"/>
    <n v="39830"/>
    <n v="7966"/>
    <n v="42.827956989247312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NGANESO - 5 L"/>
    <s v="Agrocomercial"/>
    <s v="Factura Electrónica"/>
    <n v="447"/>
    <s v="LITROS"/>
    <n v="5"/>
    <n v="24790"/>
    <n v="4958"/>
    <n v="26.655913978494624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HIERRO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ICRO MIX - 5 L"/>
    <s v="Agrocomercial"/>
    <s v="Factura Electrónica"/>
    <n v="447"/>
    <s v="LITROS"/>
    <n v="5"/>
    <n v="17700"/>
    <n v="3540"/>
    <n v="19.032258064516128"/>
    <s v="CLP"/>
    <s v="CHILE"/>
    <d v="2026-01-19T00:00:00"/>
    <s v="AV"/>
    <m/>
    <m/>
  </r>
  <r>
    <x v="0"/>
    <s v="13.542.282-7"/>
    <s v="FRANCISCO JAVIER CHAVES SAN MARTIN"/>
    <s v="19/01/2026"/>
    <s v="QUINTA"/>
    <x v="1"/>
    <s v="VECA AMIN SUGAR - 20 L"/>
    <s v="Agroveca"/>
    <s v="Factura Electrónica"/>
    <n v="448"/>
    <s v="LITROS"/>
    <n v="40"/>
    <n v="0"/>
    <n v="0"/>
    <n v="0"/>
    <s v="CLP"/>
    <s v="CHILE"/>
    <d v="2026-01-30T00:00:00"/>
    <s v="AV"/>
    <s v="GUIA AV 529"/>
    <d v="2025-02-18T00:00:00"/>
  </r>
  <r>
    <x v="0"/>
    <s v="13.542.282-7"/>
    <s v="FRANCISCO JAVIER CHAVES SAN MARTIN"/>
    <s v="19/01/2026"/>
    <s v="QUINTA"/>
    <x v="1"/>
    <s v="K-DEFEND MAX - 20 L"/>
    <s v="Agroveca"/>
    <s v="Factura Electrónica"/>
    <n v="448"/>
    <s v="LITROS"/>
    <n v="40"/>
    <n v="0"/>
    <n v="0"/>
    <n v="0"/>
    <s v="CLP"/>
    <s v="CHILE"/>
    <d v="2026-01-30T00:00:00"/>
    <s v="AV"/>
    <s v="GUIA AV 529"/>
    <d v="2025-02-18T00:00:00"/>
  </r>
  <r>
    <x v="0"/>
    <s v="6.482.678-6"/>
    <s v="MANUEL JESUS CHAVES CALDERON"/>
    <s v="19/01/2026"/>
    <s v="QUINTA"/>
    <x v="1"/>
    <s v="VECA AMIN SUGAR - 20 L"/>
    <s v="Agroveca"/>
    <s v="Factura Electrónica"/>
    <n v="449"/>
    <s v="LITROS"/>
    <n v="40"/>
    <n v="0"/>
    <n v="0"/>
    <n v="0"/>
    <s v="CLP"/>
    <s v="CHILE"/>
    <d v="2026-01-30T00:00:00"/>
    <s v="AV"/>
    <s v="GUIA AV 530"/>
    <d v="2025-02-18T00:00:00"/>
  </r>
  <r>
    <x v="0"/>
    <s v="6.482.678-6"/>
    <s v="MANUEL JESUS CHAVES CALDERON"/>
    <s v="19/01/2026"/>
    <s v="QUINTA"/>
    <x v="1"/>
    <s v="K-DEFEND MAX - 20 L"/>
    <s v="Agroveca"/>
    <s v="Factura Electrónica"/>
    <n v="449"/>
    <s v="LITROS"/>
    <n v="40"/>
    <n v="0"/>
    <n v="0"/>
    <n v="0"/>
    <s v="CLP"/>
    <s v="CHILE"/>
    <d v="2026-01-30T00:00:00"/>
    <s v="AV"/>
    <s v="GUIA AV 530"/>
    <d v="2025-02-18T00:00:00"/>
  </r>
  <r>
    <x v="0"/>
    <s v="76.442.085-3"/>
    <s v="AGRICOLA TUNICHE LIMITADA"/>
    <s v="19/01/2026"/>
    <s v="SEXTA"/>
    <x v="4"/>
    <s v="AV PLUS POTASIO - 20 L"/>
    <s v="Agroveca"/>
    <s v="Guía de Despacho Electrónica"/>
    <n v="159"/>
    <s v="LITROS"/>
    <n v="20"/>
    <n v="62000"/>
    <n v="3100"/>
    <n v="66.666666666666671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5 L"/>
    <s v="Agroveca"/>
    <s v="Guía de Despacho Electrónica"/>
    <n v="159"/>
    <s v="LITROS"/>
    <n v="15"/>
    <n v="46500"/>
    <n v="3100"/>
    <n v="5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1 L"/>
    <s v="Agroveca"/>
    <s v="Guía de Despacho Electrónica"/>
    <n v="159"/>
    <s v="LITROS"/>
    <n v="1"/>
    <n v="3100"/>
    <n v="3100"/>
    <n v="3.3333333333333335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5 L"/>
    <s v="Agroveca"/>
    <s v="Guía de Despacho Electrónica"/>
    <n v="159"/>
    <s v="LITROS"/>
    <n v="5"/>
    <n v="15500"/>
    <n v="3100"/>
    <n v="16.666666666666668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1 L"/>
    <s v="Agroveca"/>
    <s v="Guía de Despacho Electrónica"/>
    <n v="159"/>
    <s v="LITROS"/>
    <n v="3"/>
    <n v="9300"/>
    <n v="3100"/>
    <n v="10"/>
    <s v="CLP"/>
    <s v="CHILE"/>
    <d v="2026-03-20T00:00:00"/>
    <s v="AV"/>
    <m/>
    <m/>
  </r>
  <r>
    <x v="0"/>
    <s v="96.661.820-5"/>
    <s v="COMERCIAL COPELEC SA"/>
    <s v="19/01/2026"/>
    <s v="ÑUBLE"/>
    <x v="2"/>
    <s v="ALGAP 30 - 1 L"/>
    <s v="Agroveca"/>
    <s v="Guía de Despacho Electrónica"/>
    <n v="160"/>
    <s v="LTS"/>
    <n v="12"/>
    <n v="110100"/>
    <n v="9175"/>
    <n v="118.38709677419355"/>
    <s v="CLP"/>
    <s v="CHILE"/>
    <d v="2026-02-18T00:00:00"/>
    <s v="AV"/>
    <m/>
    <m/>
  </r>
  <r>
    <x v="0"/>
    <s v="96.661.820-5"/>
    <s v="COMERCIAL COPELEC SA"/>
    <s v="19/01/2026"/>
    <s v="ÑUBLE"/>
    <x v="2"/>
    <s v="VECA NUTRI MIX - 1 L"/>
    <s v="Agroveca"/>
    <s v="Guía de Despacho Electrónica"/>
    <n v="160"/>
    <s v="LTS"/>
    <n v="24"/>
    <n v="146160"/>
    <n v="6090"/>
    <n v="157.16129032258064"/>
    <s v="CLP"/>
    <s v="CHILE"/>
    <d v="2026-02-18T00:00:00"/>
    <s v="AV"/>
    <m/>
    <m/>
  </r>
  <r>
    <x v="0"/>
    <s v="96.661.820-5"/>
    <s v="COMERCIAL COPELEC SA"/>
    <s v="19/01/2026"/>
    <s v="ÑUBLE"/>
    <x v="2"/>
    <s v="VECA AMIN - 1 L"/>
    <s v="Agroveca"/>
    <s v="Guía de Despacho Electrónica"/>
    <n v="160"/>
    <s v="LTS"/>
    <n v="36"/>
    <n v="330300"/>
    <n v="9175"/>
    <n v="355.16129032258067"/>
    <s v="CLP"/>
    <s v="CHILE"/>
    <d v="2026-02-18T00:00:00"/>
    <s v="AV"/>
    <m/>
    <m/>
  </r>
  <r>
    <x v="0"/>
    <s v="96.661.820-5"/>
    <s v="COMERCIAL COPELEC SA"/>
    <s v="19/01/2026"/>
    <s v="ÑUBLE"/>
    <x v="2"/>
    <s v="VECA PLUS MAGNESIO - 1 L"/>
    <s v="Agroveca"/>
    <s v="Guía de Despacho Electrónica"/>
    <n v="160"/>
    <s v="LTS"/>
    <n v="12"/>
    <n v="73392"/>
    <n v="6116"/>
    <n v="78.91612903225807"/>
    <s v="CLP"/>
    <s v="CHILE"/>
    <d v="2026-02-18T00:00:00"/>
    <s v="AV"/>
    <m/>
    <m/>
  </r>
  <r>
    <x v="0"/>
    <s v="96.661.820-5"/>
    <s v="COMERCIAL COPELEC SA"/>
    <s v="19/01/2026"/>
    <s v="ÑUBLE"/>
    <x v="2"/>
    <s v="VECA PLUS POTASIO - 1 L"/>
    <s v="Agroveca"/>
    <s v="Guía de Despacho Electrónica"/>
    <n v="160"/>
    <s v="LTS"/>
    <n v="48"/>
    <n v="293568"/>
    <n v="6116"/>
    <n v="315.66451612903228"/>
    <s v="CLP"/>
    <s v="CHILE"/>
    <d v="2026-02-18T00:00:00"/>
    <s v="AV"/>
    <m/>
    <m/>
  </r>
  <r>
    <x v="0"/>
    <s v="96.661.820-5"/>
    <s v="COMERCIAL COPELEC SA"/>
    <s v="19/01/2026"/>
    <s v="ÑUBLE"/>
    <x v="2"/>
    <s v="VECA PLUS CALCIO BORO - 1 L"/>
    <s v="Agroveca"/>
    <s v="Guía de Despacho Electrónica"/>
    <n v="160"/>
    <s v="LTS"/>
    <n v="36"/>
    <n v="242208"/>
    <n v="6728"/>
    <n v="260.43870967741935"/>
    <s v="CLP"/>
    <s v="CHILE"/>
    <d v="2026-02-18T00:00:00"/>
    <s v="AV"/>
    <m/>
    <m/>
  </r>
  <r>
    <x v="0"/>
    <s v="76.442.085-3"/>
    <s v="AGRICOLA TUNICHE LIMITADA"/>
    <s v="20/01/2026"/>
    <s v="SEXTA"/>
    <x v="4"/>
    <s v="VECA  PLUS MAGNESIO x 5LT"/>
    <s v="Agroveca"/>
    <s v="Factura Electrónica"/>
    <n v="450"/>
    <s v="LTS"/>
    <n v="15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 PLUS MAGNESIO x 1LT"/>
    <s v="Agroveca"/>
    <s v="Factura Electrónica"/>
    <n v="450"/>
    <s v="LTS"/>
    <n v="1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20LT"/>
    <s v="Agroveca"/>
    <s v="Factura Electrónica"/>
    <n v="450"/>
    <s v="LTS"/>
    <n v="20"/>
    <n v="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5LT"/>
    <s v="Agroveca"/>
    <s v="Factura Electrónica"/>
    <n v="450"/>
    <s v="LTS"/>
    <n v="10"/>
    <n v="0"/>
    <n v="0"/>
    <n v="0"/>
    <s v="CLP"/>
    <s v="CHILE"/>
    <d v="2026-02-28T00:00:00"/>
    <s v="AV"/>
    <s v="GUIA 125"/>
    <d v="2025-12-29T00:00:00"/>
  </r>
  <r>
    <x v="0"/>
    <s v="78.061.253-3"/>
    <s v="AGRICOLA DON PEDRO SPA"/>
    <s v="20/01/2026"/>
    <s v="METROPOLITANA"/>
    <x v="0"/>
    <s v="AV ALGAP 30 - 20 L"/>
    <s v="Agrocomercial"/>
    <s v="Factura Electrónica"/>
    <n v="451"/>
    <s v="LITROS"/>
    <n v="20"/>
    <n v="80000"/>
    <n v="4000"/>
    <n v="86.021505376344081"/>
    <s v="CLP"/>
    <s v="CHILE"/>
    <d v="2026-04-20T00:00:00"/>
    <s v="AV"/>
    <m/>
    <m/>
  </r>
  <r>
    <x v="0"/>
    <s v="78.061.253-3"/>
    <s v="AGRICOLA DON PEDRO SPA"/>
    <s v="20/01/2026"/>
    <s v="METROPOLITANA"/>
    <x v="0"/>
    <s v="AV ALGAP 30 - 5 L"/>
    <s v="Agrocomercial"/>
    <s v="Factura Electrónica"/>
    <n v="451"/>
    <s v="LITROS"/>
    <n v="10"/>
    <n v="40000"/>
    <n v="4000"/>
    <n v="43.01075268817204"/>
    <s v="CLP"/>
    <s v="CHILE"/>
    <d v="2026-04-20T00:00:00"/>
    <s v="AV"/>
    <m/>
    <m/>
  </r>
  <r>
    <x v="0"/>
    <s v="78.061.253-3"/>
    <s v="AGRICOLA DON PEDRO SPA"/>
    <s v="20/01/2026"/>
    <s v="METROPOLITANA"/>
    <x v="0"/>
    <s v="AV SILFORTE - 20 L"/>
    <s v="Agrocomercial"/>
    <s v="Factura Electrónica"/>
    <n v="451"/>
    <s v="LITROS"/>
    <n v="120"/>
    <n v="1404000"/>
    <n v="11700"/>
    <n v="1509.6774193548388"/>
    <s v="CLP"/>
    <s v="CHILE"/>
    <d v="2026-04-20T00:00:00"/>
    <s v="AV"/>
    <m/>
    <m/>
  </r>
  <r>
    <x v="0"/>
    <s v="78.061.253-3"/>
    <s v="AGRICOLA DON PEDRO SPA"/>
    <s v="20/01/2026"/>
    <s v="METROPOLITANA"/>
    <x v="0"/>
    <s v="AV CYTO PRIME - 5 L"/>
    <s v="Agrocomercial"/>
    <s v="Factura Electrónica"/>
    <n v="451"/>
    <s v="LITROS"/>
    <n v="10"/>
    <n v="149000"/>
    <n v="14900"/>
    <n v="160.21505376344086"/>
    <s v="CLP"/>
    <s v="CHILE"/>
    <d v="2026-04-20T00:00:00"/>
    <s v="AV"/>
    <m/>
    <m/>
  </r>
  <r>
    <x v="0"/>
    <s v="78.223.261-4"/>
    <s v="AGRICOLA TOMATERRA SPA"/>
    <s v="20/01/2026"/>
    <s v="QUINTA"/>
    <x v="1"/>
    <s v="AV ROOT MAX - 20 L"/>
    <s v="Agrocomercial"/>
    <s v="Factura Electrónica"/>
    <n v="452"/>
    <s v="LITROS"/>
    <n v="20"/>
    <n v="170000"/>
    <n v="8500"/>
    <n v="182.79569892473117"/>
    <s v="CLP"/>
    <s v="CHILE"/>
    <d v="2026-01-20T00:00:00"/>
    <s v="AV"/>
    <m/>
    <m/>
  </r>
  <r>
    <x v="0"/>
    <s v="5.280.371-3"/>
    <s v="JUAN FRANCISCO VARGAS MANCILLA"/>
    <s v="20/01/2026"/>
    <s v="LOS LAGOS"/>
    <x v="3"/>
    <s v="AV PLUS POTASIO - 5 L"/>
    <s v="Agrocomercial"/>
    <s v="Factura Electrónica"/>
    <n v="453"/>
    <s v="LITROS"/>
    <n v="10"/>
    <n v="53320"/>
    <n v="5332"/>
    <n v="57.333333333333336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POTASIO - 1 L"/>
    <s v="Agrocomercial"/>
    <s v="Factura Electrónica"/>
    <n v="453"/>
    <s v="LITROS"/>
    <n v="2"/>
    <n v="14219"/>
    <n v="7109.5"/>
    <n v="15.289247311827957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CALCIO BORO - 5 L"/>
    <s v="Agrocomercial"/>
    <s v="Factura Electrónica"/>
    <n v="453"/>
    <s v="LITROS"/>
    <n v="5"/>
    <n v="31103"/>
    <n v="6220.6"/>
    <n v="33.444086021505377"/>
    <s v="CLP"/>
    <s v="CHILE"/>
    <d v="2026-03-21T00:00:00"/>
    <s v="AV"/>
    <m/>
    <m/>
  </r>
  <r>
    <x v="0"/>
    <s v="5.280.371-3"/>
    <s v="JUAN FRANCISCO VARGAS MANCILLA"/>
    <s v="20/01/2026"/>
    <s v="LOS LAGOS"/>
    <x v="3"/>
    <s v="AV MOVE - 5 L"/>
    <s v="Agrocomercial"/>
    <s v="Factura Electrónica"/>
    <n v="453"/>
    <s v="LITROS"/>
    <n v="5"/>
    <n v="44433"/>
    <n v="8886.6"/>
    <n v="47.777419354838713"/>
    <s v="CLP"/>
    <s v="CHILE"/>
    <d v="2026-03-21T00:00:00"/>
    <s v="AV"/>
    <m/>
    <m/>
  </r>
  <r>
    <x v="0"/>
    <s v="13.535.138-5"/>
    <s v="MARCELA ANDREA DUBO ORDENES"/>
    <s v="20/01/2026"/>
    <s v="CUARTA"/>
    <x v="0"/>
    <s v="BIOVECA FOLIAR - 250 GRS"/>
    <s v="Agrocomercial"/>
    <s v="Factura Electrónica"/>
    <n v="454"/>
    <s v="UN"/>
    <n v="2"/>
    <n v="56000"/>
    <n v="28000"/>
    <n v="60.215053763440864"/>
    <s v="CLP"/>
    <s v="CHILE"/>
    <d v="2026-01-27T00:00:00"/>
    <s v="AV"/>
    <m/>
    <m/>
  </r>
  <r>
    <x v="0"/>
    <s v="11.937.873-7"/>
    <s v="MARITZA DEL PILAR DUBO ORDENES"/>
    <s v="20/01/2026"/>
    <s v="CUARTA"/>
    <x v="0"/>
    <s v="BIOVECA FOLIAR 250 GRS"/>
    <s v="Agrocomercial"/>
    <s v="Factura Electrónica"/>
    <n v="455"/>
    <s v="UN"/>
    <n v="7"/>
    <n v="196000"/>
    <n v="28000"/>
    <n v="210.75268817204301"/>
    <s v="CLP"/>
    <s v="CHILE"/>
    <d v="2026-03-20T00:00:00"/>
    <s v="AV"/>
    <m/>
    <m/>
  </r>
  <r>
    <x v="0"/>
    <s v="11.937.873-7"/>
    <s v="MARITZA DEL PILAR DUBO ORDENES"/>
    <s v="20/01/2026"/>
    <s v="CUARTA"/>
    <x v="0"/>
    <s v="VECASIL FORTE X 20LT"/>
    <s v="Agroveca"/>
    <s v="Factura Electrónica"/>
    <n v="455"/>
    <s v="LITROS"/>
    <n v="20"/>
    <n v="228800"/>
    <n v="11440"/>
    <n v="246.02150537634409"/>
    <s v="CLP"/>
    <s v="CHILE"/>
    <d v="2026-03-20T00:00:00"/>
    <s v="AV"/>
    <m/>
    <m/>
  </r>
  <r>
    <x v="0"/>
    <s v="11.937.873-7"/>
    <s v="MARITZA DEL PILAR DUBO ORDENES"/>
    <s v="20/01/2026"/>
    <s v="CUARTA"/>
    <x v="0"/>
    <s v="AV MICROMIX X 20LT"/>
    <s v="Agroveca"/>
    <s v="Factura Electrónica"/>
    <n v="455"/>
    <s v="LITROS"/>
    <n v="20"/>
    <n v="96000"/>
    <n v="4800"/>
    <n v="103.2258064516129"/>
    <s v="CLP"/>
    <s v="CHILE"/>
    <d v="2026-03-20T00:00:00"/>
    <s v="AV"/>
    <m/>
    <m/>
  </r>
  <r>
    <x v="0"/>
    <s v="77.135.740-7"/>
    <s v="RAUL JOFRE Y COMPAQIA LIMITADA"/>
    <s v="21/01/2026"/>
    <s v="SEXTA"/>
    <x v="4"/>
    <s v="VECA PLUS POTASIO X 1LT"/>
    <s v="Agroveca"/>
    <s v="Factura Electrónica"/>
    <n v="456"/>
    <s v="LITROS"/>
    <n v="11"/>
    <n v="59730"/>
    <n v="5430"/>
    <n v="64.225806451612897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POTASIO X 5LT"/>
    <s v="Agroveca"/>
    <s v="Factura Electrónica"/>
    <n v="456"/>
    <s v="LITROS"/>
    <n v="20"/>
    <n v="81460"/>
    <n v="4073"/>
    <n v="87.591397849462368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1LT"/>
    <s v="Agroveca"/>
    <s v="Factura Electrónica"/>
    <n v="456"/>
    <s v="LITROS"/>
    <n v="7"/>
    <n v="38010"/>
    <n v="5430"/>
    <n v="40.87096774193548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5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1LT"/>
    <s v="Agroveca"/>
    <s v="Factura Electrónica"/>
    <n v="456"/>
    <s v="LITROS"/>
    <n v="5"/>
    <n v="27150"/>
    <n v="5430"/>
    <n v="29.193548387096776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5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BORO_x0009_X 5LT"/>
    <s v="Agroveca"/>
    <s v="Factura Electrónica"/>
    <n v="456"/>
    <s v="LITROS"/>
    <n v="10"/>
    <n v="47510"/>
    <n v="4751"/>
    <n v="51.086021505376344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ZINC X 5 LT"/>
    <s v="Agroveca"/>
    <s v="Factura Electrónica"/>
    <n v="456"/>
    <s v="LITROS"/>
    <n v="5"/>
    <n v="20365"/>
    <n v="4073"/>
    <n v="21.897849462365592"/>
    <s v="CLP"/>
    <s v="CHILE"/>
    <d v="2026-03-30T00:00:00"/>
    <s v="AV"/>
    <m/>
    <m/>
  </r>
  <r>
    <x v="0"/>
    <s v="77.135.740-7"/>
    <s v="RAUL JOFRE Y COMPAQIA LIMITADA"/>
    <s v="21/01/2026"/>
    <s v="SEXTA"/>
    <x v="4"/>
    <s v="VECA ROOT MAX X 1LT"/>
    <s v="Agroveca"/>
    <s v="Factura Electrónica"/>
    <n v="456"/>
    <s v="LITROS"/>
    <n v="4"/>
    <n v="29684"/>
    <n v="7421"/>
    <n v="31.918279569892473"/>
    <s v="CLP"/>
    <s v="CHILE"/>
    <d v="2026-03-30T00:00:00"/>
    <s v="AV"/>
    <m/>
    <m/>
  </r>
  <r>
    <x v="0"/>
    <s v="77.135.740-7"/>
    <s v="RAUL JOFRE Y COMPAQIA LIMITADA"/>
    <s v="21/01/2026"/>
    <s v="SEXTA"/>
    <x v="4"/>
    <s v="PK DEFENDER MAX X 5LT"/>
    <s v="Agroveca"/>
    <s v="Factura Electrónica"/>
    <n v="456"/>
    <s v="LITROS"/>
    <n v="5"/>
    <n v="27150"/>
    <n v="5430"/>
    <n v="29.193548387096776"/>
    <s v="CLP"/>
    <s v="CHILE"/>
    <d v="2026-03-30T00:00:00"/>
    <s v="AV"/>
    <m/>
    <m/>
  </r>
  <r>
    <x v="0"/>
    <s v="77.317.590-K"/>
    <s v="SOCIEDAD AGRICOLA SAN FRANCISCO"/>
    <s v="21/01/2026"/>
    <s v="SEXTA"/>
    <x v="4"/>
    <s v="VECA AMIN SUGAR X 1LT"/>
    <s v="Agroveca"/>
    <s v="Factura Electrónica"/>
    <n v="457"/>
    <s v="LITROS"/>
    <n v="7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SUGAR X 5LT"/>
    <s v="Agroveca"/>
    <s v="Factura Electrónica"/>
    <n v="457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1LT"/>
    <s v="Agroveca"/>
    <s v="Factura Electrónica"/>
    <n v="457"/>
    <s v="LITROS"/>
    <n v="2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7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HIERRO X 5LT"/>
    <s v="Agroveca"/>
    <s v="Factura Electrónica"/>
    <n v="457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5LT"/>
    <s v="Agroveca"/>
    <s v="Factura Electrónica"/>
    <n v="457"/>
    <s v="LITROS"/>
    <n v="3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1LT"/>
    <s v="Agroveca"/>
    <s v="Factura Electrónica"/>
    <n v="457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5LT"/>
    <s v="Agroveca"/>
    <s v="Factura Electrónica"/>
    <n v="457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1LT"/>
    <s v="Agroveca"/>
    <s v="Factura Electrónica"/>
    <n v="457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7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7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7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7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7"/>
    <s v="LITROS"/>
    <n v="6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7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7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5LT"/>
    <s v="Agroveca"/>
    <s v="Factura Electrónica"/>
    <n v="457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20LT"/>
    <s v="Agroveca"/>
    <s v="Factura Electrónica"/>
    <n v="457"/>
    <s v="LITROS"/>
    <n v="10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7"/>
    <s v="LITROS"/>
    <n v="8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1LT"/>
    <s v="Agroveca"/>
    <s v="Factura Electrónica"/>
    <n v="458"/>
    <s v="LITROS"/>
    <n v="2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5LT"/>
    <s v="Agroveca"/>
    <s v="Factura Electrónica"/>
    <n v="458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C HIERRO X 5LT"/>
    <s v="Agroveca"/>
    <s v="Factura Electrónica"/>
    <n v="458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SIL FORTE X 1LT"/>
    <s v="Agroveca"/>
    <s v="Factura Electrónica"/>
    <n v="458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20LT"/>
    <s v="Agroveca"/>
    <s v="Factura Electrónica"/>
    <n v="458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8"/>
    <s v="LITROS"/>
    <n v="8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8"/>
    <s v="LITROS"/>
    <n v="1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1LT"/>
    <s v="Agroveca"/>
    <s v="Factura Electrónica"/>
    <n v="458"/>
    <s v="LITROS"/>
    <n v="1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5LT"/>
    <s v="Agroveca"/>
    <s v="Factura Electrónica"/>
    <n v="458"/>
    <s v="LITROS"/>
    <n v="2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20 LT"/>
    <s v="Agroveca"/>
    <s v="Factura Electrónica"/>
    <n v="458"/>
    <s v="LITROS"/>
    <n v="4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8"/>
    <s v="LITROS"/>
    <n v="9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8"/>
    <s v="LITROS"/>
    <n v="6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ANCE X 5LT"/>
    <s v="Agroveca"/>
    <s v="Factura Electrónica"/>
    <n v="458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9"/>
    <s v="LITROS"/>
    <n v="5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9"/>
    <s v="LITROS"/>
    <n v="2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9"/>
    <s v="LITROS"/>
    <n v="3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9"/>
    <s v="LITROS"/>
    <n v="10"/>
    <n v="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9"/>
    <s v="LITROS"/>
    <n v="1"/>
    <n v="0"/>
    <n v="0"/>
    <n v="0"/>
    <s v="CLP"/>
    <s v="CHILE"/>
    <d v="2026-04-30T00:00:00"/>
    <s v="AV"/>
    <m/>
    <m/>
  </r>
  <r>
    <x v="0"/>
    <s v="78.168.038-9"/>
    <s v="INSUMOS AGRICOLAS RAICES DEL CAMPO SPA"/>
    <s v="21/01/2026"/>
    <s v="METROPOLITANA"/>
    <x v="3"/>
    <s v="VECA MAX FULVIC 45% - 20 L"/>
    <s v="Agroveca"/>
    <s v="Factura Electrónica"/>
    <n v="460"/>
    <s v="LTS"/>
    <n v="200"/>
    <n v="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BIOVECA RAIZ - 500 GR"/>
    <s v="Agroveca"/>
    <s v="Factura Electrónica"/>
    <n v="460"/>
    <s v="UN"/>
    <n v="15"/>
    <n v="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AV BIOVECA RAIZ - 500 GR"/>
    <s v="Agrocomercial"/>
    <s v="Guía de Despacho Electrónica"/>
    <n v="161"/>
    <s v="UNIDAD"/>
    <n v="20"/>
    <n v="351368"/>
    <n v="17568.400000000001"/>
    <n v="860.84516129032261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5 L"/>
    <s v="Agrocomercial"/>
    <s v="Guía de Despacho Electrónica"/>
    <n v="161"/>
    <s v="LITROS"/>
    <n v="40"/>
    <n v="355816"/>
    <n v="8895.4"/>
    <n v="382.59784946236562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1 L"/>
    <s v="Agrocomercial"/>
    <s v="Guía de Despacho Electrónica"/>
    <n v="161"/>
    <s v="LITROS"/>
    <n v="12"/>
    <n v="128094"/>
    <n v="10674.5"/>
    <n v="137.73548387096776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MAX FULVIC 45% - 20 L"/>
    <s v="Agrocomercial"/>
    <s v="Guía de Despacho Electrónica"/>
    <n v="161"/>
    <s v="LITROS"/>
    <n v="120"/>
    <n v="512375"/>
    <n v="4269.791666666667"/>
    <n v="550.94086021505382"/>
    <s v="CLP"/>
    <s v="CHILE"/>
    <d v="2026-03-22T00:00:00"/>
    <s v="AV"/>
    <m/>
    <m/>
  </r>
  <r>
    <x v="0"/>
    <s v="76.412.827-3"/>
    <s v="FRUTICOLA RIO BLANCO SPA"/>
    <s v="22/01/2026"/>
    <s v="METROPOLITANA"/>
    <x v="0"/>
    <s v="AV ROOT MAX - 20 L"/>
    <s v="Agroveca"/>
    <s v="Guía de Despacho Electrónica"/>
    <n v="162"/>
    <s v="LITROS"/>
    <n v="40"/>
    <n v="320000"/>
    <n v="8000"/>
    <n v="344.08602150537632"/>
    <s v="CLP"/>
    <s v="CHILE"/>
    <d v="2026-04-3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64"/>
    <s v="LITROS"/>
    <n v="500"/>
    <n v="2125000"/>
    <n v="4250"/>
    <n v="2284.9462365591398"/>
    <s v="CLP"/>
    <s v="CHILE"/>
    <d v="2026-05-19T00:00:00"/>
    <s v="AV"/>
    <m/>
    <m/>
  </r>
  <r>
    <x v="0"/>
    <s v="77.650.227-8"/>
    <s v="SOCIEDAD AGRICOLA COMERCIAL LA HIGUERA SPA"/>
    <s v="22/01/2026"/>
    <s v="SEXTA"/>
    <x v="3"/>
    <s v="AV MOVE - 5 L"/>
    <s v="Agrocomercial"/>
    <s v="Guía de Despacho Electrónica"/>
    <n v="165"/>
    <s v="LITROS"/>
    <n v="5"/>
    <n v="43911"/>
    <n v="8782.2000000000007"/>
    <n v="47.216129032258067"/>
    <s v="CLP"/>
    <s v="CHILE"/>
    <d v="2026-03-23T00:00:00"/>
    <s v="AV"/>
    <m/>
    <m/>
  </r>
  <r>
    <x v="0"/>
    <s v="6.725.491-0"/>
    <s v="JOSE CRISTOBAL GONZALEZ CORREA"/>
    <s v="23/01/2026"/>
    <s v="SEXTA"/>
    <x v="4"/>
    <s v="AV PLUS POTASIO - 20 L"/>
    <s v="Agroveca"/>
    <s v="Factura Electrónica"/>
    <n v="461"/>
    <s v="LITROS"/>
    <n v="100"/>
    <n v="264000"/>
    <n v="2640"/>
    <n v="283.87096774193549"/>
    <s v="CLP"/>
    <s v="CHILE"/>
    <d v="2026-02-14T00:00:00"/>
    <s v="AV"/>
    <m/>
    <m/>
  </r>
  <r>
    <x v="0"/>
    <s v="17.504.838-3"/>
    <s v="ALUDI ALEJANDRA REYES PEREZ"/>
    <s v="23/01/2026"/>
    <s v="SEXTA"/>
    <x v="4"/>
    <s v="AV15 40-20 - 20 L"/>
    <s v="Agroveca"/>
    <s v="Factura Electrónica"/>
    <n v="462"/>
    <s v="LITROS"/>
    <n v="4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ROOT MAX - 20 L"/>
    <s v="Agroveca"/>
    <s v="Factura Electrónica"/>
    <n v="462"/>
    <s v="LITROS"/>
    <n v="4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HUMIC ROOT - 20 L"/>
    <s v="Agroveca"/>
    <s v="Factura Electrónica"/>
    <n v="462"/>
    <s v="LITROS"/>
    <n v="20"/>
    <n v="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ALGAP 30 - 20 L"/>
    <s v="Agroveca"/>
    <s v="Factura Electrónica"/>
    <n v="462"/>
    <s v="LITROS"/>
    <n v="20"/>
    <n v="0"/>
    <n v="0"/>
    <n v="0"/>
    <s v="CLP"/>
    <s v="CHILE"/>
    <d v="2026-01-23T00:00:00"/>
    <s v="AV"/>
    <s v="GUIA N 169"/>
    <d v="2026-01-23T00:00:00"/>
  </r>
  <r>
    <x v="0"/>
    <s v="96.661.820-5"/>
    <s v="COMERCIAL COPELEC SA"/>
    <s v="23/01/2026"/>
    <s v="ÑUBLE"/>
    <x v="2"/>
    <s v="ALGAP 30 - 1 L"/>
    <s v="Agroveca"/>
    <s v="Factura Electrónica"/>
    <n v="463"/>
    <s v="LTS"/>
    <n v="12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NUTRI MIX - 1 L"/>
    <s v="Agroveca"/>
    <s v="Factura Electrónica"/>
    <n v="463"/>
    <s v="LTS"/>
    <n v="24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AMIN - 1 L"/>
    <s v="Agroveca"/>
    <s v="Factura Electrónica"/>
    <n v="463"/>
    <s v="LTS"/>
    <n v="36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MAGNESIO - 1 L"/>
    <s v="Agroveca"/>
    <s v="Factura Electrónica"/>
    <n v="463"/>
    <s v="LTS"/>
    <n v="12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POTASIO - 1 L"/>
    <s v="Agroveca"/>
    <s v="Factura Electrónica"/>
    <n v="463"/>
    <s v="LTS"/>
    <n v="48"/>
    <n v="0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CALCIO BORO - 1 L"/>
    <s v="Agroveca"/>
    <s v="Factura Electrónica"/>
    <n v="463"/>
    <s v="LTS"/>
    <n v="36"/>
    <n v="0"/>
    <n v="0"/>
    <n v="0"/>
    <s v="CLP"/>
    <s v="CHILE"/>
    <d v="2026-02-22T00:00:00"/>
    <s v="AV"/>
    <s v="GUIA N 160"/>
    <d v="2026-01-19T00:00:00"/>
  </r>
  <r>
    <x v="0"/>
    <s v="77.458.933-3"/>
    <s v="VIVERO PARQUE LANTAÑO SPA"/>
    <s v="23/01/2026"/>
    <s v="ÑUBLE"/>
    <x v="2"/>
    <s v="BIOPOTASICO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500CC GATILLO"/>
    <s v="Agrocomercial"/>
    <s v="Factura Electrónica"/>
    <n v="464"/>
    <s v="UNIDAD"/>
    <n v="3"/>
    <n v="0"/>
    <n v="0"/>
    <n v="10.841935483870968"/>
    <s v="CLP"/>
    <s v="CHILE"/>
    <d v="2026-01-23T00:00:00"/>
    <s v="AV"/>
    <m/>
    <m/>
  </r>
  <r>
    <x v="0"/>
    <s v="77.458.933-3"/>
    <s v="VIVERO PARQUE LANTAÑO SPA"/>
    <s v="23/01/2026"/>
    <s v="ÑUBLE"/>
    <x v="2"/>
    <s v="RAIZ 500CC GATILLO"/>
    <s v="Agrocomercial"/>
    <s v="Factura Electrónica"/>
    <n v="464"/>
    <s v="UNIDAD"/>
    <n v="2"/>
    <n v="0"/>
    <n v="0"/>
    <n v="7.2279569892473114"/>
    <s v="CLP"/>
    <s v="CHILE"/>
    <d v="2026-01-23T00:00:00"/>
    <s v="AV"/>
    <m/>
    <m/>
  </r>
  <r>
    <x v="0"/>
    <s v="77.458.933-3"/>
    <s v="VIVERO PARQUE LANTAÑO SPA"/>
    <s v="23/01/2026"/>
    <s v="ÑUBLE"/>
    <x v="2"/>
    <s v="SILFORTEM 500 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NUTRAMIX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BALANCE 500CC GATILLO"/>
    <s v="Agrocomercial"/>
    <s v="Factura Electrónica"/>
    <n v="464"/>
    <s v="UNIDAD"/>
    <n v="1"/>
    <n v="0"/>
    <n v="0"/>
    <n v="3.6139784946236557"/>
    <s v="CLP"/>
    <s v="CHILE"/>
    <d v="2026-01-23T00:00:00"/>
    <s v="AV"/>
    <m/>
    <m/>
  </r>
  <r>
    <x v="0"/>
    <s v="77.458.933-3"/>
    <s v="VIVERO PARQUE LANTAÑO SPA"/>
    <s v="23/01/2026"/>
    <s v="ÑUBLE"/>
    <x v="2"/>
    <s v="TERRAPULSE CONC. 200 CC"/>
    <s v="Agrocomercial"/>
    <s v="Factura Electrónica"/>
    <n v="464"/>
    <s v="UNIDAD"/>
    <n v="1"/>
    <n v="0"/>
    <n v="0"/>
    <n v="6.4516129032258061"/>
    <s v="CLP"/>
    <s v="CHILE"/>
    <d v="2026-01-23T00:00:00"/>
    <s v="AV"/>
    <m/>
    <m/>
  </r>
  <r>
    <x v="0"/>
    <s v="77.458.933-3"/>
    <s v="VIVERO PARQUE LANTAÑO SPA"/>
    <s v="23/01/2026"/>
    <s v="ÑUBLE"/>
    <x v="2"/>
    <s v="BIOPOTASICO CONC. 200CC"/>
    <s v="Agrocomercial"/>
    <s v="Factura Electrónica"/>
    <n v="464"/>
    <s v="UNIDAD"/>
    <n v="2"/>
    <n v="0"/>
    <n v="0"/>
    <n v="12.903225806451612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CONC. 200CC"/>
    <s v="Agrocomercial"/>
    <s v="Factura Electrónica"/>
    <n v="464"/>
    <s v="UNIDAD"/>
    <n v="1"/>
    <n v="0"/>
    <n v="0"/>
    <n v="6.4516129032258061"/>
    <s v="CLP"/>
    <s v="CHILE"/>
    <d v="2026-01-23T00:00:00"/>
    <s v="AV"/>
    <m/>
    <m/>
  </r>
  <r>
    <x v="0"/>
    <s v="77.458.933-3"/>
    <s v="VIVERO PARQUE LANTAÑO SPA"/>
    <s v="23/01/2026"/>
    <s v="ÑUBLE"/>
    <x v="2"/>
    <s v="BIORAIZ - 20 GR"/>
    <s v="Agrocomercial"/>
    <s v="Factura Electrónica"/>
    <n v="464"/>
    <s v="UNIDAD"/>
    <n v="1"/>
    <n v="0"/>
    <n v="0"/>
    <n v="6.3408602150537634"/>
    <s v="CLP"/>
    <s v="CHILE"/>
    <d v="2026-01-23T00:00:00"/>
    <s v="AV"/>
    <m/>
    <m/>
  </r>
  <r>
    <x v="0"/>
    <s v="76.412.827-3"/>
    <s v="FRUTICOLA RIO BLANCO SPA"/>
    <s v="23/01/2026"/>
    <s v="METROPOLITANA"/>
    <x v="0"/>
    <s v="AV MOVE - 20 L"/>
    <s v="Agrocomercial"/>
    <s v="Factura Electrónica"/>
    <n v="465"/>
    <s v="LITROS"/>
    <n v="80"/>
    <n v="520000"/>
    <n v="6500"/>
    <n v="559.13978494623655"/>
    <s v="CLP"/>
    <s v="CHILE"/>
    <d v="2026-05-30T00:00:00"/>
    <s v="AV"/>
    <m/>
    <m/>
  </r>
  <r>
    <x v="0"/>
    <s v="76.044.123-6"/>
    <s v="AGRICOLA EL TOQUI LIMITADA"/>
    <s v="23/01/2026"/>
    <s v="SEXTA"/>
    <x v="4"/>
    <s v="AV MOVE - 20 L"/>
    <s v="Agroveca"/>
    <s v="Guía de Despacho Electrónica"/>
    <n v="166"/>
    <s v="LITROS"/>
    <n v="140"/>
    <n v="985600"/>
    <n v="7040"/>
    <n v="1059.7849462365591"/>
    <s v="CLP"/>
    <s v="CHILE"/>
    <d v="2026-05-30T00:00:00"/>
    <s v="AV"/>
    <m/>
    <m/>
  </r>
  <r>
    <x v="0"/>
    <s v="76.044.123-6"/>
    <s v="AGRICOLA EL TOQUI LIMITADA"/>
    <s v="23/01/2026"/>
    <s v="SEXTA"/>
    <x v="4"/>
    <s v="AV MOVE - 5 L"/>
    <s v="Agroveca"/>
    <s v="Guía de Despacho Electrónica"/>
    <n v="166"/>
    <s v="LITROS"/>
    <n v="10"/>
    <n v="70400"/>
    <n v="7040"/>
    <n v="75.6989247311828"/>
    <s v="CLP"/>
    <s v="CHILE"/>
    <d v="2026-05-30T00:00:00"/>
    <s v="AV"/>
    <m/>
    <m/>
  </r>
  <r>
    <x v="0"/>
    <s v="77.112.646-4"/>
    <s v="AGRICOLA LAS VERTIENTES S.A."/>
    <s v="23/01/2026"/>
    <s v="SEXTA"/>
    <x v="4"/>
    <s v="AV BALANCE - 20 L"/>
    <s v="Agrocomercial"/>
    <s v="Guía de Despacho Electrónica"/>
    <n v="167"/>
    <s v="LITROS"/>
    <n v="120"/>
    <n v="1580760"/>
    <n v="13173"/>
    <n v="1699.741935483871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5 L"/>
    <s v="Agrocomercial"/>
    <s v="Guía de Despacho Electrónica"/>
    <n v="167"/>
    <s v="LITROS"/>
    <n v="5"/>
    <n v="65865"/>
    <n v="13173"/>
    <n v="70.822580645161295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1 L"/>
    <s v="Agrocomercial"/>
    <s v="Guía de Despacho Electrónica"/>
    <n v="167"/>
    <s v="LITROS"/>
    <n v="1"/>
    <n v="13173"/>
    <n v="13173"/>
    <n v="14.164516129032258"/>
    <s v="CLP"/>
    <s v="CHILE"/>
    <d v="2026-05-22T00:00:00"/>
    <s v="AV"/>
    <m/>
    <m/>
  </r>
  <r>
    <x v="0"/>
    <s v="77.112.646-4"/>
    <s v="AGRICOLA LAS VERTIENTES S.A."/>
    <s v="23/01/2026"/>
    <s v="SEXTA"/>
    <x v="4"/>
    <s v="AV PLUS ZINC MANGANESO - 20 L"/>
    <s v="Agroveca"/>
    <s v="Guía de Despacho Electrónica"/>
    <n v="168"/>
    <s v="LITROS"/>
    <n v="60"/>
    <n v="202800"/>
    <n v="3380"/>
    <n v="218.06451612903226"/>
    <s v="CLP"/>
    <s v="CHILE"/>
    <d v="2026-05-22T00:00:00"/>
    <s v="AV"/>
    <m/>
    <m/>
  </r>
  <r>
    <x v="0"/>
    <s v="77.112.646-4"/>
    <s v="AGRICOLA LAS VERTIENTES S.A."/>
    <s v="23/01/2026"/>
    <s v="SEXTA"/>
    <x v="4"/>
    <s v="AV PLUS MAGNESIO - 20 L"/>
    <s v="Agroveca"/>
    <s v="Guía de Despacho Electrónica"/>
    <n v="168"/>
    <s v="LITROS"/>
    <n v="480"/>
    <n v="1281120"/>
    <n v="2669"/>
    <n v="1377.5483870967741"/>
    <s v="CLP"/>
    <s v="CHILE"/>
    <d v="2026-05-22T00:00:00"/>
    <s v="AV"/>
    <m/>
    <m/>
  </r>
  <r>
    <x v="0"/>
    <s v="77.112.646-4"/>
    <s v="AGRICOLA LAS VERTIENTES S.A."/>
    <s v="23/01/2026"/>
    <s v="SEXTA"/>
    <x v="4"/>
    <s v="AV PLUS POTASIO - 20 L"/>
    <s v="Agroveca"/>
    <s v="Guía de Despacho Electrónica"/>
    <n v="168"/>
    <s v="LITROS"/>
    <n v="440"/>
    <n v="1174360"/>
    <n v="2669"/>
    <n v="1262.752688172043"/>
    <s v="CLP"/>
    <s v="CHILE"/>
    <d v="2026-05-22T00:00:00"/>
    <s v="AV"/>
    <m/>
    <m/>
  </r>
  <r>
    <x v="0"/>
    <s v="17.504.838-3"/>
    <s v="ALUDI ALEJANDRA REYES PEREZ"/>
    <s v="23/01/2026"/>
    <s v="SEXTA"/>
    <x v="4"/>
    <s v="AV15 40-20 - 20 L"/>
    <s v="Agroveca"/>
    <s v="Guía de Despacho Electrónica"/>
    <n v="169"/>
    <s v="LITROS"/>
    <n v="40"/>
    <n v="0"/>
    <n v="0"/>
    <n v="246.02150537634409"/>
    <s v="CLP"/>
    <s v="CHILE"/>
    <d v="2026-01-23T00:00:00"/>
    <s v="AV"/>
    <m/>
    <m/>
  </r>
  <r>
    <x v="0"/>
    <s v="17.504.838-3"/>
    <s v="ALUDI ALEJANDRA REYES PEREZ"/>
    <s v="23/01/2026"/>
    <s v="SEXTA"/>
    <x v="4"/>
    <s v="AV ROOT MAX - 20 L"/>
    <s v="Agroveca"/>
    <s v="Guía de Despacho Electrónica"/>
    <n v="169"/>
    <s v="LITROS"/>
    <n v="40"/>
    <n v="0"/>
    <n v="0"/>
    <n v="321.72043010752691"/>
    <s v="CLP"/>
    <s v="CHILE"/>
    <d v="2026-01-23T00:00:00"/>
    <s v="AV"/>
    <m/>
    <m/>
  </r>
  <r>
    <x v="0"/>
    <s v="17.504.838-3"/>
    <s v="ALUDI ALEJANDRA REYES PEREZ"/>
    <s v="23/01/2026"/>
    <s v="SEXTA"/>
    <x v="4"/>
    <s v="AV HUMIC ROOT - 20 L"/>
    <s v="Agroveca"/>
    <s v="Guía de Despacho Electrónica"/>
    <n v="169"/>
    <s v="LITROS"/>
    <n v="20"/>
    <n v="0"/>
    <n v="0"/>
    <n v="94.623655913978496"/>
    <s v="CLP"/>
    <s v="CHILE"/>
    <d v="2026-01-23T00:00:00"/>
    <s v="AV"/>
    <m/>
    <m/>
  </r>
  <r>
    <x v="0"/>
    <s v="17.504.838-3"/>
    <s v="ALUDI ALEJANDRA REYES PEREZ"/>
    <s v="23/01/2026"/>
    <s v="SEXTA"/>
    <x v="4"/>
    <s v="AV ALGAP 30 - 20 L"/>
    <s v="Agroveca"/>
    <s v="Guía de Despacho Electrónica"/>
    <n v="169"/>
    <s v="LITROS"/>
    <n v="20"/>
    <n v="0"/>
    <n v="0"/>
    <n v="136.12903225806451"/>
    <s v="CLP"/>
    <s v="CHILE"/>
    <d v="2026-01-23T00:00:00"/>
    <s v="AV"/>
    <m/>
    <m/>
  </r>
  <r>
    <x v="0"/>
    <s v="78.062.921-5"/>
    <s v="PLANTTAE BOTÁNICA SPA"/>
    <s v="23/01/2026"/>
    <s v="OCTAVA"/>
    <x v="2"/>
    <s v="BALANCE 500CC GATILLO"/>
    <s v="Agrocomercial"/>
    <s v="Guía de Despacho Electrónica"/>
    <n v="170"/>
    <s v="UNIDAD"/>
    <n v="6"/>
    <n v="0"/>
    <n v="0"/>
    <n v="21.683870967741935"/>
    <s v="CLP"/>
    <s v="CHILE"/>
    <d v="2026-02-22T00:00:00"/>
    <s v="AV"/>
    <m/>
    <m/>
  </r>
  <r>
    <x v="0"/>
    <s v="78.062.921-5"/>
    <s v="PLANTTAE BOTÁNICA SPA"/>
    <s v="23/01/2026"/>
    <s v="OCTAVA"/>
    <x v="2"/>
    <s v="BIOPOTASICO 500CC GATILLO"/>
    <s v="Agrocomercial"/>
    <s v="Guía de Despacho Electrónica"/>
    <n v="170"/>
    <s v="UNIDAD"/>
    <n v="6"/>
    <n v="0"/>
    <n v="0"/>
    <n v="21.683870967741935"/>
    <s v="CLP"/>
    <s v="CHILE"/>
    <d v="2026-02-22T00:00:00"/>
    <s v="AV"/>
    <m/>
    <m/>
  </r>
  <r>
    <x v="0"/>
    <s v="78.062.921-5"/>
    <s v="PLANTTAE BOTÁNICA SPA"/>
    <s v="23/01/2026"/>
    <s v="OCTAVA"/>
    <x v="2"/>
    <s v="NUTRAMIX 500CC GATILLO"/>
    <s v="Agrocomercial"/>
    <s v="Guía de Despacho Electrónica"/>
    <n v="170"/>
    <s v="UNIDAD"/>
    <n v="8"/>
    <n v="0"/>
    <n v="0"/>
    <n v="28.911827956989246"/>
    <s v="CLP"/>
    <s v="CHILE"/>
    <d v="2026-02-22T00:00:00"/>
    <s v="AV"/>
    <m/>
    <m/>
  </r>
  <r>
    <x v="0"/>
    <s v="78.062.921-5"/>
    <s v="PLANTTAE BOTÁNICA SPA"/>
    <s v="23/01/2026"/>
    <s v="OCTAVA"/>
    <x v="2"/>
    <s v="FUNGISTOP 500CC GATILLO"/>
    <s v="Agrocomercial"/>
    <s v="Guía de Despacho Electrónica"/>
    <n v="170"/>
    <s v="UNIDAD"/>
    <n v="5"/>
    <n v="0"/>
    <n v="0"/>
    <n v="18.06989247311828"/>
    <s v="CLP"/>
    <s v="CHILE"/>
    <d v="2026-02-22T00:00:00"/>
    <s v="AV"/>
    <m/>
    <m/>
  </r>
  <r>
    <x v="0"/>
    <s v="78.062.921-5"/>
    <s v="PLANTTAE BOTÁNICA SPA"/>
    <s v="23/01/2026"/>
    <s v="OCTAVA"/>
    <x v="2"/>
    <s v="RAIZ 500CC GATILLO"/>
    <s v="Agrocomercial"/>
    <s v="Guía de Despacho Electrónica"/>
    <n v="170"/>
    <s v="UNIDAD"/>
    <n v="5"/>
    <n v="0"/>
    <n v="0"/>
    <n v="18.06989247311828"/>
    <s v="CLP"/>
    <s v="CHILE"/>
    <d v="2026-02-22T00:00:00"/>
    <s v="AV"/>
    <m/>
    <m/>
  </r>
  <r>
    <x v="0"/>
    <s v="78.062.921-5"/>
    <s v="PLANTTAE BOTÁNICA SPA"/>
    <s v="23/01/2026"/>
    <s v="OCTAVA"/>
    <x v="2"/>
    <s v="NUTRAMIX CONC. 500CC"/>
    <s v="Agrocomercial"/>
    <s v="Guía de Despacho Electrónica"/>
    <n v="170"/>
    <s v="UNIDAD"/>
    <n v="1"/>
    <n v="0"/>
    <n v="0"/>
    <n v="12.334408602150537"/>
    <s v="CLP"/>
    <s v="CHILE"/>
    <d v="2026-02-22T00:00:00"/>
    <s v="AV"/>
    <m/>
    <m/>
  </r>
  <r>
    <x v="0"/>
    <s v="79.611.530-0"/>
    <s v="AGRICOLA BUNSTER Y TAGLE LTDA"/>
    <s v="26/01/2026"/>
    <s v="METROPOLITANA"/>
    <x v="0"/>
    <s v="AV ALGAP 30 - 20 L"/>
    <s v="Agroveca"/>
    <s v="Factura Electrónica"/>
    <n v="466"/>
    <s v="LITROS"/>
    <n v="60"/>
    <n v="235080"/>
    <n v="3918"/>
    <n v="252.7741935483871"/>
    <s v="CLP"/>
    <s v="CHILE"/>
    <d v="2026-02-25T00:00:00"/>
    <s v="AV"/>
    <m/>
    <m/>
  </r>
  <r>
    <x v="0"/>
    <s v="78.191.436-3"/>
    <s v="VIVERO DONA AURORA SPA"/>
    <s v="26/01/2026"/>
    <s v="SEPTIMA"/>
    <x v="2"/>
    <s v="BALANCE 500CC GATILLO"/>
    <s v="Agrocomercial"/>
    <s v="Factura Electrónica"/>
    <n v="467"/>
    <s v="UNIDAD"/>
    <n v="4"/>
    <n v="0"/>
    <n v="0"/>
    <n v="14.455913978494623"/>
    <s v="CLP"/>
    <s v="CHILE"/>
    <d v="2026-01-26T00:00:00"/>
    <s v="AV"/>
    <m/>
    <m/>
  </r>
  <r>
    <x v="0"/>
    <s v="78.191.436-3"/>
    <s v="VIVERO DONA AURORA SPA"/>
    <s v="26/01/2026"/>
    <s v="SEPTIMA"/>
    <x v="2"/>
    <s v="BALANCE CONC. 200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TERRAPULSE CONC. 200 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NUTRAMIX CONC. 200CC"/>
    <s v="Agrocomercial"/>
    <s v="Factura Electrónica"/>
    <n v="467"/>
    <s v="UNIDAD"/>
    <n v="2"/>
    <n v="0"/>
    <n v="0"/>
    <n v="12.903225806451612"/>
    <s v="CLP"/>
    <s v="CHILE"/>
    <d v="2026-01-26T00:00:00"/>
    <s v="AV"/>
    <m/>
    <m/>
  </r>
  <r>
    <x v="0"/>
    <s v="78.191.436-3"/>
    <s v="VIVERO DONA AURORA SPA"/>
    <s v="26/01/2026"/>
    <s v="SEPTIMA"/>
    <x v="2"/>
    <s v="SILFORTEM CONC. 200 CC"/>
    <s v="Agrocomercial"/>
    <s v="Factura Electrónica"/>
    <n v="467"/>
    <s v="UNIDAD"/>
    <n v="1"/>
    <n v="0"/>
    <n v="0"/>
    <n v="6.4516129032258061"/>
    <s v="CLP"/>
    <s v="CHILE"/>
    <d v="2026-01-26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8"/>
    <s v="LITROS"/>
    <n v="380"/>
    <n v="0"/>
    <n v="0"/>
    <n v="1021.505376344086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8"/>
    <s v="LITROS"/>
    <n v="100"/>
    <n v="0"/>
    <n v="0"/>
    <n v="1129.0322580645161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9"/>
    <s v="LITROS"/>
    <n v="380"/>
    <n v="1102000"/>
    <n v="2900"/>
    <n v="1184.9462365591398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9"/>
    <s v="LITROS"/>
    <n v="100"/>
    <n v="1050000"/>
    <n v="10500"/>
    <n v="1129.0322580645161"/>
    <s v="CLP"/>
    <s v="CHILE"/>
    <d v="2026-05-30T00:00:00"/>
    <s v="AV"/>
    <m/>
    <m/>
  </r>
  <r>
    <x v="0"/>
    <s v="76.788.317-K"/>
    <s v="AGRICOLA MARIO ALEJANDRO VIDAL NUNEZ EIRL"/>
    <s v="26/01/2026"/>
    <s v="SEXTA"/>
    <x v="3"/>
    <s v="AV BLOOM - 5 L"/>
    <s v="Agrocomercial"/>
    <s v="Factura Electrónica"/>
    <n v="470"/>
    <s v="LITROS"/>
    <n v="10"/>
    <n v="87071"/>
    <n v="8707.1"/>
    <n v="93.624731182795699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20 L"/>
    <s v="Agrocomercial"/>
    <s v="Factura Electrónica"/>
    <n v="470"/>
    <s v="LITROS"/>
    <n v="20"/>
    <n v="174142"/>
    <n v="8707.1"/>
    <n v="187.2494623655914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5 L"/>
    <s v="Agrocomercial"/>
    <s v="Factura Electrónica"/>
    <n v="470"/>
    <s v="LITROS"/>
    <n v="5"/>
    <n v="47889"/>
    <n v="9577.7999999999993"/>
    <n v="51.493548387096773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POTASIO - 20 L"/>
    <s v="Agrocomercial"/>
    <s v="Factura Electrónica"/>
    <n v="470"/>
    <s v="LITROS"/>
    <n v="20"/>
    <n v="87071"/>
    <n v="4353.55"/>
    <n v="93.624731182795699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CALCIO - 20 L"/>
    <s v="Agrocomercial"/>
    <s v="Factura Electrónica"/>
    <n v="470"/>
    <s v="LITROS"/>
    <n v="20"/>
    <n v="87071"/>
    <n v="4353.55"/>
    <n v="93.624731182795699"/>
    <s v="CLP"/>
    <s v="CHILE"/>
    <d v="2026-02-26T00:00:00"/>
    <s v="AV"/>
    <m/>
    <m/>
  </r>
  <r>
    <x v="0"/>
    <s v="17.504.838-3"/>
    <s v="ALUDI ALEJANDRA REYES PEREZ"/>
    <s v="26/01/2026"/>
    <s v="SEXTA"/>
    <x v="4"/>
    <s v="AV15 40-20 - 20 L"/>
    <s v="Agroveca"/>
    <s v="Factura Electrónica"/>
    <n v="471"/>
    <s v="LITROS"/>
    <n v="20"/>
    <n v="114400"/>
    <n v="5720"/>
    <n v="123.01075268817205"/>
    <s v="CLP"/>
    <s v="CHILE"/>
    <d v="2026-01-26T00:00:00"/>
    <s v="AV"/>
    <m/>
    <m/>
  </r>
  <r>
    <x v="0"/>
    <s v="17.504.838-3"/>
    <s v="ALUDI ALEJANDRA REYES PEREZ"/>
    <s v="26/01/2026"/>
    <s v="SEXTA"/>
    <x v="4"/>
    <s v="AV ROOT MAX - 20 L"/>
    <s v="Agroveca"/>
    <s v="Factura Electrónica"/>
    <n v="471"/>
    <s v="LITROS"/>
    <n v="20"/>
    <n v="149600"/>
    <n v="7480"/>
    <n v="160.86021505376345"/>
    <s v="CLP"/>
    <s v="CHILE"/>
    <d v="2026-01-26T00:00:00"/>
    <s v="AV"/>
    <m/>
    <m/>
  </r>
  <r>
    <x v="0"/>
    <s v="17.504.838-3"/>
    <s v="ALUDI ALEJANDRA REYES PEREZ"/>
    <s v="26/01/2026"/>
    <s v="SEXTA"/>
    <x v="4"/>
    <s v="AV HUMIC ROOT - 20 L"/>
    <s v="Agroveca"/>
    <s v="Factura Electrónica"/>
    <n v="471"/>
    <s v="LITROS"/>
    <n v="20"/>
    <n v="88000"/>
    <n v="4400"/>
    <n v="94.623655913978496"/>
    <s v="CLP"/>
    <s v="CHILE"/>
    <d v="2026-01-26T00:00:00"/>
    <s v="AV"/>
    <m/>
    <m/>
  </r>
  <r>
    <x v="0"/>
    <s v="17.504.838-3"/>
    <s v="ALUDI ALEJANDRA REYES PEREZ"/>
    <s v="26/01/2026"/>
    <s v="SEXTA"/>
    <x v="4"/>
    <s v="AV ALGAP 30 - 20 L"/>
    <s v="Agroveca"/>
    <s v="Factura Electrónica"/>
    <n v="471"/>
    <s v="LITROS"/>
    <n v="20"/>
    <n v="126600"/>
    <n v="6330"/>
    <n v="136.12903225806451"/>
    <s v="CLP"/>
    <s v="CHILE"/>
    <d v="2026-01-26T00:00:00"/>
    <s v="AV"/>
    <m/>
    <m/>
  </r>
  <r>
    <x v="0"/>
    <s v="89.255.000-K"/>
    <s v="AGRICOLA VICTORIA S.A."/>
    <s v="26/01/2026"/>
    <s v="METROPOLITANA"/>
    <x v="0"/>
    <s v="AV MOVE - 20 L"/>
    <s v="Agroveca"/>
    <s v="Factura Electrónica"/>
    <n v="472"/>
    <s v="LITROS"/>
    <n v="140"/>
    <n v="1050000"/>
    <n v="7500"/>
    <n v="1129.0322580645161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5 L"/>
    <s v="Agroveca"/>
    <s v="Factura Electrónica"/>
    <n v="472"/>
    <s v="LITROS"/>
    <n v="5"/>
    <n v="37500"/>
    <n v="7500"/>
    <n v="40.322580645161288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1 L"/>
    <s v="Agroveca"/>
    <s v="Factura Electrónica"/>
    <n v="472"/>
    <s v="LITROS"/>
    <n v="1"/>
    <n v="7500"/>
    <n v="7500"/>
    <n v="8.064516129032258"/>
    <s v="CLP"/>
    <s v="CHILE"/>
    <d v="2026-03-27T00:00:00"/>
    <s v="AV"/>
    <m/>
    <m/>
  </r>
  <r>
    <x v="0"/>
    <s v="77.133.772-4"/>
    <s v="AGRICOLA GEORUCA SPA"/>
    <s v="26/01/2026"/>
    <s v="SEXTA"/>
    <x v="0"/>
    <s v="AV MOVE - 20 L"/>
    <s v="Agroveca"/>
    <s v="Guía de Despacho Electrónica"/>
    <n v="172"/>
    <s v="LITROS"/>
    <n v="20"/>
    <n v="150000"/>
    <n v="7500"/>
    <n v="161.29032258064515"/>
    <s v="CLP"/>
    <s v="CHILE"/>
    <d v="2026-05-26T00:00:00"/>
    <s v="AV"/>
    <m/>
    <m/>
  </r>
  <r>
    <x v="0"/>
    <s v="77.133.772-4"/>
    <s v="AGRICOLA GEORUCA SPA"/>
    <s v="26/01/2026"/>
    <s v="SEXTA"/>
    <x v="0"/>
    <s v="AV MOVE - 5 L"/>
    <s v="Agroveca"/>
    <s v="Guía de Despacho Electrónica"/>
    <n v="172"/>
    <s v="LITROS"/>
    <n v="10"/>
    <n v="75000"/>
    <n v="7500"/>
    <n v="80.645161290322577"/>
    <s v="CLP"/>
    <s v="CHILE"/>
    <d v="2026-05-26T00:00:00"/>
    <s v="AV"/>
    <m/>
    <m/>
  </r>
  <r>
    <x v="0"/>
    <s v="77.036.196-6"/>
    <s v="SOCIEDAD COMERCIAL RYN SPA"/>
    <s v="26/01/2026"/>
    <s v="SEXTA"/>
    <x v="4"/>
    <s v="AV PLUS POTASIO - 20 L"/>
    <s v="Agroveca"/>
    <s v="Guía de Despacho Electrónica"/>
    <n v="173"/>
    <s v="LITROS"/>
    <n v="60"/>
    <n v="199800"/>
    <n v="3330"/>
    <n v="214.83870967741936"/>
    <s v="CLP"/>
    <s v="CHILE"/>
    <d v="2026-05-21T00:00:00"/>
    <s v="AV"/>
    <m/>
    <m/>
  </r>
  <r>
    <x v="0"/>
    <s v="99.511.460-7"/>
    <s v="SOCIEDAD AGRICOLA SAN NICOLAS LIMITADA"/>
    <s v="26/01/2026"/>
    <s v="SEXTA"/>
    <x v="4"/>
    <s v="AV MOVE - 20 L"/>
    <s v="Agrocomercial"/>
    <s v="Guía de Despacho Electrónica"/>
    <n v="174"/>
    <s v="LITROS"/>
    <n v="20"/>
    <n v="139314"/>
    <n v="6965.7"/>
    <n v="149.80000000000001"/>
    <s v="CLP"/>
    <s v="CHILE"/>
    <d v="2026-03-27T00:00:00"/>
    <s v="AV"/>
    <m/>
    <m/>
  </r>
  <r>
    <x v="0"/>
    <s v="99.511.460-7"/>
    <s v="SOCIEDAD AGRICOLA SAN NICOLAS LIMITADA"/>
    <s v="27/01/2026"/>
    <s v="SEXTA"/>
    <x v="4"/>
    <s v="AV MOVE - 5 L"/>
    <s v="Agroveca"/>
    <s v="Factura Electrónica"/>
    <n v="473"/>
    <s v="LITROS"/>
    <n v="10"/>
    <n v="69040"/>
    <n v="6904"/>
    <n v="74.236559139784944"/>
    <s v="CLP"/>
    <s v="CHILE"/>
    <d v="2026-03-25T00:00:00"/>
    <s v="AV"/>
    <m/>
    <m/>
  </r>
  <r>
    <x v="0"/>
    <s v="76.188.119-1"/>
    <s v="PEDRO PATRICIO MENESES SOTO AGRICOLA Y TRANSPORTES E.I.R.L."/>
    <s v="27/01/2026"/>
    <s v="SEXTA"/>
    <x v="4"/>
    <s v="AV AMIN - 5 L"/>
    <s v="Agroveca"/>
    <s v="Factura Electrónica"/>
    <n v="474"/>
    <s v="LITROS"/>
    <n v="5"/>
    <n v="43000"/>
    <n v="8600"/>
    <n v="46.236559139784944"/>
    <s v="CLP"/>
    <s v="CHILE"/>
    <d v="2026-04-23T00:00:00"/>
    <s v="AV"/>
    <m/>
    <m/>
  </r>
  <r>
    <x v="0"/>
    <s v="77.135.740-7"/>
    <s v="RAUL JOFRE Y COMPAQIA LIMITADA"/>
    <s v="27/01/2026"/>
    <s v="SEXTA"/>
    <x v="4"/>
    <s v="AV PLUS POTASIO - 1 L"/>
    <s v="Agrocomercial"/>
    <s v="Factura Electrónica"/>
    <n v="475"/>
    <s v="LITROS"/>
    <n v="11"/>
    <n v="57079"/>
    <n v="5189"/>
    <n v="61.37526881720430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POTASIO - 5 L"/>
    <s v="Agrocomercial"/>
    <s v="Factura Electrónica"/>
    <n v="475"/>
    <s v="LITROS"/>
    <n v="25"/>
    <n v="97275"/>
    <n v="3891"/>
    <n v="104.59677419354838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MAGNESIO - 1 L"/>
    <s v="Agrocomercial"/>
    <s v="Factura Electrónica"/>
    <n v="475"/>
    <s v="LITROS"/>
    <n v="7"/>
    <n v="36323"/>
    <n v="5189"/>
    <n v="39.056989247311826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1 L"/>
    <s v="Agrocomercial"/>
    <s v="Factura Electrónica"/>
    <n v="475"/>
    <s v="LITROS"/>
    <n v="5"/>
    <n v="25945"/>
    <n v="5189"/>
    <n v="27.897849462365592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5 L"/>
    <s v="Agrocomercial"/>
    <s v="Factura Electrónica"/>
    <n v="475"/>
    <s v="LITROS"/>
    <n v="10"/>
    <n v="38910"/>
    <n v="3891"/>
    <n v="41.838709677419352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BORO - 1 L"/>
    <s v="Agrocomercial"/>
    <s v="Factura Electrónica"/>
    <n v="475"/>
    <s v="LITROS"/>
    <n v="5"/>
    <n v="28535"/>
    <n v="5707"/>
    <n v="30.682795698924732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1 L"/>
    <s v="Agrocomercial"/>
    <s v="Factura Electrónica"/>
    <n v="475"/>
    <s v="LITROS"/>
    <n v="10"/>
    <n v="69180"/>
    <n v="6918"/>
    <n v="74.387096774193552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5 L"/>
    <s v="Agrocomercial"/>
    <s v="Factura Electrónica"/>
    <n v="475"/>
    <s v="LITROS"/>
    <n v="5"/>
    <n v="25945"/>
    <n v="5189"/>
    <n v="27.897849462365592"/>
    <s v="CLP"/>
    <s v="CHILE"/>
    <d v="2026-04-26T00:00:00"/>
    <s v="AV"/>
    <m/>
    <m/>
  </r>
  <r>
    <x v="0"/>
    <s v="76.209.230-1"/>
    <s v="AGRICOLA JOSE MARIA Y OTRO LTDA"/>
    <s v="27/01/2026"/>
    <s v="SEXTA"/>
    <x v="0"/>
    <s v="AV MOVE - 20 L"/>
    <s v="Agroveca"/>
    <s v="Guía de Despacho Electrónica"/>
    <n v="177"/>
    <s v="LITROS"/>
    <n v="300"/>
    <n v="2130000"/>
    <n v="7100"/>
    <n v="2290.3225806451615"/>
    <s v="CLP"/>
    <s v="CHILE"/>
    <d v="2026-04-30T00:00:00"/>
    <s v="AV"/>
    <m/>
    <m/>
  </r>
  <r>
    <x v="0"/>
    <s v="78.189.158-4"/>
    <s v="AGRICOLA SAN PEDRO SPA"/>
    <s v="27/01/2026"/>
    <s v="SEXTA"/>
    <x v="0"/>
    <s v="AV HUMIC ROOT - 1000 L"/>
    <s v="Agroveca"/>
    <s v="Guía de Despacho Electrónica"/>
    <n v="178"/>
    <s v="LITROS"/>
    <n v="1000"/>
    <n v="2500000"/>
    <n v="2500"/>
    <n v="2688.1720430107525"/>
    <s v="CLP"/>
    <s v="CHILE"/>
    <d v="2026-05-30T00:00:00"/>
    <s v="AV"/>
    <m/>
    <m/>
  </r>
  <r>
    <x v="0"/>
    <s v="78.189.158-4"/>
    <s v="AGRICOLA SAN PEDRO SPA"/>
    <s v="27/01/2026"/>
    <s v="SEXTA"/>
    <x v="0"/>
    <s v="AV HUMIC ROOT - 200 L"/>
    <s v="Agroveca"/>
    <s v="Guía de Despacho Electrónica"/>
    <n v="178"/>
    <s v="LITROS"/>
    <n v="550"/>
    <n v="1375000"/>
    <n v="2500"/>
    <n v="1478.494623655914"/>
    <s v="CLP"/>
    <s v="CHILE"/>
    <d v="2026-05-30T00:00:00"/>
    <s v="AV"/>
    <m/>
    <m/>
  </r>
  <r>
    <x v="0"/>
    <s v="78.189.158-4"/>
    <s v="AGRICOLA SAN PEDRO SPA"/>
    <s v="27/01/2026"/>
    <s v="SEXTA"/>
    <x v="0"/>
    <s v="AV ROOT MAX - 200 L"/>
    <s v="Agroveca"/>
    <s v="Guía de Despacho Electrónica"/>
    <n v="178"/>
    <s v="LITROS"/>
    <n v="190"/>
    <n v="1292000"/>
    <n v="6800"/>
    <n v="1389.247311827957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1000 L"/>
    <s v="Agroveca"/>
    <s v="Guía de Despacho Electrónica"/>
    <n v="179"/>
    <s v="LITROS"/>
    <n v="1000"/>
    <n v="2500000"/>
    <n v="2500"/>
    <n v="2688.1720430107525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200 L"/>
    <s v="Agroveca"/>
    <s v="Guía de Despacho Electrónica"/>
    <n v="179"/>
    <s v="LITROS"/>
    <n v="150"/>
    <n v="375000"/>
    <n v="2500"/>
    <n v="403.22580645161293"/>
    <s v="CLP"/>
    <s v="CHILE"/>
    <d v="2026-05-30T00:00:00"/>
    <s v="AV"/>
    <m/>
    <m/>
  </r>
  <r>
    <x v="0"/>
    <s v="76.210.444-K"/>
    <s v="SOCIEDAD AGRICOLA ALIAGA LTDA"/>
    <s v="27/01/2026"/>
    <s v="SEXTA"/>
    <x v="0"/>
    <s v="AV ROOT MAX - 200 L"/>
    <s v="Agroveca"/>
    <s v="Guía de Despacho Electrónica"/>
    <n v="179"/>
    <s v="LITROS"/>
    <n v="180"/>
    <n v="1224000"/>
    <n v="6800"/>
    <n v="1316.1290322580646"/>
    <s v="CLP"/>
    <s v="CHILE"/>
    <d v="2026-05-30T00:00:00"/>
    <s v="AV"/>
    <m/>
    <m/>
  </r>
  <r>
    <x v="0"/>
    <s v="76.036.193-3"/>
    <s v="AGRICOLA LUIS ANTONIO HERRERA AVENDANO E.I.R.L."/>
    <s v="28/01/2026"/>
    <s v="SEXTA"/>
    <x v="0"/>
    <s v="AV MOVE - 20 L"/>
    <s v="Agroveca"/>
    <s v="Factura Electrónica"/>
    <n v="476"/>
    <s v="LITROS"/>
    <n v="60"/>
    <n v="450000"/>
    <n v="7500"/>
    <n v="483.87096774193549"/>
    <s v="CLP"/>
    <s v="CHILE"/>
    <d v="2026-01-28T00:00:00"/>
    <s v="AV"/>
    <m/>
    <m/>
  </r>
  <r>
    <x v="0"/>
    <s v="77.317.590-K"/>
    <s v="SOCIEDAD AGRICOLA SAN FRANCISCO"/>
    <s v="29/01/2026"/>
    <s v="SEXTA"/>
    <x v="4"/>
    <s v="AV PLUS CALCIO - 1 L"/>
    <s v="Agrocomercial"/>
    <s v="Factura Electrónica"/>
    <n v="477"/>
    <s v="LITROS"/>
    <n v="2"/>
    <n v="12450"/>
    <n v="6225"/>
    <n v="13.38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1 L"/>
    <s v="Agrocomercial"/>
    <s v="Factura Electrónica"/>
    <n v="477"/>
    <s v="LITROS"/>
    <n v="2"/>
    <n v="12450"/>
    <n v="6225"/>
    <n v="13.38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5 L"/>
    <s v="Agrocomercial"/>
    <s v="Factura Electrónica"/>
    <n v="477"/>
    <s v="LITROS"/>
    <n v="5"/>
    <n v="23625"/>
    <n v="4725"/>
    <n v="25.403225806451612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MAGNESIO - 5 L"/>
    <s v="Agrocomercial"/>
    <s v="Factura Electrónica"/>
    <n v="477"/>
    <s v="LITROS"/>
    <n v="10"/>
    <n v="47250"/>
    <n v="4725"/>
    <n v="50.806451612903224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CALCIO BORO - 1 L"/>
    <s v="Agrocomercial"/>
    <s v="Factura Electrónica"/>
    <n v="477"/>
    <s v="LITROS"/>
    <n v="3"/>
    <n v="20640"/>
    <n v="6880"/>
    <n v="22.193548387096776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BORO - 5 L"/>
    <s v="Agrocomercial"/>
    <s v="Factura Electrónica"/>
    <n v="477"/>
    <s v="LITROS"/>
    <n v="10"/>
    <n v="50400"/>
    <n v="5040"/>
    <n v="54.193548387096776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1 L"/>
    <s v="Agrocomercial"/>
    <s v="Factura Electrónica"/>
    <n v="477"/>
    <s v="LITROS"/>
    <n v="6"/>
    <n v="58500"/>
    <n v="9750"/>
    <n v="62.903225806451616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5 L"/>
    <s v="Agrocomercial"/>
    <s v="Factura Electrónica"/>
    <n v="477"/>
    <s v="LITROS"/>
    <n v="15"/>
    <n v="101250"/>
    <n v="6750"/>
    <n v="108.87096774193549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1 L"/>
    <s v="Agrocomercial"/>
    <s v="Factura Electrónica"/>
    <n v="477"/>
    <s v="LITROS"/>
    <n v="4"/>
    <n v="36600"/>
    <n v="9150"/>
    <n v="39.354838709677416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5 L"/>
    <s v="Agrocomercial"/>
    <s v="Factura Electrónica"/>
    <n v="477"/>
    <s v="LITROS"/>
    <n v="5"/>
    <n v="43125"/>
    <n v="8625"/>
    <n v="46.3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1 L"/>
    <s v="Agrocomercial"/>
    <s v="Factura Electrónica"/>
    <n v="477"/>
    <s v="LITROS"/>
    <n v="1"/>
    <n v="9375"/>
    <n v="9375"/>
    <n v="10.080645161290322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5 L"/>
    <s v="Agrocomercial"/>
    <s v="Factura Electrónica"/>
    <n v="477"/>
    <s v="LITROS"/>
    <n v="5"/>
    <n v="43125"/>
    <n v="8625"/>
    <n v="46.37096774193548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1 L"/>
    <s v="Agrocomercial"/>
    <s v="Factura Electrónica"/>
    <n v="477"/>
    <s v="LITROS"/>
    <n v="2"/>
    <n v="32850"/>
    <n v="16425"/>
    <n v="35.322580645161288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5 L"/>
    <s v="Agrocomercial"/>
    <s v="Factura Electrónica"/>
    <n v="477"/>
    <s v="LITROS"/>
    <n v="10"/>
    <n v="141750"/>
    <n v="14175"/>
    <n v="152.41935483870967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20 L"/>
    <s v="Agrocomercial"/>
    <s v="Factura Electrónica"/>
    <n v="477"/>
    <s v="LITROS"/>
    <n v="140"/>
    <n v="619500"/>
    <n v="4425"/>
    <n v="666.12903225806451"/>
    <s v="CLP"/>
    <s v="CHILE"/>
    <d v="2026-06-30T00:00:00"/>
    <s v="AV"/>
    <m/>
    <m/>
  </r>
  <r>
    <x v="0"/>
    <s v="76.036.193-3"/>
    <s v="AGRICOLA LUIS ANTONIO HERRERA AVENDANO E.I.R.L."/>
    <s v="29/01/2026"/>
    <s v="SEXTA"/>
    <x v="0"/>
    <s v="AV MOVE - 20 L"/>
    <s v="Agroveca"/>
    <s v="Factura Electrónica"/>
    <n v="478"/>
    <s v="LITROS"/>
    <n v="20"/>
    <n v="150000"/>
    <n v="7500"/>
    <n v="161.29032258064515"/>
    <s v="CLP"/>
    <s v="CHILE"/>
    <d v="2026-01-29T00:00:00"/>
    <s v="AV"/>
    <m/>
    <m/>
  </r>
  <r>
    <x v="0"/>
    <s v="77.758.114-7"/>
    <s v="SOCIEDAD AGRÍCOLA COMERCIAL SIEMBRA SPA"/>
    <s v="29/01/2026"/>
    <s v="SEXTA"/>
    <x v="4"/>
    <s v="AV PLUS POTASIO - 1 L"/>
    <s v="Agrocomercial"/>
    <s v="Factura Electrónica"/>
    <n v="479"/>
    <s v="LITROS"/>
    <n v="24"/>
    <n v="116400"/>
    <n v="4850"/>
    <n v="125.16129032258064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MIN - 1 L"/>
    <s v="Agrocomercial"/>
    <s v="Factura Electrónica"/>
    <n v="479"/>
    <s v="LITROS"/>
    <n v="24"/>
    <n v="135120"/>
    <n v="5630"/>
    <n v="145.29032258064515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MICRO MIX - 1 L"/>
    <s v="Agrocomercial"/>
    <s v="Factura Electrónica"/>
    <n v="479"/>
    <s v="LITROS"/>
    <n v="12"/>
    <n v="41568"/>
    <n v="3464"/>
    <n v="44.696774193548386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NUTRI MIX - 1 L"/>
    <s v="Agrocomercial"/>
    <s v="Factura Electrónica"/>
    <n v="479"/>
    <s v="LITROS"/>
    <n v="24"/>
    <n v="123672"/>
    <n v="5153"/>
    <n v="132.98064516129031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LGAP 30 - 5 L"/>
    <s v="Agrocomercial"/>
    <s v="Factura Electrónica"/>
    <n v="480"/>
    <s v="LITROS"/>
    <n v="10"/>
    <n v="60550"/>
    <n v="6055"/>
    <n v="65.107526881720432"/>
    <s v="CLP"/>
    <s v="CHILE"/>
    <d v="2026-03-30T00:00:00"/>
    <s v="AV"/>
    <m/>
    <m/>
  </r>
  <r>
    <x v="0"/>
    <s v="76.421.617-2"/>
    <s v="AGRICOLA CASA DEL CERRILLO EIRL"/>
    <s v="29/01/2026"/>
    <s v="QUINTA"/>
    <x v="1"/>
    <s v="AV AMIN SUGAR - 20 L"/>
    <s v="Agrocomercial"/>
    <s v="Factura Electrónica"/>
    <n v="481"/>
    <s v="LITROS"/>
    <n v="20"/>
    <n v="0"/>
    <n v="0"/>
    <n v="118.27956989247312"/>
    <s v="CLP"/>
    <s v="CHILE"/>
    <d v="2026-03-01T00:00:00"/>
    <s v="AV"/>
    <m/>
    <m/>
  </r>
  <r>
    <x v="0"/>
    <s v="76.421.617-2"/>
    <s v="AGRICOLA CASA DEL CERRILLO EIRL"/>
    <s v="29/01/2026"/>
    <s v="QUINTA"/>
    <x v="1"/>
    <s v="AV AMIN SUGAR - 5 L"/>
    <s v="Agrocomercial"/>
    <s v="Factura Electrónica"/>
    <n v="481"/>
    <s v="LITROS"/>
    <n v="10"/>
    <n v="0"/>
    <n v="0"/>
    <n v="59.13978494623656"/>
    <s v="CLP"/>
    <s v="CHILE"/>
    <d v="2026-03-01T00:00:00"/>
    <s v="AV"/>
    <m/>
    <m/>
  </r>
  <r>
    <x v="0"/>
    <s v="5.786.817-1"/>
    <s v="MARIO FERNANDO MUÑOZ SILVA"/>
    <s v="29/01/2026"/>
    <s v="SEXTA "/>
    <x v="0"/>
    <s v="AV ROOT MAX - 20 L"/>
    <s v="Agroveca"/>
    <s v="Guía de Despacho Electrónica"/>
    <n v="181"/>
    <s v="LITROS"/>
    <n v="40"/>
    <n v="424000"/>
    <n v="10600"/>
    <n v="455.91397849462368"/>
    <s v="CLP"/>
    <s v="CHILE"/>
    <d v="2026-05-30T00:00:00"/>
    <s v="AV"/>
    <m/>
    <m/>
  </r>
  <r>
    <x v="0"/>
    <s v="5.786.817-1"/>
    <s v="MARIO FERNANDO MUÑOZ SILVA"/>
    <s v="29/01/2026"/>
    <s v="SEXTA "/>
    <x v="0"/>
    <s v="AV MAX FULVIC 45% - 20 L"/>
    <s v="Agroveca"/>
    <s v="Guía de Despacho Electrónica"/>
    <n v="181"/>
    <s v="LITROS"/>
    <n v="80"/>
    <n v="288000"/>
    <n v="3600"/>
    <n v="309.67741935483872"/>
    <s v="CLP"/>
    <s v="CHILE"/>
    <d v="2026-05-30T00:00:00"/>
    <s v="AV"/>
    <m/>
    <m/>
  </r>
  <r>
    <x v="0"/>
    <s v="76.536.492-2"/>
    <s v="AGRICOLA FUNDO LA PIEDRA LIMITADA"/>
    <s v="30/01/2026"/>
    <s v="SEPTIMA"/>
    <x v="1"/>
    <s v="AV HUMIC ROOT - 1000 L"/>
    <s v="Agrocomercial"/>
    <s v="Guía de Despacho Electrónica"/>
    <n v="184"/>
    <s v="LITROS"/>
    <n v="1000"/>
    <n v="2000000"/>
    <n v="2000"/>
    <n v="2150.5376344086021"/>
    <s v="CLP"/>
    <s v="CHILE"/>
    <d v="2026-08-20T00:00:00"/>
    <s v="AV"/>
    <m/>
    <m/>
  </r>
  <r>
    <x v="0"/>
    <s v="77.536.995-7"/>
    <s v="RAMADA DE CAMPO SPA"/>
    <s v="30/01/2026"/>
    <s v="SEPTIMA "/>
    <x v="3"/>
    <s v="AV PLUS NUTRI MIX - 5 L"/>
    <s v="Agroveca"/>
    <s v="Guía de Despacho Electrónica"/>
    <n v="185"/>
    <s v="LITROS"/>
    <n v="5"/>
    <n v="32625"/>
    <n v="6525"/>
    <n v="35.08064516129032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n v="30.64516129032258"/>
    <s v="CLP"/>
    <s v="CHILE"/>
    <d v="2026-05-30T00:00:00"/>
    <s v="AV"/>
    <m/>
    <m/>
  </r>
  <r>
    <x v="0"/>
    <s v="77.536.995-7"/>
    <s v="RAMADA DE CAMPO SPA"/>
    <s v="30/01/2026"/>
    <s v="SEPTIMA "/>
    <x v="3"/>
    <s v="AV ROOT MAX - 1 L"/>
    <s v="Agroveca"/>
    <s v="Guía de Despacho Electrónica"/>
    <n v="185"/>
    <s v="LITROS"/>
    <n v="5"/>
    <n v="53625"/>
    <n v="10725"/>
    <n v="57.661290322580648"/>
    <s v="CLP"/>
    <s v="CHILE"/>
    <d v="2026-05-30T00:00:00"/>
    <s v="AV"/>
    <m/>
    <m/>
  </r>
  <r>
    <x v="0"/>
    <s v="77.536.995-7"/>
    <s v="RAMADA DE CAMPO SPA"/>
    <s v="30/01/2026"/>
    <s v="SEPTIMA"/>
    <x v="3"/>
    <s v="AV HUMIC ROOT - 20 L"/>
    <s v="Agroveca"/>
    <s v="Guía de Despacho Electrónica"/>
    <n v="185"/>
    <s v="LITROS"/>
    <n v="40"/>
    <n v="151520"/>
    <n v="3788"/>
    <n v="162.92473118279571"/>
    <s v="CLP"/>
    <s v="CHILE"/>
    <d v="2026-05-30T00:00:00"/>
    <s v="AV"/>
    <m/>
    <m/>
  </r>
  <r>
    <x v="0"/>
    <s v="77.536.995-7"/>
    <s v="RAMADA DE CAMPO SPA"/>
    <s v="30/01/2026"/>
    <s v="SEPTIMA "/>
    <x v="3"/>
    <s v="AV PLUS MAGNESIO - 1 L"/>
    <s v="Agroveca"/>
    <s v="Guía de Despacho Electrónica"/>
    <n v="185"/>
    <s v="LITROS"/>
    <n v="6"/>
    <n v="37350"/>
    <n v="6225"/>
    <n v="40.161290322580648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n v="66.935483870967744"/>
    <s v="CLP"/>
    <s v="CHILE"/>
    <d v="2026-05-30T00:00:00"/>
    <s v="AV"/>
    <m/>
    <m/>
  </r>
  <r>
    <x v="0"/>
    <s v="77.536.995-7"/>
    <s v="RAMADA DE CAMPO SPA"/>
    <s v="30/01/2026"/>
    <s v="SEPTIMA "/>
    <x v="3"/>
    <s v="AV SILFORTE - 1 L"/>
    <s v="Agroveca"/>
    <s v="Guía de Despacho Electrónica"/>
    <n v="185"/>
    <s v="LITROS"/>
    <n v="4"/>
    <n v="58800"/>
    <n v="14700"/>
    <n v="63.225806451612904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n v="58.064516129032256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n v="92.741935483870961"/>
    <s v="CLP"/>
    <s v="CHILE"/>
    <d v="2026-05-30T00:00:00"/>
    <s v="AV"/>
    <m/>
    <m/>
  </r>
  <r>
    <x v="0"/>
    <s v="77.536.995-7"/>
    <s v="RAMADA DE CAMPO SPA"/>
    <s v="30/01/2026"/>
    <s v="SEPTIMA"/>
    <x v="3"/>
    <s v="AV CYTO PRIME - 1 L"/>
    <s v="Agroveca"/>
    <s v="Guía de Despacho Electrónica"/>
    <n v="185"/>
    <s v="LITROS"/>
    <n v="2"/>
    <n v="39750"/>
    <n v="19875"/>
    <n v="42.741935483870968"/>
    <s v="CLP"/>
    <s v="CHILE"/>
    <d v="2026-05-30T00:00:00"/>
    <s v="AV"/>
    <m/>
    <m/>
  </r>
  <r>
    <x v="0"/>
    <s v="77.536.995-7"/>
    <s v="RAMADA DE CAMPO SPA"/>
    <s v="30/01/2026"/>
    <s v="SEPTIMA "/>
    <x v="3"/>
    <s v="AV BALANCE - 1 L"/>
    <s v="Agroveca"/>
    <s v="Guía de Despacho Electrónica"/>
    <n v="185"/>
    <s v="LITROS"/>
    <n v="3"/>
    <n v="49275"/>
    <n v="16425"/>
    <n v="52.983870967741936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n v="58.064516129032256"/>
    <s v="CLP"/>
    <s v="CHILE"/>
    <d v="2026-05-30T00:00:00"/>
    <s v="AV"/>
    <m/>
    <m/>
  </r>
  <r>
    <x v="0"/>
    <s v="77.536.995-7"/>
    <s v="RAMADA DE CAMPO SPA"/>
    <s v="30/01/2026"/>
    <s v="SEPTIMA "/>
    <x v="3"/>
    <s v="AV PLUS CALCIO - 1 L"/>
    <s v="Agroveca"/>
    <s v="Guía de Despacho Electrónica"/>
    <n v="185"/>
    <s v="LITROS"/>
    <n v="8"/>
    <n v="49800"/>
    <n v="6225"/>
    <n v="53.548387096774192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n v="66.935483870967744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n v="92.741935483870961"/>
    <s v="CLP"/>
    <s v="CHILE"/>
    <d v="2026-05-30T00:00:00"/>
    <s v="AV"/>
    <m/>
    <m/>
  </r>
  <r>
    <x v="0"/>
    <s v="77.536.995-7"/>
    <s v="RAMADA DE CAMPO SPA"/>
    <s v="30/01/2026"/>
    <s v="SEPTIMA"/>
    <x v="3"/>
    <s v="AV PLUS MAGNESIO - 1 L"/>
    <s v="Agroveca"/>
    <s v="Guía de Despacho Electrónica"/>
    <n v="185"/>
    <s v="LITROS"/>
    <n v="6"/>
    <n v="37350"/>
    <n v="6225"/>
    <n v="40.161290322580648"/>
    <s v="CLP"/>
    <s v="CHILE"/>
    <d v="2026-05-30T00:00:00"/>
    <s v="AV"/>
    <m/>
    <m/>
  </r>
  <r>
    <x v="0"/>
    <s v="77.536.995-7"/>
    <s v="RAMADA DE CAMPO SPA"/>
    <s v="30/01/2026"/>
    <s v="SEPTIMA "/>
    <x v="3"/>
    <s v="AV PLUS NUTRI MIX - 1 L"/>
    <s v="Agroveca"/>
    <s v="Guía de Despacho Electrónica"/>
    <n v="185"/>
    <s v="LITROS"/>
    <n v="8"/>
    <n v="52200"/>
    <n v="6525"/>
    <n v="56.12903225806452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n v="30.64516129032258"/>
    <s v="CLP"/>
    <s v="CHILE"/>
    <d v="2026-05-30T00:00:00"/>
    <s v="AV"/>
    <m/>
    <m/>
  </r>
  <r>
    <x v="0"/>
    <s v="77.536.995-7"/>
    <s v="RAMADA DE CAMPO SPA"/>
    <s v="30/01/2026"/>
    <s v="SEPTIMA "/>
    <x v="3"/>
    <s v="AV BIOVECA PRADERAS - 250 GR"/>
    <s v="Agrocomercial"/>
    <s v="Guía de Despacho Electrónica"/>
    <n v="185"/>
    <s v="UNIDAD"/>
    <n v="6"/>
    <n v="157500"/>
    <n v="26250"/>
    <n v="169.35483870967741"/>
    <s v="CLP"/>
    <s v="CHILE"/>
    <d v="2026-05-30T00:00:00"/>
    <s v="AV"/>
    <m/>
    <m/>
  </r>
  <r>
    <x v="0"/>
    <s v="77.941.544-9"/>
    <s v="BODEN SPA"/>
    <s v="30/01/2026"/>
    <s v="LOS LAGOS"/>
    <x v="3"/>
    <s v="BODENPRO POTASIO - 20 L"/>
    <s v="Agrocomercial"/>
    <s v="Guía de Despacho Electrónica"/>
    <n v="187"/>
    <s v="LITROS"/>
    <n v="2000"/>
    <n v="3780000"/>
    <n v="1890"/>
    <n v="4064.516129032258"/>
    <s v="CLP"/>
    <s v="CHILE"/>
    <d v="2026-06-01T00:00:00"/>
    <s v="AV"/>
    <m/>
    <m/>
  </r>
  <r>
    <x v="1"/>
    <s v="76.238.110-9"/>
    <s v="AGRICOLA FRANCISCA MONTES E.I.R.L"/>
    <s v="02/02/2026"/>
    <s v="SEXTA"/>
    <x v="0"/>
    <s v="AV BALANCE - 20 L"/>
    <s v="Agroveca"/>
    <s v="Factura Electrónica"/>
    <n v="483"/>
    <s v="LITROS"/>
    <n v="20"/>
    <n v="300000"/>
    <n v="15000"/>
    <n v="322.5806451612903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5 L"/>
    <s v="Agroveca"/>
    <s v="Factura Electrónica"/>
    <n v="483"/>
    <s v="LITROS"/>
    <n v="5"/>
    <n v="75000"/>
    <n v="15000"/>
    <n v="80.645161290322577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1 L"/>
    <s v="Agroveca"/>
    <s v="Factura Electrónica"/>
    <n v="483"/>
    <s v="LITROS"/>
    <n v="1"/>
    <n v="15000"/>
    <n v="15000"/>
    <n v="16.129032258064516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20 L"/>
    <s v="Agroveca"/>
    <s v="Factura Electrónica"/>
    <n v="483"/>
    <s v="LITROS"/>
    <n v="20"/>
    <n v="80000"/>
    <n v="4000"/>
    <n v="86.02150537634408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5 L"/>
    <s v="Agroveca"/>
    <s v="Factura Electrónica"/>
    <n v="483"/>
    <s v="LITROS"/>
    <n v="5"/>
    <n v="20000"/>
    <n v="4000"/>
    <n v="21.50537634408602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1 L"/>
    <s v="Agroveca"/>
    <s v="Factura Electrónica"/>
    <n v="483"/>
    <s v="LITROS"/>
    <n v="1"/>
    <n v="4000"/>
    <n v="4000"/>
    <n v="4.301075268817204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20 L"/>
    <s v="Agroveca"/>
    <s v="Factura Electrónica"/>
    <n v="483"/>
    <s v="LITROS"/>
    <n v="20"/>
    <n v="80000"/>
    <n v="4000"/>
    <n v="86.021505376344081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5 L"/>
    <s v="Agroveca"/>
    <s v="Factura Electrónica"/>
    <n v="483"/>
    <s v="LITROS"/>
    <n v="5"/>
    <n v="20000"/>
    <n v="4000"/>
    <n v="21.50537634408602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1 L"/>
    <s v="Agroveca"/>
    <s v="Factura Electrónica"/>
    <n v="483"/>
    <s v="LITROS"/>
    <n v="1"/>
    <n v="4000"/>
    <n v="4000"/>
    <n v="4.301075268817204"/>
    <s v="CLP"/>
    <s v="CHILE"/>
    <d v="2026-03-04T00:00:00"/>
    <s v="AV"/>
    <m/>
    <m/>
  </r>
  <r>
    <x v="1"/>
    <s v="76.421.617-2"/>
    <s v="AGRICOLA CASA DEL CERRILLO EIRL"/>
    <s v="02/02/2026"/>
    <s v="QUINTA"/>
    <x v="1"/>
    <s v="AV AMIN SUGAR - 20 L"/>
    <s v="Agroveca"/>
    <s v="Factura Electrónica"/>
    <n v="484"/>
    <s v="LITROS"/>
    <n v="20"/>
    <n v="110000"/>
    <n v="5500"/>
    <n v="118.27956989247312"/>
    <s v="CLP"/>
    <s v="CHILE"/>
    <d v="2026-03-01T00:00:00"/>
    <s v="AV"/>
    <m/>
    <m/>
  </r>
  <r>
    <x v="1"/>
    <s v="76.421.617-2"/>
    <s v="AGRICOLA CASA DEL CERRILLO EIRL"/>
    <s v="02/02/2026"/>
    <s v="QUINTA"/>
    <x v="1"/>
    <s v="AV AMIN SUGAR - 5 L"/>
    <s v="Agroveca"/>
    <s v="Factura Electrónica"/>
    <n v="484"/>
    <s v="LITROS"/>
    <n v="5"/>
    <n v="27500"/>
    <n v="5500"/>
    <n v="29.56989247311828"/>
    <s v="CLP"/>
    <s v="CHILE"/>
    <d v="2026-03-01T00:00:00"/>
    <s v="AV"/>
    <m/>
    <m/>
  </r>
  <r>
    <x v="1"/>
    <s v="76.412.827-3"/>
    <s v="FRUTICOLA RIO BLANCO SPA"/>
    <s v="02/02/2026"/>
    <s v="METROPOLITANA"/>
    <x v="0"/>
    <s v="AV ROOT MAX - 20 L"/>
    <s v="Agroveca"/>
    <s v="Factura Electrónica"/>
    <n v="485"/>
    <s v="LITROS"/>
    <n v="40"/>
    <n v="0"/>
    <n v="0"/>
    <n v="0"/>
    <s v="CLP"/>
    <s v="CHILE"/>
    <d v="2026-04-30T00:00:00"/>
    <s v="AV"/>
    <s v="GUIA N 162"/>
    <d v="2026-01-22T00:00:00"/>
  </r>
  <r>
    <x v="1"/>
    <s v="76.031.255-K"/>
    <s v="AGRICOLA LLANQUIHUE S.A."/>
    <s v="02/02/2026"/>
    <s v="DECIMA"/>
    <x v="0"/>
    <s v="AV BIOVECA PRADERAS - 250 GR"/>
    <s v="Agroveca"/>
    <s v="Factura Electrónica"/>
    <n v="486"/>
    <s v="UNIDAD"/>
    <n v="100"/>
    <n v="2600000"/>
    <n v="26000"/>
    <n v="0"/>
    <s v="CLP"/>
    <s v="CHILE"/>
    <d v="2026-03-04T00:00:00"/>
    <s v="AV"/>
    <s v="GUIA N 188"/>
    <d v="2026-02-02T00:00:00"/>
  </r>
  <r>
    <x v="1"/>
    <s v="76.031.255-K"/>
    <s v="AGRICOLA LLANQUIHUE S.A."/>
    <s v="02/02/2026"/>
    <s v="DECIMA"/>
    <x v="0"/>
    <s v="AV BIOVECA PRADERAS - 250 GR"/>
    <s v="Agroveca"/>
    <s v="Guía de Despacho Electrónica"/>
    <n v="188"/>
    <s v="UNIDAD"/>
    <n v="100"/>
    <n v="0"/>
    <n v="0"/>
    <n v="0"/>
    <s v="CLP"/>
    <s v="CHILE"/>
    <d v="2026-03-04T00:00:00"/>
    <s v="AV"/>
    <m/>
    <m/>
  </r>
  <r>
    <x v="1"/>
    <s v="77.036.196-6"/>
    <s v="SOCIEDAD COMERCIAL RYN SPA"/>
    <s v="02/02/2026"/>
    <s v="SEXTA"/>
    <x v="4"/>
    <s v="AV HUMIC ROOT - 20 L"/>
    <s v="Agroveca"/>
    <s v="Guía de Despacho Electrónica"/>
    <n v="189"/>
    <s v="LITROS"/>
    <n v="100"/>
    <n v="270000"/>
    <n v="2700"/>
    <n v="290.32258064516128"/>
    <s v="CLP"/>
    <s v="CHILE"/>
    <d v="2026-05-31T00:00:00"/>
    <s v="AV"/>
    <m/>
    <m/>
  </r>
  <r>
    <x v="1"/>
    <s v="77.036.196-6"/>
    <s v="SOCIEDAD COMERCIAL RYN SPA"/>
    <s v="02/02/2026"/>
    <s v="SEXTA"/>
    <x v="4"/>
    <s v="AV HUMIC ROOT - 200 L"/>
    <s v="Agroveca"/>
    <s v="Guía de Despacho Electrónica"/>
    <n v="189"/>
    <s v="LITROS"/>
    <n v="400"/>
    <n v="1000000"/>
    <n v="2500"/>
    <n v="1075.2688172043011"/>
    <s v="CLP"/>
    <s v="CHILE"/>
    <d v="2026-05-31T00:00:00"/>
    <s v="AV"/>
    <m/>
    <m/>
  </r>
  <r>
    <x v="1"/>
    <s v="17.504.838-3"/>
    <s v="ALUDI ALEJANDRA REYES PEREZ"/>
    <s v="03/02/2026"/>
    <s v="SEXTA"/>
    <x v="4"/>
    <s v="AV BALANCE - 20 L"/>
    <s v="Agroveca"/>
    <s v="Factura Electrónica"/>
    <n v="487"/>
    <s v="LITROS"/>
    <n v="20"/>
    <n v="235600"/>
    <n v="11780"/>
    <n v="253.33333333333334"/>
    <s v="CLP"/>
    <s v="CHILE"/>
    <d v="2026-03-05T00:00:00"/>
    <s v="AV"/>
    <m/>
    <m/>
  </r>
  <r>
    <x v="1"/>
    <s v="17.504.838-3"/>
    <s v="ALUDI ALEJANDRA REYES PEREZ"/>
    <s v="03/02/2026"/>
    <s v="SEXTA"/>
    <x v="4"/>
    <s v="AV PLUS MAGNESIO - 5 L"/>
    <s v="Agroveca"/>
    <s v="Factura Electrónica"/>
    <n v="487"/>
    <s v="LITROS"/>
    <n v="10"/>
    <n v="43300"/>
    <n v="4330"/>
    <n v="46.55913978494624"/>
    <s v="CLP"/>
    <s v="CHILE"/>
    <d v="2026-03-05T00:00:00"/>
    <s v="AV"/>
    <m/>
    <m/>
  </r>
  <r>
    <x v="1"/>
    <s v="78.109.329-7"/>
    <s v="SOCIEDAD COMERCIAL HIERBA BUENA LIMITADA"/>
    <s v="03/02/2026"/>
    <s v="METROPOLITANA"/>
    <x v="7"/>
    <s v="BALANCE 500CC GATILLO"/>
    <s v="Agrocomercial"/>
    <s v="Factura Electrónica"/>
    <n v="488"/>
    <s v="UNIDAD"/>
    <n v="20"/>
    <n v="0"/>
    <n v="0"/>
    <n v="72.27956989247312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SILFORTEM 500 CC GATILLO"/>
    <s v="Agrocomercial"/>
    <s v="Factura Electrónica"/>
    <n v="488"/>
    <s v="UNIDAD"/>
    <n v="5"/>
    <n v="0"/>
    <n v="0"/>
    <n v="17.161290322580644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500CC"/>
    <s v="Agrocomercial"/>
    <s v="Factura Electrónica"/>
    <n v="488"/>
    <s v="UNIDAD"/>
    <n v="1"/>
    <n v="0"/>
    <n v="0"/>
    <n v="12.334408602150537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200CC"/>
    <s v="Agrocomercial"/>
    <s v="Factura Electrónica"/>
    <n v="488"/>
    <s v="UNIDAD"/>
    <n v="3"/>
    <n v="0"/>
    <n v="0"/>
    <n v="19.35483870967742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TERRAPULSE CONC. 200 CC"/>
    <s v="Agrocomercial"/>
    <s v="Factura Electrónica"/>
    <n v="488"/>
    <s v="UNIDAD"/>
    <n v="5"/>
    <n v="0"/>
    <n v="0"/>
    <n v="29.56989247311828"/>
    <s v="CLP"/>
    <s v="CHILE"/>
    <d v="2026-02-03T00:00:00"/>
    <s v="AV"/>
    <m/>
    <m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89"/>
    <s v="LTS"/>
    <n v="200"/>
    <n v="0"/>
    <n v="0"/>
    <n v="0"/>
    <s v="CLP"/>
    <s v="CHILE"/>
    <d v="2026-02-08T00:00:00"/>
    <s v="AV"/>
    <s v="GUIA N 96"/>
    <d v="2025-12-10T00:00:00"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90"/>
    <s v="LTS"/>
    <n v="300"/>
    <n v="0"/>
    <n v="0"/>
    <n v="0"/>
    <s v="CLP"/>
    <s v="CHILE"/>
    <d v="2026-02-14T00:00:00"/>
    <s v="AV"/>
    <s v="GUIA N 103"/>
    <d v="2026-12-16T00:00:00"/>
  </r>
  <r>
    <x v="1"/>
    <s v="77.112.646-4"/>
    <s v="AGRICOLA LAS VERTIENTES S.A."/>
    <s v="04/02/2026"/>
    <s v="SEXTA"/>
    <x v="4"/>
    <s v="AV BALANCE - 20 L"/>
    <s v="Agrocomercial"/>
    <s v="Factura Electrónica"/>
    <n v="491"/>
    <s v="LITROS"/>
    <n v="120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5 L"/>
    <s v="Agrocomercial"/>
    <s v="Factura Electrónica"/>
    <n v="491"/>
    <s v="LITROS"/>
    <n v="5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1 L"/>
    <s v="Agrocomercial"/>
    <s v="Factura Electrónica"/>
    <n v="491"/>
    <s v="LITROS"/>
    <n v="1"/>
    <n v="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PLUS ZINC MANGANESO - 20 L"/>
    <s v="Agroveca"/>
    <s v="Factura Electrónica"/>
    <n v="492"/>
    <s v="LITROS"/>
    <n v="60"/>
    <n v="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MAGNESIO - 20 L"/>
    <s v="Agroveca"/>
    <s v="Factura Electrónica"/>
    <n v="492"/>
    <s v="LITROS"/>
    <n v="480"/>
    <n v="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POTASIO - 20 L"/>
    <s v="Agroveca"/>
    <s v="Factura Electrónica"/>
    <n v="492"/>
    <s v="LITROS"/>
    <n v="440"/>
    <n v="0"/>
    <n v="0"/>
    <n v="0"/>
    <s v="CLP"/>
    <s v="CHILE"/>
    <d v="2026-05-22T00:00:00"/>
    <s v="AV"/>
    <s v="GUIA N 168"/>
    <d v="2026-01-23T00:00:00"/>
  </r>
  <r>
    <x v="1"/>
    <s v="78.260.910-6"/>
    <s v="SOC AGRICOLA SANTA TERESA LIMITADA"/>
    <s v="05/02/2026"/>
    <s v="CUARTA"/>
    <x v="0"/>
    <s v="VECA MAX FULVIC 45% - 20 L"/>
    <s v="Agroveca"/>
    <s v="Factura Electrónica"/>
    <n v="493"/>
    <s v="LTS"/>
    <n v="32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20 L"/>
    <s v="Agroveca"/>
    <s v="Factura Electrónica"/>
    <n v="493"/>
    <s v="LTS"/>
    <n v="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5 L"/>
    <s v="Agroveca"/>
    <s v="Factura Electrónica"/>
    <n v="493"/>
    <s v="LTS"/>
    <n v="1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20 L"/>
    <s v="Agroveca"/>
    <s v="Factura Electrónica"/>
    <n v="493"/>
    <s v="LTS"/>
    <n v="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5 L"/>
    <s v="Agroveca"/>
    <s v="Factura Electrónica"/>
    <n v="493"/>
    <s v="LTS"/>
    <n v="1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ALGAP 30 - 20 L"/>
    <s v="Agroveca"/>
    <s v="Factura Electrónica"/>
    <n v="493"/>
    <s v="LTS"/>
    <n v="32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AMIN - 20 L"/>
    <s v="Agroveca"/>
    <s v="Factura Electrónica"/>
    <n v="493"/>
    <s v="LTS"/>
    <n v="28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BLOOM - 20 L"/>
    <s v="Agroveca"/>
    <s v="Factura Electrónica"/>
    <n v="493"/>
    <s v="LTS"/>
    <n v="140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BIOVECA RAIZ - 500 GRS"/>
    <s v="Agroveca"/>
    <s v="Factura Electrónica"/>
    <n v="493"/>
    <s v="UN"/>
    <n v="28"/>
    <n v="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ROOT MAX - 20 L"/>
    <s v="Agroveca"/>
    <s v="Factura Electrónica"/>
    <n v="493"/>
    <s v="LTS"/>
    <n v="460"/>
    <n v="0"/>
    <n v="0"/>
    <n v="0"/>
    <s v="CLP"/>
    <s v="CHILE"/>
    <d v="2026-03-07T00:00:00"/>
    <s v="AV"/>
    <s v="GUIA AV N 832"/>
    <d v="2025-11-17T00:00:00"/>
  </r>
  <r>
    <x v="1"/>
    <s v="77.242.610-0"/>
    <s v="SOC AGRICOLA LAS TINAJAS LIMITADA"/>
    <s v="05/02/2026"/>
    <s v="CUARTA"/>
    <x v="4"/>
    <s v="AV ALGAP 30 - 20 L"/>
    <s v="Agrocomercial"/>
    <s v="Guía de Despacho Electrónica"/>
    <n v="194"/>
    <s v="LITROS"/>
    <n v="80"/>
    <n v="336175"/>
    <n v="4202.1875"/>
    <n v="361.47849462365593"/>
    <s v="CLP"/>
    <s v="CHILE"/>
    <d v="2026-06-05T00:00:00"/>
    <s v="AV"/>
    <m/>
    <m/>
  </r>
  <r>
    <x v="1"/>
    <s v="77.242.610-0"/>
    <s v="SOC AGRICOLA LAS TINAJAS LIMITADA"/>
    <s v="05/02/2026"/>
    <s v="CUARTA"/>
    <x v="4"/>
    <s v="AV ALGAP 30 - 5 L"/>
    <s v="Agrocomercial"/>
    <s v="Guía de Despacho Electrónica"/>
    <n v="194"/>
    <s v="LITROS"/>
    <n v="10"/>
    <n v="42022"/>
    <n v="4202.2"/>
    <n v="45.184946236559142"/>
    <s v="CLP"/>
    <s v="CHILE"/>
    <d v="2026-06-05T00:00:00"/>
    <s v="AV"/>
    <m/>
    <m/>
  </r>
  <r>
    <x v="1"/>
    <s v="77.773.872-0"/>
    <s v="GREENBRO SPA"/>
    <s v="06/02/2026"/>
    <s v="SEXTA"/>
    <x v="0"/>
    <s v="AV ROOT MAX - 20 L"/>
    <s v="Agroveca"/>
    <s v="Guía de Despacho Electrónica"/>
    <n v="195"/>
    <s v="LITROS"/>
    <n v="20"/>
    <n v="178400"/>
    <n v="8920"/>
    <n v="191.8279569892473"/>
    <s v="CLP"/>
    <s v="CHILE"/>
    <d v="2026-03-08T00:00:00"/>
    <s v="AV"/>
    <m/>
    <m/>
  </r>
  <r>
    <x v="1"/>
    <s v="77.773.872-0"/>
    <s v="GREENBRO SPA"/>
    <s v="06/02/2026"/>
    <s v="SEXTA"/>
    <x v="0"/>
    <s v="AV AMIN - 20 L"/>
    <s v="Agroveca"/>
    <s v="Guía de Despacho Electrónica"/>
    <n v="195"/>
    <s v="LITROS"/>
    <n v="20"/>
    <n v="104800"/>
    <n v="5240"/>
    <n v="112.68817204301075"/>
    <s v="CLP"/>
    <s v="CHILE"/>
    <d v="2026-03-08T00:00:00"/>
    <s v="AV"/>
    <m/>
    <m/>
  </r>
  <r>
    <x v="1"/>
    <s v="77.773.872-0"/>
    <s v="GREENBRO SPA"/>
    <s v="06/02/2026"/>
    <s v="SEXTA"/>
    <x v="0"/>
    <s v="AV PLUS CALCIO BORO - 5 L"/>
    <s v="Agroveca"/>
    <s v="Guía de Despacho Electrónica"/>
    <n v="195"/>
    <s v="LITROS"/>
    <n v="5"/>
    <n v="28895"/>
    <n v="5779"/>
    <n v="31.06989247311828"/>
    <s v="CLP"/>
    <s v="CHILE"/>
    <d v="2026-03-08T00:00:00"/>
    <s v="AV"/>
    <m/>
    <m/>
  </r>
  <r>
    <x v="1"/>
    <s v="77.773.872-0"/>
    <s v="GREENBRO SPA"/>
    <s v="06/02/2026"/>
    <s v="SEXTA"/>
    <x v="0"/>
    <s v="AV BIOVECA RAIZ - 500 GR"/>
    <s v="Agroveca"/>
    <s v="Guía de Despacho Electrónica"/>
    <n v="195"/>
    <s v="UNIDAD"/>
    <n v="3"/>
    <n v="114000"/>
    <n v="38000"/>
    <n v="122.58064516129032"/>
    <s v="CLP"/>
    <s v="CHILE"/>
    <d v="2026-03-08T00:00:00"/>
    <s v="AV"/>
    <m/>
    <m/>
  </r>
  <r>
    <x v="1"/>
    <s v="77.773.872-0"/>
    <s v="GREENBRO SPA"/>
    <s v="06/02/2026"/>
    <s v="SEXTA"/>
    <x v="0"/>
    <s v="AV BIOVECA FOLIAR - 250 GR"/>
    <s v="Agroveca"/>
    <s v="Guía de Despacho Electrónica"/>
    <n v="195"/>
    <s v="UNIDAD"/>
    <n v="1"/>
    <n v="28000"/>
    <n v="28000"/>
    <n v="30.107526881720432"/>
    <s v="CLP"/>
    <s v="CHILE"/>
    <d v="2026-03-08T00:00:00"/>
    <s v="AV"/>
    <m/>
    <m/>
  </r>
  <r>
    <x v="1"/>
    <s v="77.773.872-0"/>
    <s v="GREENBRO SPA"/>
    <s v="06/02/2026"/>
    <s v="SEXTA"/>
    <x v="0"/>
    <s v="AV BIOVECA PRADERAS - 250 GR"/>
    <s v="Agroveca"/>
    <s v="Guía de Despacho Electrónica"/>
    <n v="195"/>
    <s v="UNIDAD"/>
    <n v="1"/>
    <n v="28000"/>
    <n v="28000"/>
    <n v="30.107526881720432"/>
    <s v="CLP"/>
    <s v="CHILE"/>
    <d v="2026-03-08T00:00:00"/>
    <s v="AV"/>
    <m/>
    <m/>
  </r>
  <r>
    <x v="1"/>
    <s v="11.260.728-5"/>
    <s v="RICARDO ANTONIO ARAYA ALVAREZ"/>
    <s v="06/02/2026"/>
    <s v="CUARTA"/>
    <x v="0"/>
    <s v="AV MAX FULVIC 45% - 20 L"/>
    <s v="Agroveca"/>
    <s v="Guía de Despacho Electrónica"/>
    <n v="196"/>
    <s v="LITROS"/>
    <n v="20"/>
    <n v="80000"/>
    <n v="4000"/>
    <n v="86.021505376344081"/>
    <s v="CLP"/>
    <s v="CHILE"/>
    <d v="2026-03-08T00:00:00"/>
    <s v="AV"/>
    <m/>
    <m/>
  </r>
  <r>
    <x v="1"/>
    <s v="11.260.728-5"/>
    <s v="RICARDO ANTONIO ARAYA ALVAREZ"/>
    <s v="06/02/2026"/>
    <s v="CUARTA"/>
    <x v="0"/>
    <s v="AV BIOVECA PRADERAS - 250 GR"/>
    <s v="Agroveca"/>
    <s v="Guía de Despacho Electrónica"/>
    <n v="196"/>
    <s v="UNIDAD"/>
    <n v="2"/>
    <n v="56000"/>
    <n v="28000"/>
    <n v="60.215053763440864"/>
    <s v="CLP"/>
    <s v="CHILE"/>
    <d v="2026-03-08T00:00:00"/>
    <s v="AV"/>
    <m/>
    <m/>
  </r>
  <r>
    <x v="1"/>
    <s v="11.260.728-5"/>
    <s v="RICARDO ANTONIO ARAYA ALVAREZ"/>
    <s v="06/02/2026"/>
    <s v="CUARTA"/>
    <x v="0"/>
    <s v="AV SILFORTE - 5 L"/>
    <s v="Agroveca"/>
    <s v="Guía de Despacho Electrónica"/>
    <n v="196"/>
    <s v="LITROS"/>
    <n v="10"/>
    <n v="103000"/>
    <n v="10300"/>
    <n v="110.75268817204301"/>
    <s v="CLP"/>
    <s v="CHILE"/>
    <d v="2026-03-08T00:00:00"/>
    <s v="AV"/>
    <m/>
    <m/>
  </r>
  <r>
    <x v="1"/>
    <s v="6.725.491-0"/>
    <s v="JOSE CRISTOBAL GONZALEZ CORREA"/>
    <s v="10/02/2026"/>
    <s v="SEXTA"/>
    <x v="4"/>
    <s v="AV PLUS POTASIO - 20 L"/>
    <s v="Agroveca"/>
    <s v="Factura Electrónica"/>
    <n v="494"/>
    <s v="LITROS"/>
    <n v="60"/>
    <n v="143520"/>
    <n v="2392"/>
    <n v="154.32258064516128"/>
    <s v="CLP"/>
    <s v="CHILE"/>
    <d v="2026-03-12T00:00:00"/>
    <s v="AV"/>
    <m/>
    <m/>
  </r>
  <r>
    <x v="1"/>
    <s v="78.485.940-1"/>
    <s v="H R INVERSIONES SPA"/>
    <s v="10/02/2026"/>
    <s v="QUINTA "/>
    <x v="1"/>
    <s v="AV HUMIC ROOT - 200 L"/>
    <s v="Agroveca"/>
    <s v="Factura Electrónica"/>
    <n v="495"/>
    <s v="LITROS"/>
    <n v="1000"/>
    <n v="2300000"/>
    <n v="2300"/>
    <n v="2473.1182795698924"/>
    <s v="CLP"/>
    <s v="CHILE"/>
    <d v="2026-05-02T00:00:00"/>
    <s v="AV"/>
    <m/>
    <m/>
  </r>
  <r>
    <x v="1"/>
    <s v="78.485.940-1"/>
    <s v="H R INVERSIONES SPA"/>
    <s v="10/02/2026"/>
    <s v="QUINTA "/>
    <x v="1"/>
    <s v="AV HUMIC ROOT - 20 L"/>
    <s v="Agroveca"/>
    <s v="Factura Electrónica"/>
    <n v="495"/>
    <s v="LITROS"/>
    <n v="80"/>
    <n v="184000"/>
    <n v="2300"/>
    <n v="197.84946236559139"/>
    <s v="CLP"/>
    <s v="CHILE"/>
    <d v="2026-05-02T00:00:00"/>
    <s v="AV"/>
    <m/>
    <m/>
  </r>
  <r>
    <x v="1"/>
    <s v="4.174.809-5"/>
    <s v="GUILLERMO SEGUNDO CONCHA BUSTOS"/>
    <s v="10/02/2026"/>
    <s v="TERCERA"/>
    <x v="5"/>
    <s v="AV MOVE - 20 L"/>
    <s v="Agroveca"/>
    <s v="Factura Electrónica"/>
    <n v="496"/>
    <s v="LITROS"/>
    <n v="100"/>
    <n v="840000"/>
    <n v="8400"/>
    <n v="903.22580645161293"/>
    <s v="CLP"/>
    <s v="CHILE"/>
    <d v="2026-02-10T00:00:00"/>
    <s v="AV"/>
    <m/>
    <m/>
  </r>
  <r>
    <x v="1"/>
    <s v="76.878.072-2"/>
    <s v="SOCIEDAD AGRICOLA FRUTOS DE ÑUBLE LIMITADA"/>
    <s v="10/02/2026"/>
    <s v="ÑUBLE "/>
    <x v="2"/>
    <s v="ANALISIS V-CO-0000 HOJAS ARANDANO"/>
    <s v="Laboratorio"/>
    <s v="Factura Electrónica"/>
    <n v="497"/>
    <s v="UN"/>
    <n v="2"/>
    <n v="0"/>
    <n v="0"/>
    <n v="112.68817204301075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ARANDANO"/>
    <s v="Laboratorio"/>
    <s v="Factura Electrónica"/>
    <n v="498"/>
    <s v="UN"/>
    <n v="1"/>
    <n v="0"/>
    <n v="0"/>
    <n v="56.344086021505376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CEREZO"/>
    <s v="Agrocomercial"/>
    <s v="Factura Electrónica"/>
    <n v="498"/>
    <s v="UN"/>
    <n v="1"/>
    <n v="0"/>
    <n v="0"/>
    <n v="56.344086021505376"/>
    <s v="CLP"/>
    <s v="CHILE"/>
    <d v="2026-02-10T00:00:00"/>
    <s v="AV"/>
    <m/>
    <m/>
  </r>
  <r>
    <x v="1"/>
    <s v="86.673.700-2"/>
    <s v="AGRICOLA LOS ALAMOS LTDA"/>
    <s v="10/02/2026"/>
    <s v="SEXTA"/>
    <x v="0"/>
    <s v="AV MOVE - 20 L"/>
    <s v="Agrocomercial"/>
    <s v="Factura Electrónica"/>
    <n v="499"/>
    <s v="LITROS"/>
    <n v="40"/>
    <n v="0"/>
    <n v="0"/>
    <n v="0"/>
    <s v="CLP"/>
    <s v="CHILE"/>
    <d v="2026-03-12T00:00:00"/>
    <s v="AV"/>
    <s v="GUIA N 198"/>
    <d v="2026-02-02T00:00:00"/>
  </r>
  <r>
    <x v="1"/>
    <s v="86.673.700-2"/>
    <s v="AGRICOLA LOS ALAMOS LTDA"/>
    <s v="10/02/2026"/>
    <s v="SEXTA"/>
    <x v="0"/>
    <s v="AV MOVE - 5 L"/>
    <s v="Agrocomercial"/>
    <s v="Factura Electrónica"/>
    <n v="499"/>
    <s v="LITROS"/>
    <n v="10"/>
    <n v="0"/>
    <n v="0"/>
    <n v="0"/>
    <s v="CLP"/>
    <s v="CHILE"/>
    <d v="2026-03-12T00:00:00"/>
    <s v="AV"/>
    <s v="GUIA N 198"/>
    <d v="2026-02-02T00:00:00"/>
  </r>
  <r>
    <x v="1"/>
    <s v="77.119.412-5"/>
    <s v="AGRICOLA ADNAL LTDA"/>
    <s v="10/02/2026"/>
    <s v="METROPOLITANA"/>
    <x v="0"/>
    <s v="AV SILFORTE - 20 L"/>
    <s v="Agroveca"/>
    <s v="Factura Electrónica"/>
    <n v="500"/>
    <s v="LITROS"/>
    <n v="60"/>
    <n v="858000"/>
    <n v="14300"/>
    <n v="922.58064516129036"/>
    <s v="CLP"/>
    <s v="CHILE"/>
    <d v="2026-03-12T00:00:00"/>
    <s v="AV"/>
    <m/>
    <m/>
  </r>
  <r>
    <x v="1"/>
    <s v="86.673.700-2"/>
    <s v="AGRICOLA LOS ALAMOS LTDA"/>
    <s v="10/02/2026"/>
    <s v="SEXTA"/>
    <x v="0"/>
    <s v="AV MOVE - 20 L"/>
    <s v="Agroveca"/>
    <s v="Factura Electrónica"/>
    <n v="501"/>
    <s v="LITROS"/>
    <n v="40"/>
    <n v="300000"/>
    <n v="7500"/>
    <n v="322.58064516129031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veca"/>
    <s v="Factura Electrónica"/>
    <n v="501"/>
    <s v="LITROS"/>
    <n v="10"/>
    <n v="75000"/>
    <n v="7500"/>
    <n v="80.645161290322577"/>
    <s v="CLP"/>
    <s v="CHILE"/>
    <d v="2026-03-12T00:00:00"/>
    <s v="AV"/>
    <m/>
    <m/>
  </r>
  <r>
    <x v="1"/>
    <s v="76.073.818-2"/>
    <s v="AGRICOLA LA ITALIANA LTDA"/>
    <s v="10/02/2026"/>
    <s v="CUARTA"/>
    <x v="0"/>
    <s v="AV BALANCE - 20 L"/>
    <s v="Agroveca"/>
    <s v="Factura Electrónica"/>
    <n v="502"/>
    <s v="LITROS"/>
    <n v="20"/>
    <n v="300000"/>
    <n v="15000"/>
    <n v="322.58064516129031"/>
    <s v="CLP"/>
    <s v="CHILE"/>
    <d v="2026-06-10T00:00:00"/>
    <s v="AV"/>
    <m/>
    <m/>
  </r>
  <r>
    <x v="1"/>
    <s v="11.260.728-5"/>
    <s v="RICARDO ANTONIO ARAYA ALVAREZ"/>
    <s v="10/02/2026"/>
    <s v="CUARTA"/>
    <x v="0"/>
    <s v="AV MAX FULVIC 45% - 20 L"/>
    <s v="Agroveca"/>
    <s v="Factura Electrónica"/>
    <n v="503"/>
    <s v="LITROS"/>
    <n v="20"/>
    <n v="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BIOVECA PRADERAS - 250 GR"/>
    <s v="Agroveca"/>
    <s v="Factura Electrónica"/>
    <n v="503"/>
    <s v="UNIDAD"/>
    <n v="2"/>
    <n v="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SILFORTE - 5 L"/>
    <s v="Agroveca"/>
    <s v="Factura Electrónica"/>
    <n v="503"/>
    <s v="LITROS"/>
    <n v="10"/>
    <n v="0"/>
    <n v="0"/>
    <n v="0"/>
    <s v="CLP"/>
    <s v="CHILE"/>
    <d v="2026-03-12T00:00:00"/>
    <s v="AV"/>
    <s v="GUIA N 196"/>
    <d v="2026-02-06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4"/>
    <s v="LITROS"/>
    <n v="5"/>
    <n v="42713"/>
    <n v="8542.6"/>
    <n v="0"/>
    <s v="CLP"/>
    <s v="CHILE"/>
    <d v="2026-02-10T00:00:00"/>
    <s v="AV"/>
    <s v="GUIA N 200"/>
    <d v="2026-02-10T00:00:00"/>
  </r>
  <r>
    <x v="1"/>
    <s v="77.650.227-8"/>
    <s v="SOCIEDAD AGRICOLA COMERCIAL LA HIGUERA SPA"/>
    <s v="10/02/2026"/>
    <s v="SEXTA"/>
    <x v="3"/>
    <s v="VECA PLUS CALCIO - 5 L"/>
    <s v="Agrocomercial"/>
    <s v="Factura Electrónica"/>
    <n v="505"/>
    <s v="LTS"/>
    <n v="5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MOVE - 5 L"/>
    <s v="Agrocomercial"/>
    <s v="Factura Electrónica"/>
    <n v="505"/>
    <s v="LTS"/>
    <n v="5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AMIN - 1 L"/>
    <s v="Agrocomercial"/>
    <s v="Factura Electrónica"/>
    <n v="505"/>
    <s v="LTS"/>
    <n v="2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BIOVECA FOLIAR"/>
    <s v="Agrocomercial"/>
    <s v="Factura Electrónica"/>
    <n v="505"/>
    <s v="UN"/>
    <n v="1"/>
    <n v="0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6"/>
    <s v="LITROS"/>
    <n v="5"/>
    <n v="0"/>
    <n v="0"/>
    <n v="0"/>
    <s v="CLP"/>
    <s v="CHILE"/>
    <d v="2026-03-23T00:00:00"/>
    <s v="AV"/>
    <s v="GUIA N 165"/>
    <d v="2026-01-22T00:00:00"/>
  </r>
  <r>
    <x v="1"/>
    <s v="77.576.071-0"/>
    <s v="AGRICOLA E INVERSIONES VGV SPA"/>
    <s v="10/02/2026"/>
    <s v="QUINTA "/>
    <x v="1"/>
    <s v="AV HUMIC ROOT - 20 L"/>
    <s v="Agroveca"/>
    <s v="Guía de Despacho Electrónica"/>
    <n v="197"/>
    <s v="LITROS"/>
    <n v="200"/>
    <n v="500000"/>
    <n v="2500"/>
    <n v="537.63440860215053"/>
    <s v="CLP"/>
    <s v="CHILE"/>
    <d v="2026-08-01T00:00:00"/>
    <s v="AV"/>
    <m/>
    <m/>
  </r>
  <r>
    <x v="1"/>
    <s v="77.576.071-0"/>
    <s v="AGRICOLA E INVERSIONES VGV SPA"/>
    <s v="10/02/2026"/>
    <s v="QUINTA"/>
    <x v="1"/>
    <s v="AV SILFORTE - 20 L"/>
    <s v="Agroveca"/>
    <s v="Guía de Despacho Electrónica"/>
    <n v="197"/>
    <s v="LITROS"/>
    <n v="60"/>
    <n v="510000"/>
    <n v="8500"/>
    <n v="548.38709677419354"/>
    <s v="CLP"/>
    <s v="CHILE"/>
    <d v="2026-08-01T00:00:00"/>
    <s v="AV"/>
    <m/>
    <m/>
  </r>
  <r>
    <x v="1"/>
    <s v="86.673.700-2"/>
    <s v="AGRICOLA LOS ALAMOS LTDA"/>
    <s v="10/02/2026"/>
    <s v="SEXTA"/>
    <x v="0"/>
    <s v="AV MOVE - 20 L"/>
    <s v="Agrocomercial"/>
    <s v="Guía de Despacho Electrónica"/>
    <n v="198"/>
    <s v="LITROS"/>
    <n v="40"/>
    <n v="0"/>
    <n v="0"/>
    <n v="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comercial"/>
    <s v="Guía de Despacho Electrónica"/>
    <n v="198"/>
    <s v="LITROS"/>
    <n v="10"/>
    <n v="0"/>
    <n v="0"/>
    <n v="0"/>
    <s v="CLP"/>
    <s v="CHILE"/>
    <d v="2026-03-12T00:00:00"/>
    <s v="AV"/>
    <m/>
    <m/>
  </r>
  <r>
    <x v="1"/>
    <s v="77.650.227-8"/>
    <s v="SOCIEDAD AGRICOLA COMERCIAL LA HIGUERA SPA"/>
    <s v="10/02/2026"/>
    <s v="SEXTA"/>
    <x v="3"/>
    <s v="AV MOVE - 5 L"/>
    <s v="Agrocomercial"/>
    <s v="Guía de Despacho Electrónica"/>
    <n v="200"/>
    <s v="LITROS"/>
    <n v="5"/>
    <n v="0"/>
    <n v="0"/>
    <n v="0"/>
    <s v="CLP"/>
    <s v="CHILE"/>
    <d v="2026-03-12T00:00:00"/>
    <s v="AV"/>
    <m/>
    <m/>
  </r>
  <r>
    <x v="1"/>
    <s v="76.788.317-K"/>
    <s v="AGRICOLA MARIO ALEJANDRO VIDAL NUNEZ EIRL"/>
    <s v="11/02/2026"/>
    <s v="SEXTA"/>
    <x v="3"/>
    <s v="AV CYTO PRIME - 5 L"/>
    <s v="Agrocomercial"/>
    <s v="Factura Electrónica"/>
    <n v="507"/>
    <s v="LITROS"/>
    <n v="5"/>
    <n v="94167"/>
    <n v="18833.400000000001"/>
    <n v="101.25483870967741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BALANCE - 5 L"/>
    <s v="Agrocomercial"/>
    <s v="Factura Electrónica"/>
    <n v="507"/>
    <s v="LITROS"/>
    <n v="5"/>
    <n v="77045"/>
    <n v="15409"/>
    <n v="82.844086021505376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AMIN - 5 L"/>
    <s v="Agrocomercial"/>
    <s v="Factura Electrónica"/>
    <n v="507"/>
    <s v="LITROS"/>
    <n v="20"/>
    <n v="154091"/>
    <n v="7704.55"/>
    <n v="165.68924731182796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CALCIO - 5 L"/>
    <s v="Agrocomercial"/>
    <s v="Factura Electrónica"/>
    <n v="507"/>
    <s v="LITROS"/>
    <n v="20"/>
    <n v="85606"/>
    <n v="4280.3"/>
    <n v="92.04946236559139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POTASIO - 5 L"/>
    <s v="Agrocomercial"/>
    <s v="Factura Electrónica"/>
    <n v="507"/>
    <s v="LITROS"/>
    <n v="20"/>
    <n v="85606"/>
    <n v="4280.3"/>
    <n v="92.04946236559139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15 40-20 - 5 L"/>
    <s v="Agrocomercial"/>
    <s v="Factura Electrónica"/>
    <n v="507"/>
    <s v="LITROS"/>
    <n v="20"/>
    <n v="119848"/>
    <n v="5992.4"/>
    <n v="128.86881720430108"/>
    <s v="CLP"/>
    <s v="CHILE"/>
    <d v="2026-02-11T00:00:00"/>
    <s v="AV"/>
    <m/>
    <m/>
  </r>
  <r>
    <x v="1"/>
    <s v="11.260.728-5"/>
    <s v="RICARDO ANTONIO ARAYA ALVAREZ"/>
    <s v="11/02/2026"/>
    <s v="CUARTA"/>
    <x v="0"/>
    <s v="AV BIOSOLARIS - 1 L"/>
    <s v="Agroveca"/>
    <s v="Factura Electrónica"/>
    <n v="508"/>
    <s v="LITROS"/>
    <n v="1"/>
    <n v="12800"/>
    <n v="12800"/>
    <n v="13.763440860215054"/>
    <s v="CLP"/>
    <s v="CHILE"/>
    <d v="2026-02-11T00:00:00"/>
    <s v="AV"/>
    <m/>
    <m/>
  </r>
  <r>
    <x v="1"/>
    <s v="14.109.149-2"/>
    <s v="EDUARDO MILTON IBACACHE ORTIZ"/>
    <s v="12/02/2026"/>
    <s v="CUARTA "/>
    <x v="0"/>
    <s v="AV SILFORTE - 5 L"/>
    <s v="Agroveca"/>
    <s v="Factura Electrónica"/>
    <n v="509"/>
    <s v="LITROS"/>
    <n v="5"/>
    <n v="51500"/>
    <n v="10300"/>
    <n v="55.376344086021504"/>
    <s v="CLP"/>
    <s v="CHILE"/>
    <d v="2026-02-12T00:00:00"/>
    <s v="AV"/>
    <m/>
    <m/>
  </r>
  <r>
    <x v="1"/>
    <s v="14.109.149-2"/>
    <s v="EDUARDO MILTON IBACACHE ORTIZ"/>
    <s v="12/02/2026"/>
    <s v="CUARTA "/>
    <x v="0"/>
    <s v="AV BIOSOLARIS - 5 L"/>
    <s v="Agroveca"/>
    <s v="Factura Electrónica"/>
    <n v="509"/>
    <s v="LITROS"/>
    <n v="5"/>
    <n v="65000"/>
    <n v="13000"/>
    <n v="69.892473118279568"/>
    <s v="CLP"/>
    <s v="CHILE"/>
    <d v="2026-02-12T00:00:00"/>
    <s v="AV"/>
    <m/>
    <m/>
  </r>
  <r>
    <x v="1"/>
    <s v="76.442.085-3"/>
    <s v="AGRICOLA TUNICHE LIMITADA"/>
    <s v="12/02/2026"/>
    <s v="SEXTA"/>
    <x v="4"/>
    <s v="AV15 40-20 - 20 L"/>
    <s v="Agroveca"/>
    <s v="Factura Electrónica"/>
    <n v="511"/>
    <s v="LITROS"/>
    <n v="20"/>
    <n v="0"/>
    <n v="0"/>
    <n v="106.7741935483871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Factura Electrónica"/>
    <n v="511"/>
    <s v="LITROS"/>
    <n v="10"/>
    <n v="0"/>
    <n v="0"/>
    <n v="53.387096774193552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Factura Electrónica"/>
    <n v="511"/>
    <s v="LITROS"/>
    <n v="60"/>
    <n v="0"/>
    <n v="0"/>
    <n v="193.2903225806451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Factura Electrónica"/>
    <n v="511"/>
    <s v="LITROS"/>
    <n v="40"/>
    <n v="0"/>
    <n v="0"/>
    <n v="128.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comercial"/>
    <s v="Guía de Despacho Electrónica"/>
    <n v="201"/>
    <s v="LITROS"/>
    <n v="20"/>
    <n v="59920"/>
    <n v="2996"/>
    <n v="64.430107526881727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1 L"/>
    <s v="Agrocomercial"/>
    <s v="Guía de Despacho Electrónica"/>
    <n v="201"/>
    <s v="LITROS"/>
    <n v="4"/>
    <n v="11984"/>
    <n v="2996"/>
    <n v="12.8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comercial"/>
    <s v="Guía de Despacho Electrónica"/>
    <n v="201"/>
    <s v="LITROS"/>
    <n v="40"/>
    <n v="119840"/>
    <n v="2996"/>
    <n v="128.86021505376345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20 L"/>
    <s v="Agroveca"/>
    <s v="Guía de Despacho Electrónica"/>
    <n v="202"/>
    <s v="LITROS"/>
    <n v="20"/>
    <n v="99300"/>
    <n v="4965"/>
    <n v="106.7741935483871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Guía de Despacho Electrónica"/>
    <n v="202"/>
    <s v="LITROS"/>
    <n v="10"/>
    <n v="49650"/>
    <n v="4965"/>
    <n v="53.387096774193552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Guía de Despacho Electrónica"/>
    <n v="202"/>
    <s v="LITROS"/>
    <n v="60"/>
    <n v="179760"/>
    <n v="2996"/>
    <n v="193.29032258064515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Guía de Despacho Electrónica"/>
    <n v="202"/>
    <s v="LITROS"/>
    <n v="40"/>
    <n v="119840"/>
    <n v="2996"/>
    <n v="128.86021505376345"/>
    <s v="CLP"/>
    <s v="CHILE"/>
    <d v="2026-04-13T00:00:00"/>
    <s v="AV"/>
    <m/>
    <m/>
  </r>
  <r>
    <x v="1"/>
    <s v="78.223.261-4"/>
    <s v="AGRICOLA TOMATERRA SPA"/>
    <s v="13/02/2026"/>
    <s v="QUINTA"/>
    <x v="1"/>
    <s v="AV ALGAP 30 - 200 L"/>
    <s v="Agrocomercial"/>
    <s v="Factura Electrónica"/>
    <n v="512"/>
    <s v="LITROS"/>
    <n v="200"/>
    <n v="800000"/>
    <n v="4000"/>
    <n v="860.21505376344089"/>
    <s v="CLP"/>
    <s v="CHILE"/>
    <d v="2026-02-13T00:00:00"/>
    <s v="AV"/>
    <m/>
    <m/>
  </r>
  <r>
    <x v="1"/>
    <s v="77.980.980-3"/>
    <s v="AGRICOLA GEOAGRO LTDA"/>
    <s v="13/02/2026"/>
    <s v="SEXTA"/>
    <x v="0"/>
    <s v="AV MOVE - 20 L"/>
    <s v="Agroveca"/>
    <s v="Factura Electrónica"/>
    <n v="513"/>
    <s v="LITROS"/>
    <n v="60"/>
    <n v="450000"/>
    <n v="7500"/>
    <n v="483.87096774193549"/>
    <s v="CLP"/>
    <s v="CHILE"/>
    <d v="2026-02-13T00:00:00"/>
    <s v="AV"/>
    <m/>
    <m/>
  </r>
  <r>
    <x v="1"/>
    <s v="77.980.980-3"/>
    <s v="AGRICOLA GEOAGRO LTDA"/>
    <s v="13/02/2026"/>
    <s v="SEXTA"/>
    <x v="0"/>
    <s v="AV MOVE - 5 L"/>
    <s v="Agroveca"/>
    <s v="Factura Electrónica"/>
    <n v="513"/>
    <s v="LITROS"/>
    <n v="10"/>
    <n v="75000"/>
    <n v="7500"/>
    <n v="80.645161290322577"/>
    <s v="CLP"/>
    <s v="CHILE"/>
    <d v="2026-02-13T00:00:00"/>
    <s v="AV"/>
    <m/>
    <m/>
  </r>
  <r>
    <x v="1"/>
    <s v="76.412.827-3"/>
    <s v="FRUTICOLA RIO BLANCO SPA"/>
    <s v="13/02/2026"/>
    <s v="METROPOLITANA"/>
    <x v="0"/>
    <s v="AV PLUS MICRO MIX - 20 L"/>
    <s v="Agrocomercial"/>
    <s v="Guía de Despacho Electrónica"/>
    <n v="203"/>
    <s v="LITROS"/>
    <n v="160"/>
    <n v="0"/>
    <n v="0"/>
    <n v="411.58709677419353"/>
    <s v="CLP"/>
    <s v="CHILE"/>
    <d v="2026-04-30T00:00:00"/>
    <s v="AV"/>
    <m/>
    <m/>
  </r>
  <r>
    <x v="1"/>
    <s v="76.412.827-3"/>
    <s v="FRUTICOLA RIO BLANCO SPA"/>
    <s v="13/02/2026"/>
    <s v="METROPOLITANA"/>
    <x v="0"/>
    <s v="AV PLUS MICRO MIX - 20 L"/>
    <s v="Agroveca"/>
    <s v="Guía de Despacho Electrónica"/>
    <n v="204"/>
    <s v="LITROS"/>
    <n v="200"/>
    <n v="0"/>
    <n v="0"/>
    <n v="514.48387096774195"/>
    <s v="CLP"/>
    <s v="CHILE"/>
    <d v="2026-04-30T00:00:00"/>
    <s v="AV"/>
    <m/>
    <m/>
  </r>
  <r>
    <x v="1"/>
    <s v="76.412.827-3"/>
    <s v="FRUTICOLA RIO BLANCO SPA"/>
    <s v="13/02/2026"/>
    <s v="METROPOLITANA"/>
    <x v="0"/>
    <s v="AV MOVE - 20 L"/>
    <s v="Agroveca"/>
    <s v="Guía de Despacho Electrónica"/>
    <n v="205"/>
    <s v="LITROS"/>
    <n v="180"/>
    <n v="1260000"/>
    <n v="7000"/>
    <n v="1354.8387096774193"/>
    <s v="CLP"/>
    <s v="CHILE"/>
    <d v="2026-04-30T00:00:00"/>
    <s v="AV"/>
    <m/>
    <m/>
  </r>
  <r>
    <x v="1"/>
    <s v="10.936.241-7"/>
    <s v="WILLEM BIERMA"/>
    <s v="17/02/2026"/>
    <s v="LOS LAGOS"/>
    <x v="3"/>
    <s v="AV MOVE - 20 L"/>
    <s v="Agrocomercial"/>
    <s v="Guía de Despacho Electrónica"/>
    <n v="206"/>
    <s v="LITROS"/>
    <n v="100"/>
    <n v="730000"/>
    <n v="7300"/>
    <n v="784.94623655913983"/>
    <s v="CLP"/>
    <s v="CHILE"/>
    <d v="2026-06-17T00:00:00"/>
    <s v="AV"/>
    <m/>
    <m/>
  </r>
  <r>
    <x v="1"/>
    <s v="78.295.150-5"/>
    <s v="AGRICOLA LLAHUEN S.A."/>
    <s v="18/02/2026"/>
    <s v="METROPOLITANA"/>
    <x v="5"/>
    <s v="AV ROOT MAX - 20 L"/>
    <s v="Agrocomercial"/>
    <s v="Factura Electrónica"/>
    <n v="514"/>
    <s v="LITROS"/>
    <n v="20"/>
    <n v="0"/>
    <n v="0"/>
    <n v="157.8279569892473"/>
    <s v="CLP"/>
    <s v="CHILE"/>
    <d v="2026-03-20T00:00:00"/>
    <s v="AV"/>
    <m/>
    <m/>
  </r>
  <r>
    <x v="1"/>
    <s v="77.870.899-K"/>
    <s v="CULTIAGRO SPA"/>
    <s v="18/02/2026"/>
    <s v="SEXTA"/>
    <x v="4"/>
    <s v="AV BALANCE - 5 L"/>
    <s v="Agrocomercial"/>
    <s v="Guía de Despacho Electrónica"/>
    <n v="207"/>
    <s v="LITROS"/>
    <n v="20"/>
    <n v="232800"/>
    <n v="11640"/>
    <n v="250.32258064516128"/>
    <s v="CLP"/>
    <s v="CHILE"/>
    <d v="2026-06-30T00:00:00"/>
    <s v="AV"/>
    <m/>
    <m/>
  </r>
  <r>
    <x v="1"/>
    <s v="77.870.899-K"/>
    <s v="CULTIAGRO SPA"/>
    <s v="18/02/2026"/>
    <s v="SEXTA"/>
    <x v="4"/>
    <s v="AV BALANCE - 1 L"/>
    <s v="Agrocomercial"/>
    <s v="Guía de Despacho Electrónica"/>
    <n v="207"/>
    <s v="LITROS"/>
    <n v="10"/>
    <n v="129300"/>
    <n v="12930"/>
    <n v="139.03225806451613"/>
    <s v="CLP"/>
    <s v="CHILE"/>
    <d v="2026-06-30T00:00:00"/>
    <s v="AV"/>
    <m/>
    <m/>
  </r>
  <r>
    <x v="1"/>
    <s v="89.255.000-K"/>
    <s v="AGRICOLA VICTORIA S.A."/>
    <s v="19/02/2026"/>
    <s v="METROPOLITANA"/>
    <x v="0"/>
    <s v="AV MOVE - 20 L"/>
    <s v="Agroveca"/>
    <s v="Factura Electrónica"/>
    <n v="515"/>
    <s v="LITROS"/>
    <n v="40"/>
    <n v="300000"/>
    <n v="7500"/>
    <n v="322.58064516129031"/>
    <s v="CLP"/>
    <s v="CHILE"/>
    <d v="2026-04-20T00:00:00"/>
    <s v="AV"/>
    <m/>
    <m/>
  </r>
  <r>
    <x v="1"/>
    <s v="89.255.000-K"/>
    <s v="AGRICOLA VICTORIA S.A."/>
    <s v="19/02/2026"/>
    <s v="METROPOLITANA"/>
    <x v="0"/>
    <s v="AV MOVE - 1 L"/>
    <s v="Agroveca"/>
    <s v="Factura Electrónica"/>
    <n v="515"/>
    <s v="LITROS"/>
    <n v="3"/>
    <n v="22500"/>
    <n v="7500"/>
    <n v="24.193548387096776"/>
    <s v="CLP"/>
    <s v="CHILE"/>
    <d v="2026-04-2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90"/>
    <s v="LITROS"/>
    <n v="500"/>
    <n v="2125000"/>
    <n v="4250"/>
    <n v="2284.9462365591398"/>
    <s v="CLP"/>
    <s v="CHILE"/>
    <d v="2026-06-01T00:00:00"/>
    <s v="AV"/>
    <m/>
    <m/>
  </r>
  <r>
    <x v="1"/>
    <s v="78.148.834-8"/>
    <s v="COMERCIALIZADORA LA COLONIA LIMITADA"/>
    <s v="20/02/2026"/>
    <s v="QUINTA"/>
    <x v="1"/>
    <s v="AV AMIN SUGAR - 20 L"/>
    <s v="Agroveca"/>
    <s v="Guía de Despacho Electrónica"/>
    <n v="210"/>
    <s v="LITROS"/>
    <n v="500"/>
    <n v="2125000"/>
    <n v="4250"/>
    <n v="2284.9462365591398"/>
    <s v="CLP"/>
    <s v="CHILE"/>
    <d v="2026-08-19T00:00:00"/>
    <s v="AV"/>
    <m/>
    <m/>
  </r>
  <r>
    <x v="1"/>
    <s v="16.247.441-3"/>
    <s v="ROMINA DEL PILAR MACKENNA RIOS"/>
    <s v="20/02/2026"/>
    <s v="ÑUBLE "/>
    <x v="2"/>
    <s v="NUTRAMIX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BIOPOTASICO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GREEN PLANT 500CC GATILLO"/>
    <s v="Agrocomercial"/>
    <s v="Factura Electrónica"/>
    <n v="516"/>
    <s v="LITROS"/>
    <n v="1"/>
    <n v="0"/>
    <n v="0"/>
    <n v="3.6139784946236557"/>
    <s v="CLP"/>
    <s v="CHILE"/>
    <s v="20/02/2026"/>
    <s v="AV"/>
    <m/>
    <m/>
  </r>
  <r>
    <x v="1"/>
    <s v="16.247.441-3"/>
    <s v="ROMINA DEL PILAR MACKENNA RIOS"/>
    <s v="20/02/2026"/>
    <s v="ÑUBLE "/>
    <x v="2"/>
    <s v="BALANCE CONC. 200CC"/>
    <s v="Agrocomercial"/>
    <s v="Factura Electrónica"/>
    <n v="516"/>
    <s v="LITROS"/>
    <n v="1"/>
    <n v="0"/>
    <n v="0"/>
    <n v="6.4516129032258061"/>
    <s v="CLP"/>
    <s v="CHILE"/>
    <s v="20/02/2026"/>
    <s v="AV"/>
    <m/>
    <m/>
  </r>
  <r>
    <x v="1"/>
    <s v="16.247.441-3"/>
    <s v="ROMINA DEL PILAR MACKENNA RIOS"/>
    <s v="20/02/2026"/>
    <s v="ÑUBLE "/>
    <x v="2"/>
    <s v="TERRAPULSE CONC. 200 CC"/>
    <s v="Agrocomercial"/>
    <s v="Factura Electrónica"/>
    <n v="516"/>
    <s v="LITROS"/>
    <n v="2"/>
    <n v="0"/>
    <n v="0"/>
    <n v="12.903225806451612"/>
    <s v="CLP"/>
    <s v="CHILE"/>
    <s v="20/02/2026"/>
    <s v="AV"/>
    <m/>
    <m/>
  </r>
  <r>
    <x v="1"/>
    <s v="16.247.441-3"/>
    <s v="ROMINA DEL PILAR MACKENNA RIOS"/>
    <s v="20/02/2026"/>
    <s v="ÑUBLE "/>
    <x v="2"/>
    <s v="NUTRAMIX CONC. 200CC"/>
    <s v="Agrocomercial"/>
    <s v="Factura Electrónica"/>
    <n v="516"/>
    <s v="LITROS"/>
    <n v="1"/>
    <n v="0"/>
    <n v="0"/>
    <n v="6.4516129032258061"/>
    <s v="CLP"/>
    <s v="CHILE"/>
    <s v="20/02/2026"/>
    <s v="AV"/>
    <m/>
    <m/>
  </r>
  <r>
    <x v="1"/>
    <s v="16.247.441-3"/>
    <s v="ROMINA DEL PILAR MACKENNA RIOS"/>
    <s v="20/02/2026"/>
    <s v="ÑUBLE "/>
    <x v="2"/>
    <s v="BIOPOTASICO CONC. 200CC"/>
    <s v="Agrocomercial"/>
    <s v="Factura Electrónica"/>
    <n v="516"/>
    <s v="LITROS"/>
    <n v="2"/>
    <n v="0"/>
    <n v="0"/>
    <n v="12.903225806451612"/>
    <s v="CLP"/>
    <s v="CHILE"/>
    <s v="20/02/2026"/>
    <s v="AV"/>
    <m/>
    <m/>
  </r>
  <r>
    <x v="1"/>
    <s v="76.048.467-9"/>
    <s v="SOCIEDAD AGRICOLA VIVEROS EL TREMENDO LIMITADA"/>
    <s v="20/02/2026"/>
    <s v="QUINTA"/>
    <x v="1"/>
    <s v="AV PLUS MICRO MIX - 200 L"/>
    <s v="Agroveca"/>
    <s v="Factura Electrónica"/>
    <n v="517"/>
    <s v="LITROS"/>
    <n v="200"/>
    <n v="900000"/>
    <n v="4500"/>
    <n v="967.74193548387098"/>
    <s v="CLP"/>
    <s v="CHILE"/>
    <s v="20/02/2026"/>
    <s v="AV"/>
    <m/>
    <m/>
  </r>
  <r>
    <x v="1"/>
    <s v="77.758.114-7"/>
    <s v="SOCIEDAD AGRÍCOLA COMERCIAL SIEMBRA SPA"/>
    <s v="23/02/2026"/>
    <s v="SEXTA"/>
    <x v="4"/>
    <s v="AV BIOSOLARIS - 1 L"/>
    <s v="Agroveca"/>
    <s v="Factura Electrónica"/>
    <n v="518"/>
    <s v="LITROS"/>
    <n v="12"/>
    <n v="0"/>
    <n v="0"/>
    <m/>
    <s v="CLP"/>
    <s v="CHILE"/>
    <d v="2026-05-30T00:00:00"/>
    <s v="AV"/>
    <s v="GUIA N 157"/>
    <d v="2026-01-16T00:00:00"/>
  </r>
  <r>
    <x v="1"/>
    <s v="77.758.114-7"/>
    <s v="SOCIEDAD AGRÍCOLA COMERCIAL SIEMBRA SPA"/>
    <s v="23/02/2026"/>
    <s v="SEXTA"/>
    <x v="4"/>
    <s v="AV BALANCE - 1 L"/>
    <s v="Agroveca"/>
    <s v="Factura Electrónica"/>
    <n v="518"/>
    <s v="LITROS"/>
    <n v="6"/>
    <n v="0"/>
    <n v="0"/>
    <m/>
    <s v="CLP"/>
    <s v="CHILE"/>
    <d v="2026-05-30T00:00:00"/>
    <s v="AV"/>
    <s v="GUIA N 157"/>
    <d v="2026-01-16T00:00:00"/>
  </r>
  <r>
    <x v="1"/>
    <s v="76.188.119-1"/>
    <s v="PEDRO PATRICIO MENESES SOTO AGRICOLA Y TRANSPORTES E.I.R.L."/>
    <s v="23/02/2026"/>
    <s v="SEXTA"/>
    <x v="4"/>
    <s v="AV PLUS ROOT MAX x 5LT"/>
    <s v="Agroveca"/>
    <s v="Factura Electrónica"/>
    <n v="519"/>
    <s v="LTS"/>
    <n v="5"/>
    <n v="0"/>
    <n v="0"/>
    <m/>
    <s v="CLP"/>
    <s v="CHILE"/>
    <d v="2026-02-26T00:00:00"/>
    <s v="AV"/>
    <s v="GUIA N 133"/>
    <d v="2026-01-07T00:00:00"/>
  </r>
  <r>
    <x v="1"/>
    <s v="76.188.119-1"/>
    <s v="PEDRO PATRICIO MENESES SOTO AGRICOLA Y TRANSPORTES E.I.R.L."/>
    <s v="23/02/2026"/>
    <s v="SEXTA"/>
    <x v="4"/>
    <s v="BIOVECA NEMAOFF 500 GRS"/>
    <s v="Agroveca"/>
    <s v="Factura Electrónica"/>
    <n v="519"/>
    <s v="UN"/>
    <n v="1"/>
    <n v="0"/>
    <n v="0"/>
    <m/>
    <s v="CLP"/>
    <s v="CHILE"/>
    <d v="2026-02-26T00:00:00"/>
    <s v="AV"/>
    <s v="GUIA N 133"/>
    <d v="2026-01-07T00:00:00"/>
  </r>
  <r>
    <x v="1"/>
    <s v="78.062.921-5"/>
    <s v="PLANTTAE BOTÁNICA SPA"/>
    <s v="23/02/2026"/>
    <s v="SEPTIMA"/>
    <x v="2"/>
    <s v="BALANCE 500CC GATILLO"/>
    <s v="Agroveca"/>
    <s v="Factura Electrónica"/>
    <n v="520"/>
    <s v="UNIDAD"/>
    <n v="6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BIOPOTASICO 500CC GATILLO"/>
    <s v="Agroveca"/>
    <s v="Factura Electrónica"/>
    <n v="520"/>
    <s v="UNIDAD"/>
    <n v="6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NUTRAMIX 500CC GATILLO"/>
    <s v="Agroveca"/>
    <s v="Factura Electrónica"/>
    <n v="520"/>
    <s v="UNIDAD"/>
    <n v="8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FUNGISTOP 500CC GATILLO"/>
    <s v="Agroveca"/>
    <s v="Factura Electrónica"/>
    <n v="520"/>
    <s v="UNIDAD"/>
    <n v="5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RAIZ 500CC GATILLO"/>
    <s v="Agroveca"/>
    <s v="Factura Electrónica"/>
    <n v="520"/>
    <s v="UNIDAD"/>
    <n v="5"/>
    <n v="0"/>
    <n v="0"/>
    <m/>
    <s v="CLP"/>
    <s v="CHILE"/>
    <d v="2026-02-23T00:00:00"/>
    <s v="AV"/>
    <m/>
    <m/>
  </r>
  <r>
    <x v="1"/>
    <s v="78.062.921-5"/>
    <s v="PLANTTAE BOTÁNICA SPA"/>
    <s v="23/02/2026"/>
    <s v="SEPTIMA"/>
    <x v="2"/>
    <s v="NUTRAMIX CONC. 500CC"/>
    <s v="Agroveca"/>
    <s v="Factura Electrónica"/>
    <n v="520"/>
    <s v="UNIDAD"/>
    <n v="1"/>
    <n v="0"/>
    <n v="0"/>
    <m/>
    <s v="CLP"/>
    <s v="CHILE"/>
    <d v="2026-02-23T00:00:00"/>
    <s v="AV"/>
    <m/>
    <m/>
  </r>
  <r>
    <x v="1"/>
    <s v="76.412.827-3"/>
    <s v="FRUTICOLA RIO BLANCO SPA"/>
    <s v="23/02/2026"/>
    <s v="METROPOLITANA"/>
    <x v="0"/>
    <s v="AV PLUS MICRO MIX - 20 L"/>
    <s v="Agroveca"/>
    <s v="Factura Electrónica"/>
    <n v="521"/>
    <s v="LITROS"/>
    <n v="160"/>
    <n v="368000"/>
    <n v="2300"/>
    <m/>
    <s v="CLP"/>
    <s v="CHILE"/>
    <d v="2026-04-30T00:00:00"/>
    <s v="AV"/>
    <s v="GUIA N 203"/>
    <d v="2026-02-13T00:00:00"/>
  </r>
  <r>
    <x v="1"/>
    <s v="76.412.827-3"/>
    <s v="FRUTICOLA RIO BLANCO SPA"/>
    <s v="23/02/2026"/>
    <s v="METROPOLITANA"/>
    <x v="0"/>
    <s v="AV PLUS MICRO MIX - 20 L"/>
    <s v="Agroveca"/>
    <s v="Factura Electrónica"/>
    <n v="522"/>
    <s v="LITROS"/>
    <n v="120"/>
    <n v="276000"/>
    <n v="2300"/>
    <m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5 L"/>
    <s v="Agroveca"/>
    <s v="Factura Electrónica"/>
    <n v="522"/>
    <s v="LITROS"/>
    <n v="15"/>
    <n v="34500"/>
    <n v="2300"/>
    <m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20 L"/>
    <s v="Agroveca"/>
    <s v="Factura Electrónica"/>
    <n v="523"/>
    <s v="LITROS"/>
    <n v="200"/>
    <n v="478470"/>
    <n v="2392.35"/>
    <m/>
    <s v="CLP"/>
    <s v="CHILE"/>
    <d v="2026-04-30T00:00:00"/>
    <s v="AV"/>
    <s v="GUIA N 204"/>
    <d v="2026-02-13T00:00:00"/>
  </r>
  <r>
    <x v="1"/>
    <s v="76.210.444-K"/>
    <s v="SOCIEDAD AGRICOLA ALIAGA LTDA"/>
    <s v="23/02/2026"/>
    <s v="SEXTA"/>
    <x v="0"/>
    <s v="AV AMIN SUGAR - 20 L"/>
    <s v="Agroveca"/>
    <s v="Guía de Despacho Electrónica"/>
    <n v="211"/>
    <s v="LITROS"/>
    <n v="40"/>
    <n v="298293"/>
    <n v="7457.3249999999998"/>
    <m/>
    <s v="CLP"/>
    <s v="CHILE"/>
    <d v="2026-12-10T00:00:00"/>
    <s v="AV"/>
    <m/>
    <m/>
  </r>
  <r>
    <x v="1"/>
    <s v="76.210.444-K"/>
    <s v="SOCIEDAD AGRICOLA ALIAGA LTDA"/>
    <s v="23/02/2026"/>
    <s v="SEXTA"/>
    <x v="0"/>
    <s v="AV PLUS ZINC MANGANESO - 20 L"/>
    <s v="Agroveca"/>
    <s v="Guía de Despacho Electrónica"/>
    <n v="211"/>
    <s v="LITROS"/>
    <n v="40"/>
    <n v="156083"/>
    <n v="3902.0749999999998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20 L"/>
    <s v="Agroveca"/>
    <s v="Guía de Despacho Electrónica"/>
    <n v="212"/>
    <s v="LITROS"/>
    <n v="20"/>
    <n v="149146"/>
    <n v="7457.3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5 L"/>
    <s v="Agroveca"/>
    <s v="Guía de Despacho Electrónica"/>
    <n v="212"/>
    <s v="LITROS"/>
    <n v="5"/>
    <n v="37287"/>
    <n v="7457.4"/>
    <m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1 L"/>
    <s v="Agroveca"/>
    <s v="Guía de Despacho Electrónica"/>
    <n v="212"/>
    <s v="LITROS"/>
    <n v="1"/>
    <n v="7457"/>
    <n v="7457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20 L"/>
    <s v="Agroveca"/>
    <s v="Guía de Despacho Electrónica"/>
    <n v="212"/>
    <s v="LITROS"/>
    <n v="20"/>
    <n v="78042"/>
    <n v="3902.1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5 L"/>
    <s v="Agroveca"/>
    <s v="Guía de Despacho Electrónica"/>
    <n v="212"/>
    <s v="LITROS"/>
    <n v="5"/>
    <n v="19510"/>
    <n v="3902"/>
    <m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1 L"/>
    <s v="Agroveca"/>
    <s v="Guía de Despacho Electrónica"/>
    <n v="212"/>
    <s v="LITROS"/>
    <n v="1"/>
    <n v="3902"/>
    <n v="3902"/>
    <m/>
    <s v="CLP"/>
    <s v="CHILE"/>
    <d v="2026-12-10T00:00:00"/>
    <s v="AV"/>
    <m/>
    <m/>
  </r>
  <r>
    <x v="1"/>
    <s v="78.279.610-0"/>
    <s v="AGRICOLA ALTO CALIBRE LTDA"/>
    <s v="24/02/2026"/>
    <s v="QUINTA"/>
    <x v="1"/>
    <s v="AV PLUS MICRO MIX - 5 L"/>
    <s v="Agroveca"/>
    <s v="Factura Electrónica"/>
    <n v="524"/>
    <s v="LITROS"/>
    <n v="5"/>
    <n v="37500"/>
    <n v="7500"/>
    <m/>
    <s v="CLP"/>
    <s v="CHILE"/>
    <d v="2026-03-26T00:00:00"/>
    <s v="AV"/>
    <m/>
    <m/>
  </r>
  <r>
    <x v="1"/>
    <s v="17.272.914-2"/>
    <s v="LEONARDO ENRIQUE OYARCE GENERAL"/>
    <s v="24/02/2026"/>
    <s v="QUINTA"/>
    <x v="1"/>
    <s v="VECA AMIN SUGAR - 20 L"/>
    <s v="Agroveca"/>
    <s v="Factura Electrónica"/>
    <n v="525"/>
    <s v="UN"/>
    <n v="100"/>
    <n v="0"/>
    <n v="0"/>
    <m/>
    <s v="CLP"/>
    <s v="CHILE"/>
    <d v="2026-04-27T00:00:00"/>
    <s v="AV"/>
    <s v="GUIA N 538"/>
    <d v="2025-02-25T00:00:00"/>
  </r>
  <r>
    <x v="1"/>
    <s v="17.272.914-2"/>
    <s v="LEONARDO ENRIQUE OYARCE GENERAL"/>
    <s v="24/02/2026"/>
    <s v="QUINTA"/>
    <x v="1"/>
    <s v="K-DEFEND MAX - 20 L"/>
    <s v="Agroveca"/>
    <s v="Factura Electrónica"/>
    <n v="525"/>
    <s v="UN"/>
    <n v="40"/>
    <n v="0"/>
    <n v="0"/>
    <m/>
    <s v="CLP"/>
    <s v="CHILE"/>
    <d v="2026-04-27T00:00:00"/>
    <s v="AV"/>
    <s v="GUIA N 538"/>
    <d v="2025-02-25T00:00:00"/>
  </r>
  <r>
    <x v="1"/>
    <s v="5.911.735-1"/>
    <s v="BERMECIDES ENRIQUE ROJAS BUGUENO"/>
    <s v="24/02/2026"/>
    <s v="OVALLE"/>
    <x v="5"/>
    <s v="AV AMIN - 20 L"/>
    <s v="Agroveca"/>
    <s v="Factura Electrónica"/>
    <n v="526"/>
    <s v="LITROS"/>
    <n v="20"/>
    <n v="104000"/>
    <n v="5200"/>
    <m/>
    <s v="CLP"/>
    <s v="CHILE"/>
    <d v="2026-02-24T00:00:00"/>
    <s v="AV"/>
    <m/>
    <m/>
  </r>
  <r>
    <x v="1"/>
    <s v="5.911.735-1"/>
    <s v="BERMECIDES ENRIQUE ROJAS BUGUENO"/>
    <s v="24/02/2026"/>
    <s v="OVALLE"/>
    <x v="5"/>
    <s v="AV ALGAP 30 - 20 L"/>
    <s v="Agroveca"/>
    <s v="Factura Electrónica"/>
    <n v="527"/>
    <s v="LITROS"/>
    <n v="20"/>
    <n v="0"/>
    <n v="0"/>
    <m/>
    <s v="CLP"/>
    <s v="CHILE"/>
    <d v="2026-02-24T00:00:00"/>
    <s v="AV"/>
    <s v="GUIA N 826"/>
    <d v="2025-11-13T00:00:00"/>
  </r>
  <r>
    <x v="1"/>
    <s v="5.911.735-1"/>
    <s v="BERMECIDES ENRIQUE ROJAS BUGUENO"/>
    <s v="24/02/2026"/>
    <s v="OVALLE"/>
    <x v="5"/>
    <s v="AV BLOOM - 20 L"/>
    <s v="Agroveca"/>
    <s v="Factura Electrónica"/>
    <n v="527"/>
    <s v="LITROS"/>
    <n v="20"/>
    <n v="0"/>
    <n v="0"/>
    <m/>
    <s v="CLP"/>
    <s v="CHILE"/>
    <d v="2026-02-24T00:00:00"/>
    <s v="AV"/>
    <s v="GUIA N 826"/>
    <d v="2025-11-13T00:00:00"/>
  </r>
  <r>
    <x v="1"/>
    <s v="78.109.329-7"/>
    <s v="SOCIEDAD COMERCIAL HIERBA BUENA LIMITADA"/>
    <s v="24/02/2026"/>
    <s v="METROPOLITANA"/>
    <x v="7"/>
    <s v="BALANCE 500CC GATILLO"/>
    <s v="Agroveca"/>
    <s v="Factura Electrónica"/>
    <n v="528"/>
    <s v="UNIDAD"/>
    <n v="20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500 CC GATILLO"/>
    <s v="Agroveca"/>
    <s v="Factura Electrónica"/>
    <n v="528"/>
    <s v="UNIDAD"/>
    <n v="2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500CC"/>
    <s v="Agroveca"/>
    <s v="Factura Electrónica"/>
    <n v="528"/>
    <s v="UNIDAD"/>
    <n v="3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200CC"/>
    <s v="Agroveca"/>
    <s v="Factura Electrónica"/>
    <n v="528"/>
    <s v="UNIDAD"/>
    <n v="10"/>
    <n v="0"/>
    <n v="0"/>
    <m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CONC. 200 CC"/>
    <s v="Agroveca"/>
    <s v="Factura Electrónica"/>
    <n v="528"/>
    <s v="UNIDAD"/>
    <n v="1"/>
    <n v="0"/>
    <n v="0"/>
    <m/>
    <s v="CLP"/>
    <s v="CHILE"/>
    <d v="2026-02-24T00:00:00"/>
    <s v="AV"/>
    <m/>
    <m/>
  </r>
  <r>
    <x v="1"/>
    <s v="14.681.984-2"/>
    <s v="MONICA GONZALEZ LOPEZ"/>
    <s v="24/02/2026"/>
    <s v="SEPTIMA"/>
    <x v="2"/>
    <s v="AV ROOT MAX - 20 L"/>
    <s v="Agroveca"/>
    <s v="Factura Electrónica"/>
    <n v="529"/>
    <s v="LITROS"/>
    <n v="80"/>
    <n v="765600"/>
    <n v="9570"/>
    <m/>
    <s v="CLP"/>
    <s v="CHILE"/>
    <d v="2026-02-24T00:00:00"/>
    <s v="AV"/>
    <m/>
    <m/>
  </r>
  <r>
    <x v="1"/>
    <s v="13.504.183-1"/>
    <s v="EDUARDO AQUILES HERRERA CABELLO"/>
    <s v="24/02/2026"/>
    <s v="SEXTA"/>
    <x v="0"/>
    <s v="AV ROOT MAX - 5 L"/>
    <s v="Agroveca"/>
    <s v="Guía de Despacho Electrónica"/>
    <n v="214"/>
    <s v="LITROS"/>
    <n v="5"/>
    <n v="53000"/>
    <n v="106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 SILFORTE - 20 L"/>
    <s v="Agroveca"/>
    <s v="Guía de Despacho Electrónica"/>
    <n v="216"/>
    <s v="LITROS"/>
    <n v="20"/>
    <n v="210000"/>
    <n v="105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15 40-20 - 20 L"/>
    <s v="Agroveca"/>
    <s v="Guía de Despacho Electrónica"/>
    <n v="216"/>
    <s v="LITROS"/>
    <n v="40"/>
    <n v="240000"/>
    <n v="6000"/>
    <m/>
    <s v="CLP"/>
    <s v="CHILE"/>
    <d v="2026-05-31T00:00:00"/>
    <s v="AV"/>
    <m/>
    <m/>
  </r>
  <r>
    <x v="1"/>
    <s v="5.786.817-1"/>
    <s v="MARIO FERNANDO MUÑOZ SILVA"/>
    <s v="25/02/2026"/>
    <s v="SEXTA"/>
    <x v="0"/>
    <s v="AV BIOVECA RAIZ - 500 GR"/>
    <s v="Agroveca"/>
    <s v="Guía de Despacho Electrónica"/>
    <n v="216"/>
    <s v="UNIDAD"/>
    <n v="8"/>
    <n v="280000"/>
    <n v="35000"/>
    <m/>
    <s v="CLP"/>
    <s v="CHILE"/>
    <d v="2026-05-31T00:00:00"/>
    <s v="AV"/>
    <m/>
    <m/>
  </r>
  <r>
    <x v="1"/>
    <s v="76.180.961-K"/>
    <s v="AGRICOLA SAN ANTONIO LIMITADA"/>
    <s v="25/02/2026"/>
    <s v="OVALLE"/>
    <x v="5"/>
    <s v="AV ALGAP 30 x 20 LT"/>
    <s v="Agroveca"/>
    <s v="Factura Electrónica"/>
    <n v="530"/>
    <s v="LTS"/>
    <n v="20"/>
    <n v="0"/>
    <n v="0"/>
    <m/>
    <s v="CLP"/>
    <s v="CHILE"/>
    <d v="2026-03-30T00:00:00"/>
    <s v="AV"/>
    <s v="GUIA N 136"/>
    <d v="2026-01-07T00:00:00"/>
  </r>
  <r>
    <x v="1"/>
    <s v="76.180.961-K"/>
    <s v="AGRICOLA SAN ANTONIO LIMITADA"/>
    <s v="25/02/2026"/>
    <s v="OVALLE"/>
    <x v="5"/>
    <s v="AV PLUS MAGNESIO x 20 LT"/>
    <s v="Agroveca"/>
    <s v="Factura Electrónica"/>
    <n v="530"/>
    <s v="LTS"/>
    <n v="20"/>
    <n v="0"/>
    <n v="0"/>
    <m/>
    <s v="CLP"/>
    <s v="CHILE"/>
    <d v="2026-03-30T00:00:00"/>
    <s v="AV"/>
    <s v="GUIA N 136"/>
    <d v="2026-01-07T00:00:00"/>
  </r>
  <r>
    <x v="1"/>
    <s v="77.317.590-K"/>
    <s v="SOCIEDAD AGRICOLA SAN FRANCISCO"/>
    <s v="25/02/2026"/>
    <s v="SEXTA"/>
    <x v="4"/>
    <s v="AV SILFORTE - 20 L"/>
    <s v="Agroveca"/>
    <s v="Factura Electrónica"/>
    <n v="531"/>
    <s v="LITROS"/>
    <n v="320"/>
    <n v="3024000"/>
    <n v="945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SILFORTE - 5 L"/>
    <s v="Agroveca"/>
    <s v="Factura Electrónica"/>
    <n v="531"/>
    <s v="LITROS"/>
    <n v="5"/>
    <n v="47250"/>
    <n v="945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PLUS CALCIO BORO - 5 L"/>
    <s v="Agroveca"/>
    <s v="Factura Electrónica"/>
    <n v="531"/>
    <s v="LITROS"/>
    <n v="10"/>
    <n v="52800"/>
    <n v="5280"/>
    <m/>
    <s v="CLP"/>
    <s v="CHILE"/>
    <d v="2026-07-30T00:00:00"/>
    <s v="AV"/>
    <m/>
    <m/>
  </r>
  <r>
    <x v="1"/>
    <s v="77.317.590-K"/>
    <s v="SOCIEDAD AGRICOLA SAN FRANCISCO"/>
    <s v="25/02/2026"/>
    <s v="SEXTA"/>
    <x v="4"/>
    <s v="AV ROOT MAX - 1 L"/>
    <s v="Agroveca"/>
    <s v="Factura Electrónica"/>
    <n v="531"/>
    <s v="LITROS"/>
    <n v="5"/>
    <n v="49690"/>
    <n v="9938"/>
    <m/>
    <s v="CLP"/>
    <s v="CHILE"/>
    <d v="2026-07-30T00:00:00"/>
    <s v="AV"/>
    <m/>
    <m/>
  </r>
  <r>
    <x v="1"/>
    <s v="77.576.071-0"/>
    <s v="AGRICOLA E INVERSIONES VGV SPA"/>
    <s v="26/02/2026"/>
    <s v="QUINTA"/>
    <x v="1"/>
    <s v="AV HUMIC ROOT - 20 L"/>
    <s v="Agroveca"/>
    <s v="Guía de Despacho Electrónica"/>
    <n v="217"/>
    <s v="LITROS"/>
    <n v="380"/>
    <n v="950000"/>
    <n v="2500"/>
    <m/>
    <s v="CLP"/>
    <s v="CHILE"/>
    <d v="2026-08-30T00:00:00"/>
    <s v="AV"/>
    <m/>
    <m/>
  </r>
  <r>
    <x v="1"/>
    <s v="77.576.071-0"/>
    <s v="AGRICOLA E INVERSIONES VGV SPA"/>
    <s v="26/02/2026"/>
    <s v="QUINTA"/>
    <x v="1"/>
    <s v="AV MAX FULVIC 45% - 20 L"/>
    <s v="Agroveca"/>
    <s v="Guía de Despacho Electrónica"/>
    <n v="217"/>
    <s v="LITROS"/>
    <n v="380"/>
    <n v="950000"/>
    <n v="2500"/>
    <m/>
    <s v="CLP"/>
    <s v="CHILE"/>
    <d v="2026-08-30T00:00:00"/>
    <s v="AV"/>
    <m/>
    <m/>
  </r>
  <r>
    <x v="1"/>
    <s v="10.824.336-8"/>
    <s v="EUGENIO ALFREDO AMPUERO GUERRA"/>
    <s v="26/02/2026"/>
    <s v="QUINTA"/>
    <x v="1"/>
    <s v="AV BIOVECA NEMA OFF - 500 GR"/>
    <s v="Agroveca"/>
    <s v="Guía de Despacho Electrónica"/>
    <n v="218"/>
    <s v="UNIDAD"/>
    <n v="2"/>
    <n v="64000"/>
    <n v="32000"/>
    <m/>
    <s v="CLP"/>
    <s v="CHILE"/>
    <d v="2026-04-27T00:00:00"/>
    <s v="AV"/>
    <m/>
    <m/>
  </r>
  <r>
    <x v="1"/>
    <s v="10.824.336-8"/>
    <s v="EUGENIO ALFREDO AMPUERO GUERRA"/>
    <s v="26/02/2026"/>
    <s v="QUINTA"/>
    <x v="1"/>
    <s v="AV BIOVECA RAIZ - 500 GR"/>
    <s v="Agroveca"/>
    <s v="Guía de Despacho Electrónica"/>
    <n v="218"/>
    <s v="UNIDAD"/>
    <n v="2"/>
    <n v="64000"/>
    <n v="32000"/>
    <m/>
    <s v="CLP"/>
    <s v="CHILE"/>
    <d v="2026-04-27T00:00:00"/>
    <s v="AV"/>
    <m/>
    <m/>
  </r>
  <r>
    <x v="1"/>
    <s v="78.220.721-0"/>
    <s v="AGRICOLA Y COMERCIALIZADORA ALDO ROBERTO ARRIETA AHUMADA E.I.R.L."/>
    <s v="26/02/2026"/>
    <s v="QUINTA"/>
    <x v="1"/>
    <s v="AV BLOOM - 20 L"/>
    <s v="Agroveca"/>
    <s v="Guía de Despacho Electrónica"/>
    <n v="219"/>
    <s v="LITROS"/>
    <n v="20"/>
    <n v="190000"/>
    <n v="9500"/>
    <m/>
    <s v="CLP"/>
    <s v="CHILE"/>
    <d v="2026-03-25T00:00:00"/>
    <s v="AV"/>
    <m/>
    <m/>
  </r>
  <r>
    <x v="1"/>
    <s v="77.758.114-7"/>
    <s v="SOCIEDAD AGRÍCOLA COMERCIAL SIEMBRA SPA"/>
    <s v="26/02/2026"/>
    <s v="SEXTA"/>
    <x v="4"/>
    <s v="AV BLOOM - 5 L"/>
    <s v="Agroveca"/>
    <s v="Guía de Despacho Electrónica"/>
    <n v="220"/>
    <s v="LITROS"/>
    <n v="10"/>
    <n v="60060"/>
    <n v="6006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 BLOOM - 1 L"/>
    <s v="Agroveca"/>
    <s v="Guía de Despacho Electrónica"/>
    <n v="220"/>
    <s v="LITROS"/>
    <n v="12"/>
    <n v="86484"/>
    <n v="7207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1 L"/>
    <s v="Agroveca"/>
    <s v="Guía de Despacho Electrónica"/>
    <n v="220"/>
    <s v="LITROS"/>
    <n v="12"/>
    <n v="72072"/>
    <n v="6006"/>
    <m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5 L"/>
    <s v="Agroveca"/>
    <s v="Guía de Despacho Electrónica"/>
    <n v="220"/>
    <s v="LITROS"/>
    <n v="20"/>
    <n v="96100"/>
    <n v="4805"/>
    <m/>
    <s v="CLP"/>
    <s v="CHILE"/>
    <d v="2026-05-30T00:00:00"/>
    <s v="AV"/>
    <m/>
    <m/>
  </r>
  <r>
    <x v="1"/>
    <s v="77.317.590-K"/>
    <s v="SOCIEDAD AGRICOLA SAN FRANCISCO LTDA"/>
    <s v="26/02/2026"/>
    <s v="SEXTA"/>
    <x v="4"/>
    <s v="AV PLUS CALCIO - 1 L"/>
    <s v="Agroveca"/>
    <s v="Factura Electrónica"/>
    <n v="532"/>
    <s v="LITROS"/>
    <n v="3"/>
    <n v="18675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- 5 L"/>
    <s v="Agroveca"/>
    <s v="Factura Electrónica"/>
    <n v="532"/>
    <s v="LITROS"/>
    <n v="10"/>
    <n v="47250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MIN - 1 L"/>
    <s v="Agroveca"/>
    <s v="Factura Electrónica"/>
    <n v="532"/>
    <s v="LITROS"/>
    <n v="1"/>
    <n v="7575"/>
    <n v="75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1 L"/>
    <s v="Agroveca"/>
    <s v="Factura Electrónica"/>
    <n v="532"/>
    <s v="LITROS"/>
    <n v="12"/>
    <n v="74700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5 L"/>
    <s v="Agroveca"/>
    <s v="Factura Electrónica"/>
    <n v="532"/>
    <s v="LITROS"/>
    <n v="30"/>
    <n v="141750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BORO - 5 L"/>
    <s v="Agroveca"/>
    <s v="Factura Electrónica"/>
    <n v="532"/>
    <s v="LITROS"/>
    <n v="5"/>
    <n v="26400"/>
    <n v="528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15 40-20 - 1 L"/>
    <s v="Agroveca"/>
    <s v="Factura Electrónica"/>
    <n v="532"/>
    <s v="LITROS"/>
    <n v="3"/>
    <n v="29250"/>
    <n v="975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BALANCE - 5 L"/>
    <s v="Agroveca"/>
    <s v="Factura Electrónica"/>
    <n v="532"/>
    <s v="LITROS"/>
    <n v="5"/>
    <n v="70875"/>
    <n v="141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LGAP 30 - 1 L"/>
    <s v="Agroveca"/>
    <s v="Factura Electrónica"/>
    <n v="532"/>
    <s v="LITROS"/>
    <n v="1"/>
    <n v="9000"/>
    <n v="9000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1 L"/>
    <s v="Agroveca"/>
    <s v="Factura Electrónica"/>
    <n v="532"/>
    <s v="LITROS"/>
    <n v="1"/>
    <n v="9375"/>
    <n v="937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5 L"/>
    <s v="Agroveca"/>
    <s v="Factura Electrónica"/>
    <n v="532"/>
    <s v="LITROS"/>
    <n v="15"/>
    <n v="129375"/>
    <n v="86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1 L"/>
    <s v="Agroveca"/>
    <s v="Factura Electrónica"/>
    <n v="532"/>
    <s v="LITROS"/>
    <n v="4"/>
    <n v="24900"/>
    <n v="62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5 L"/>
    <s v="Agroveca"/>
    <s v="Factura Electrónica"/>
    <n v="532"/>
    <s v="LITROS"/>
    <n v="5"/>
    <n v="23625"/>
    <n v="4725"/>
    <m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20 L"/>
    <s v="Agroveca"/>
    <s v="Factura Electrónica"/>
    <n v="532"/>
    <s v="LITROS"/>
    <n v="20"/>
    <n v="88500"/>
    <n v="4425"/>
    <m/>
    <s v="CLP"/>
    <s v="CHILE"/>
    <d v="2026-07-30T00:00:00"/>
    <s v="AV"/>
    <m/>
    <m/>
  </r>
  <r>
    <x v="1"/>
    <s v="78.223.261-4"/>
    <s v="AGRICOLA TOMATERRA SPA"/>
    <s v="26/02/2026"/>
    <s v="QUINTA"/>
    <x v="1"/>
    <s v="AV SILFORTE - 20 L"/>
    <s v="Agroveca"/>
    <s v="Factura Electrónica"/>
    <n v="533"/>
    <s v="LITROS"/>
    <n v="20"/>
    <n v="200000"/>
    <n v="10000"/>
    <m/>
    <s v="CLP"/>
    <s v="CHILE"/>
    <d v="2026-02-26T00:00:00"/>
    <s v="AV"/>
    <m/>
    <m/>
  </r>
  <r>
    <x v="1"/>
    <s v="77.941.544-9"/>
    <s v="BODEN SPA"/>
    <s v="26/02/2026"/>
    <s v="NOVENA"/>
    <x v="3"/>
    <s v="SOLUFOS - 500 GR"/>
    <s v="Agroveca"/>
    <s v="Guía de Despacho Electrónica"/>
    <n v="47"/>
    <s v="UN"/>
    <n v="200"/>
    <n v="5000000"/>
    <n v="25000"/>
    <m/>
    <s v="CLP"/>
    <s v="CHILE"/>
    <d v="2025-12-19T00:00:00"/>
    <s v="AV"/>
    <m/>
    <m/>
  </r>
  <r>
    <x v="2"/>
    <s v="12.266.087-7"/>
    <s v="MAURICIO ESTEBAN POBLETE BARRA"/>
    <s v="02/03/2026"/>
    <s v="ÑUBLE "/>
    <x v="2"/>
    <s v="GREEN PLANT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RAIZ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BALANCE 500CC GATILLO"/>
    <s v="Agrocomercial"/>
    <s v="Factura Electrónica"/>
    <n v="534"/>
    <s v="UNIDAD"/>
    <n v="2"/>
    <n v="0"/>
    <n v="0"/>
    <m/>
    <s v="CLP"/>
    <s v="CHILE"/>
    <d v="2026-03-02T00:00:00"/>
    <s v="AV"/>
    <m/>
    <m/>
  </r>
  <r>
    <x v="2"/>
    <s v="12.266.087-7"/>
    <s v="MAURICIO ESTEBAN POBLETE BARRA"/>
    <s v="02/03/2026"/>
    <s v="ÑUBLE "/>
    <x v="2"/>
    <s v="NUTRAMIX 500CC GATILLO"/>
    <s v="Agrocomercial"/>
    <s v="Factura Electrónica"/>
    <n v="534"/>
    <s v="UNIDAD"/>
    <n v="10"/>
    <n v="0"/>
    <n v="0"/>
    <m/>
    <s v="CLP"/>
    <s v="CHILE"/>
    <d v="2026-03-02T00:00:00"/>
    <s v="AV"/>
    <m/>
    <m/>
  </r>
  <r>
    <x v="2"/>
    <s v="77.135.740-7"/>
    <s v="RAUL JOFRE Y COMPAQIA LIMITADA"/>
    <s v="02/03/2026"/>
    <s v="ÑUBLE "/>
    <x v="4"/>
    <s v="AV PLUS POTASIO - 1 L"/>
    <s v="Agrocomercial"/>
    <s v="Factura Electrónica"/>
    <n v="535"/>
    <s v="LITROS"/>
    <n v="15"/>
    <n v="77505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POTASIO - 5 L"/>
    <s v="Agrocomercial"/>
    <s v="Factura Electrónica"/>
    <n v="535"/>
    <s v="LITROS"/>
    <n v="35"/>
    <n v="1356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1 L"/>
    <s v="Agrocomercial"/>
    <s v="Factura Electrónica"/>
    <n v="535"/>
    <s v="LITROS"/>
    <n v="3"/>
    <n v="15501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5 L"/>
    <s v="Agrocomercial"/>
    <s v="Factura Electrónica"/>
    <n v="535"/>
    <s v="LITROS"/>
    <n v="15"/>
    <n v="581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1 L"/>
    <s v="Agrocomercial"/>
    <s v="Factura Electrónica"/>
    <n v="535"/>
    <s v="LITROS"/>
    <n v="6"/>
    <n v="31002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5 L"/>
    <s v="Agrocomercial"/>
    <s v="Factura Electrónica"/>
    <n v="535"/>
    <s v="LITROS"/>
    <n v="15"/>
    <n v="58125"/>
    <n v="3875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1 L"/>
    <s v="Agrocomercial"/>
    <s v="Factura Electrónica"/>
    <n v="535"/>
    <s v="LITROS"/>
    <n v="3"/>
    <n v="17052"/>
    <n v="5684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5 L"/>
    <s v="Agrocomercial"/>
    <s v="Factura Electrónica"/>
    <n v="535"/>
    <s v="LITROS"/>
    <n v="10"/>
    <n v="45210"/>
    <n v="4521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ZINC - 1 L"/>
    <s v="Agrocomercial"/>
    <s v="Factura Electrónica"/>
    <n v="535"/>
    <s v="LITROS"/>
    <n v="2"/>
    <n v="13780"/>
    <n v="6890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BORO - 1 L"/>
    <s v="Agrocomercial"/>
    <s v="Factura Electrónica"/>
    <n v="535"/>
    <s v="LITROS"/>
    <n v="3"/>
    <n v="15501"/>
    <n v="5167"/>
    <m/>
    <s v="CLP"/>
    <s v="CHILE"/>
    <d v="2026-05-27T00:00:00"/>
    <s v="AV"/>
    <m/>
    <m/>
  </r>
  <r>
    <x v="2"/>
    <s v="77.135.740-7"/>
    <s v="RAUL JOFRE Y COMPAQIA LIMITADA"/>
    <s v="02/03/2026"/>
    <s v="SEXTA"/>
    <x v="4"/>
    <s v="AV15 40-20 - 1 L"/>
    <s v="Agrocomercial"/>
    <s v="Factura Electrónica"/>
    <n v="535"/>
    <s v="LITROS"/>
    <n v="1"/>
    <n v="6890"/>
    <n v="6890"/>
    <m/>
    <s v="CLP"/>
    <s v="CHILE"/>
    <d v="2026-05-27T00:00:00"/>
    <s v="AV"/>
    <m/>
    <m/>
  </r>
  <r>
    <x v="2"/>
    <s v="76.209.230-1"/>
    <s v="AGRICOLA JOSE MARIA Y OTRO LTDA"/>
    <s v="02/03/2026"/>
    <s v="SEXTA"/>
    <x v="0"/>
    <s v="AV MOVE - 20 L"/>
    <s v="Agroveca"/>
    <s v="Guía de Despacho Electrónica"/>
    <n v="222"/>
    <s v="LITROS"/>
    <n v="100"/>
    <n v="710000"/>
    <n v="7100"/>
    <m/>
    <s v="CLP"/>
    <s v="CHILE"/>
    <d v="2026-04-30T00:00:00"/>
    <s v="AV"/>
    <m/>
    <m/>
  </r>
  <r>
    <x v="2"/>
    <s v="10.824.336-8"/>
    <s v="EUGENIO ALFREDO AMPUERO GUERRA"/>
    <s v="02/03/2026"/>
    <s v="QUINTA"/>
    <x v="1"/>
    <s v="AV ROOT MAX - 20 L"/>
    <s v="Agroveca"/>
    <s v="Guía de Despacho Electrónica"/>
    <n v="225"/>
    <s v="LITROS"/>
    <n v="20"/>
    <n v="160000"/>
    <n v="8000"/>
    <m/>
    <s v="CLP"/>
    <s v="CHILE"/>
    <d v="2026-05-02T00:00:00"/>
    <s v="AV"/>
    <m/>
    <m/>
  </r>
  <r>
    <x v="2"/>
    <s v="76.044.123-6"/>
    <s v="AGRICOLA EL TOQUI LIMITADA"/>
    <s v="02/03/2026"/>
    <s v="SEXTA"/>
    <x v="4"/>
    <s v="AV MOVE - 20 L"/>
    <s v="Agrocomercial"/>
    <s v="Guía de Despacho Electrónica"/>
    <n v="227"/>
    <s v="LITROS"/>
    <n v="20"/>
    <n v="141304"/>
    <n v="7065.2"/>
    <m/>
    <s v="CLP"/>
    <s v="CHILE"/>
    <d v="2026-05-30T00:00:00"/>
    <s v="AV"/>
    <m/>
    <m/>
  </r>
  <r>
    <x v="2"/>
    <s v="76.044.123-6"/>
    <s v="AGRICOLA EL TOQUI LIMITADA"/>
    <s v="02/03/2026"/>
    <s v="SEXTA"/>
    <x v="4"/>
    <s v="AV MOVE - 5 L"/>
    <s v="Agrocomercial"/>
    <s v="Guía de Despacho Electrónica"/>
    <n v="227"/>
    <s v="LITROS"/>
    <n v="10"/>
    <n v="70652"/>
    <n v="7065.2"/>
    <m/>
    <s v="CLP"/>
    <s v="CHILE"/>
    <d v="2026-05-30T00:00:00"/>
    <s v="AV"/>
    <m/>
    <m/>
  </r>
  <r>
    <x v="2"/>
    <s v="77.941.544-9"/>
    <s v="BODEN SPA"/>
    <s v="03/03/2026"/>
    <s v="NOVENA"/>
    <x v="3"/>
    <s v="CRYOPHILE - 250 GR"/>
    <s v="Agrocomercial"/>
    <s v="Factura Electrónica"/>
    <n v="536"/>
    <s v="UNIDAD"/>
    <n v="200"/>
    <n v="4000000"/>
    <n v="20000"/>
    <m/>
    <s v="CLP"/>
    <s v="CHILE"/>
    <d v="2026-03-03T00:00:00"/>
    <s v="AV"/>
    <m/>
    <m/>
  </r>
  <r>
    <x v="2"/>
    <s v="76.776.128-7"/>
    <s v="AGRICOLA SANTA SABINA LIMITADA"/>
    <s v="03/03/2026"/>
    <s v="QUINTA"/>
    <x v="1"/>
    <s v="AV PLUS ZINC - 20 L"/>
    <s v="Agrocomercial"/>
    <s v="Guía de Despacho Electrónica"/>
    <n v="228"/>
    <s v="LITROS"/>
    <n v="20"/>
    <n v="80000"/>
    <n v="4000"/>
    <m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HIERRO - 20 L"/>
    <s v="Agrocomercial"/>
    <s v="Guía de Despacho Electrónica"/>
    <n v="228"/>
    <s v="LITROS"/>
    <n v="20"/>
    <n v="80000"/>
    <n v="4000"/>
    <m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MICRO MIX - 20 L"/>
    <s v="Agrocomercial"/>
    <s v="Guía de Despacho Electrónica"/>
    <n v="228"/>
    <s v="LITROS"/>
    <n v="20"/>
    <n v="120000"/>
    <n v="6000"/>
    <m/>
    <s v="CLP"/>
    <s v="CHILE"/>
    <d v="2026-05-03T00:00:00"/>
    <s v="AV"/>
    <m/>
    <m/>
  </r>
  <r>
    <x v="2"/>
    <s v="6.363.035-7"/>
    <s v="EDWIN LEONARDO GOYKOVIC CORTES"/>
    <s v="03/03/2026"/>
    <s v="QUINTA"/>
    <x v="6"/>
    <s v="ANALISIS FOLIAR"/>
    <s v="Agroveca"/>
    <s v="Factura Electrónica"/>
    <n v="537"/>
    <s v="UN"/>
    <n v="1"/>
    <n v="0"/>
    <n v="0"/>
    <m/>
    <s v="CLP"/>
    <s v="CHILE"/>
    <m/>
    <s v="AV"/>
    <s v="Analisis foliar"/>
    <m/>
  </r>
  <r>
    <x v="2"/>
    <s v="76.009.895-7"/>
    <s v="AGRICOLA BERRIES QUILLOTA LIMITADA"/>
    <s v="03/03/2026"/>
    <s v="QUINTA"/>
    <x v="1"/>
    <s v="ALGAP 30 - 200 L"/>
    <s v="Agroveca"/>
    <s v="Factura Electrónica"/>
    <n v="538"/>
    <s v="LTS"/>
    <n v="200"/>
    <n v="0"/>
    <n v="0"/>
    <m/>
    <s v="CLP"/>
    <s v="CHILE"/>
    <m/>
    <s v="AV"/>
    <s v="GUIA N 98"/>
    <d v="2025-12-10T00:00:00"/>
  </r>
  <r>
    <x v="2"/>
    <s v="77.053.472-0"/>
    <s v="TERMOFUSION ANTONIO RENATO MADARIAGA ARAVENA EMPRESA INDIVIDUAL DE RES"/>
    <s v="03/03/2026"/>
    <s v="QUINTA"/>
    <x v="1"/>
    <s v="AV PLUS MICRO MIX - 5 L"/>
    <s v="Agroveca"/>
    <s v="Factura Electrónica"/>
    <n v="539"/>
    <s v="LITROS"/>
    <n v="10"/>
    <n v="65000"/>
    <n v="6500"/>
    <m/>
    <s v="CLP"/>
    <s v="CHILE"/>
    <d v="2026-03-03T00:00:00"/>
    <s v="AV"/>
    <m/>
    <m/>
  </r>
  <r>
    <x v="2"/>
    <s v="78.109.329-7"/>
    <s v="SOCIEDAD COMERCIAL HIERBA BUENA LIMITADA"/>
    <s v="03/03/2026"/>
    <s v="METROPOLITANA"/>
    <x v="7"/>
    <s v="NUTRAMIX 500CC GATILLO"/>
    <s v="Agroveca"/>
    <s v="Factura Electrónica"/>
    <n v="540"/>
    <s v="UNIDAD"/>
    <n v="5"/>
    <n v="0"/>
    <n v="0"/>
    <m/>
    <s v="CLP"/>
    <s v="CHILE"/>
    <m/>
    <s v="AV"/>
    <s v="CUIDA TU PLANTA"/>
    <m/>
  </r>
  <r>
    <x v="2"/>
    <s v="78.109.329-7"/>
    <s v="SOCIEDAD COMERCIAL HIERBA BUENA LIMITADA"/>
    <s v="03/03/2026"/>
    <s v="METROPOLITANA"/>
    <x v="7"/>
    <s v="SILFORTEM 500 CC GATILLO"/>
    <s v="Agroveca"/>
    <s v="Factura Electrónica"/>
    <n v="540"/>
    <s v="UNIDAD"/>
    <n v="3"/>
    <n v="0"/>
    <n v="0"/>
    <m/>
    <s v="CLP"/>
    <s v="CHILE"/>
    <m/>
    <s v="AV"/>
    <s v="CUIDA TU PLANTA"/>
    <m/>
  </r>
  <r>
    <x v="2"/>
    <s v="77.157.056-9"/>
    <s v="CRR SERVICIOS SPA"/>
    <s v="04/03/2026"/>
    <s v="METROPOLITANA"/>
    <x v="7"/>
    <s v="GREEN PLANT 500CC GATILLO"/>
    <s v="Agrocomercial"/>
    <s v="Factura Electrónica"/>
    <n v="541"/>
    <s v="UNIDAD"/>
    <n v="5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BALANCE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NUTRAMIX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RAIZ CONC. 500CC"/>
    <s v="Agrocomercial"/>
    <s v="Factura Electrónica"/>
    <n v="541"/>
    <s v="UNIDAD"/>
    <n v="2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TERRAPULSE CONC. 500 CC"/>
    <s v="Agrocomercial"/>
    <s v="Factura Electrónica"/>
    <n v="541"/>
    <s v="UNIDAD"/>
    <n v="3"/>
    <n v="0"/>
    <n v="0"/>
    <m/>
    <s v="CLP"/>
    <s v="CHILE"/>
    <d v="2026-03-04T00:00:00"/>
    <s v="AV"/>
    <m/>
    <m/>
  </r>
  <r>
    <x v="2"/>
    <s v="77.157.056-9"/>
    <s v="CRR SERVICIOS SPA"/>
    <s v="04/03/2026"/>
    <s v="METROPOLITANA"/>
    <x v="7"/>
    <s v="AV BIOVECA RAIZ - 500 GR"/>
    <s v="Agrocomercial"/>
    <s v="Factura Electrónica"/>
    <n v="541"/>
    <s v="UNIDAD"/>
    <n v="1"/>
    <n v="0"/>
    <n v="0"/>
    <m/>
    <s v="CLP"/>
    <s v="CHILE"/>
    <d v="2026-03-04T00:00:00"/>
    <s v="AV"/>
    <m/>
    <m/>
  </r>
  <r>
    <x v="2"/>
    <s v="7.714.703-9"/>
    <s v="CECILIA VELENTINA MALEBRAN"/>
    <s v="04/03/2026"/>
    <s v="QUINTA"/>
    <x v="1"/>
    <s v="Prodructos de 1 litro"/>
    <s v="Agrocomercial"/>
    <s v="Boleta Electronica"/>
    <n v="62"/>
    <s v="LTS"/>
    <n v="9"/>
    <n v="96000"/>
    <n v="10666.666666666666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500CC GATILLO"/>
    <s v="Agrocomercial"/>
    <s v="Factura Electrónica"/>
    <n v="542"/>
    <s v="UNIDAD"/>
    <n v="12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500CC GATILLO"/>
    <s v="Agrocomercial"/>
    <s v="Factura Electrónica"/>
    <n v="542"/>
    <s v="UNIDAD"/>
    <n v="12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CONC. 200CC"/>
    <s v="Agrocomercial"/>
    <s v="Factura Electrónica"/>
    <n v="542"/>
    <s v="UNIDAD"/>
    <n v="6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TERRAPULSE CONC. 200 CC"/>
    <s v="Agrocomercial"/>
    <s v="Factura Electrónica"/>
    <n v="542"/>
    <s v="UNIDAD"/>
    <n v="10"/>
    <n v="0"/>
    <n v="0"/>
    <m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CONC. 200CC"/>
    <s v="Agrocomercial"/>
    <s v="Factura Electrónica"/>
    <n v="542"/>
    <s v="UNIDAD"/>
    <n v="6"/>
    <n v="0"/>
    <n v="0"/>
    <m/>
    <s v="CLP"/>
    <s v="CHILE"/>
    <d v="2026-03-04T00:00:00"/>
    <s v="AV"/>
    <m/>
    <m/>
  </r>
  <r>
    <x v="2"/>
    <s v="81.669.200-8"/>
    <s v="PONTIFICIA UNIVERSIDAD CATOLICA DE VALPARAISO"/>
    <s v="04/03/2026"/>
    <s v="QUINTA"/>
    <x v="1"/>
    <s v="AV MOVE - 20 L"/>
    <s v="Agrocomercial"/>
    <s v="Factura Electrónica"/>
    <n v="543"/>
    <s v="LITROS"/>
    <n v="20"/>
    <n v="170000"/>
    <n v="8500"/>
    <m/>
    <s v="CLP"/>
    <s v="CHILE"/>
    <d v="2026-04-06T00:00:00"/>
    <s v="AV"/>
    <m/>
    <m/>
  </r>
  <r>
    <x v="2"/>
    <s v="81.669.200-8"/>
    <s v="PONTIFICIA UNIVERSIDAD CATOLICA DE VALPARAISO"/>
    <s v="04/03/2026"/>
    <s v="QUINTA"/>
    <x v="1"/>
    <s v="AV MOVE - 5 L"/>
    <s v="Agrocomercial"/>
    <s v="Factura Electrónica"/>
    <n v="543"/>
    <s v="LITROS"/>
    <n v="10"/>
    <n v="85000"/>
    <n v="8500"/>
    <m/>
    <s v="CLP"/>
    <s v="CHILE"/>
    <d v="2026-04-06T00:00:00"/>
    <s v="AV"/>
    <m/>
    <m/>
  </r>
  <r>
    <x v="2"/>
    <s v="77.467.157-9"/>
    <s v="IMPORTADORA BRISAS VALDOVINO SPA"/>
    <s v="05/03/2026"/>
    <s v="SEXTA"/>
    <x v="4"/>
    <s v="AV PLUS ZINC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AGNESI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HIERR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ICRO MIX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POTASIO - 5 L"/>
    <s v="Agrocomercial"/>
    <s v="Factura Electrónica"/>
    <n v="544"/>
    <s v="LITROS"/>
    <n v="5"/>
    <n v="17700"/>
    <n v="3540"/>
    <m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CALCIO BORO - 5 L"/>
    <s v="Agrocomercial"/>
    <s v="Factura Electrónica"/>
    <n v="544"/>
    <s v="LITROS"/>
    <n v="5"/>
    <n v="24790"/>
    <n v="4958"/>
    <m/>
    <s v="CLP"/>
    <s v="CHILE"/>
    <d v="2026-03-05T00:00:00"/>
    <s v="AV"/>
    <m/>
    <m/>
  </r>
  <r>
    <x v="2"/>
    <s v="76.442.085-3"/>
    <s v="AGRICOLA TUNICHE LIMITADA"/>
    <s v="05/03/2026"/>
    <s v="SEXTA"/>
    <x v="4"/>
    <s v="AV PLUS POTASIO - 20 L"/>
    <s v="Agroveca"/>
    <s v="Factura Electrónica"/>
    <n v="545"/>
    <s v="LITROS"/>
    <n v="20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5 L"/>
    <s v="Agroveca"/>
    <s v="Factura Electrónica"/>
    <n v="545"/>
    <s v="LITROS"/>
    <n v="15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1 L"/>
    <s v="Agroveca"/>
    <s v="Factura Electrónica"/>
    <n v="545"/>
    <s v="LITROS"/>
    <n v="1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5 L"/>
    <s v="Agroveca"/>
    <s v="Factura Electrónica"/>
    <n v="545"/>
    <s v="LITROS"/>
    <n v="5"/>
    <n v="0"/>
    <n v="0"/>
    <m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1 L"/>
    <s v="Agroveca"/>
    <s v="Factura Electrónica"/>
    <n v="545"/>
    <s v="LITROS"/>
    <n v="3"/>
    <n v="0"/>
    <n v="0"/>
    <m/>
    <s v="CLP"/>
    <s v="CHILE"/>
    <d v="2026-03-20T00:00:00"/>
    <s v="AV"/>
    <s v="GUIA N 159"/>
    <d v="2026-01-19T00:00:00"/>
  </r>
  <r>
    <x v="2"/>
    <s v="77.139.169-9"/>
    <s v="AGRICOLA FUNDO LA PROVIDENCIA LTDA"/>
    <s v="05/03/2026"/>
    <s v="METROPOLITANA"/>
    <x v="0"/>
    <s v="BIOVECA RAÍZ - 500 GR"/>
    <s v="Agroveca"/>
    <s v="Factura Electrónica"/>
    <n v="546"/>
    <s v="UN"/>
    <n v="16"/>
    <n v="0"/>
    <n v="0"/>
    <m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SIL FORTE - 20 L"/>
    <s v="Agroveca"/>
    <s v="Factura Electrónica"/>
    <n v="546"/>
    <s v="LTS"/>
    <n v="70"/>
    <n v="0"/>
    <n v="0"/>
    <m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 ROOT MAX - 20 L"/>
    <s v="Agroveca"/>
    <s v="Factura Electrónica"/>
    <n v="546"/>
    <s v="LTS"/>
    <n v="75"/>
    <n v="0"/>
    <n v="0"/>
    <m/>
    <s v="CLP"/>
    <s v="CHILE"/>
    <d v="2026-02-26T00:00:00"/>
    <s v="AV"/>
    <s v="GUIA N 120"/>
    <d v="2025-12-28T00:00:00"/>
  </r>
  <r>
    <x v="2"/>
    <s v="78.168.038-9"/>
    <s v="INSUMOS AGRICOLAS RAICES DEL CAMPO SPA"/>
    <s v="05/03/2026"/>
    <s v="METROPOLITANA"/>
    <x v="3"/>
    <s v="AV BIOVECA RAIZ - 500 GR"/>
    <s v="Agrocomercial"/>
    <s v="Factura Electrónica"/>
    <n v="547"/>
    <s v="UNIDAD"/>
    <n v="20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5 L"/>
    <s v="Agrocomercial"/>
    <s v="Factura Electrónica"/>
    <n v="547"/>
    <s v="LITROS"/>
    <n v="40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1 L"/>
    <s v="Agrocomercial"/>
    <s v="Factura Electrónica"/>
    <n v="547"/>
    <s v="LITROS"/>
    <n v="12"/>
    <n v="0"/>
    <n v="0"/>
    <m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MAX FULVIC 45% - 20 L"/>
    <s v="Agrocomercial"/>
    <s v="Factura Electrónica"/>
    <n v="547"/>
    <s v="LITROS"/>
    <n v="120"/>
    <n v="0"/>
    <n v="0"/>
    <m/>
    <s v="CLP"/>
    <s v="CHILE"/>
    <d v="2026-03-22T00:00:00"/>
    <s v="AV"/>
    <s v="GUIA N 161"/>
    <d v="2026-01-21T00:00:00"/>
  </r>
  <r>
    <x v="2"/>
    <s v="9.501.614-6"/>
    <s v="JUAN ENRIQUE VARGAS ALZAMORA"/>
    <s v="05/03/2026"/>
    <s v="QUINTA"/>
    <x v="1"/>
    <s v="VECA MAX FULVIC 45% 20LT"/>
    <s v="Agrocomercial"/>
    <s v="Factura Electrónica"/>
    <n v="548"/>
    <s v="LTS"/>
    <n v="200"/>
    <n v="0"/>
    <n v="0"/>
    <m/>
    <s v="CLP"/>
    <s v="CHILE"/>
    <d v="2026-03-10T00:00:00"/>
    <s v="AV"/>
    <s v="GUIA N 99"/>
    <d v="2025-12-11T00:00:00"/>
  </r>
  <r>
    <x v="2"/>
    <s v="77.654.430-2"/>
    <s v="AGRICOLA LA LOICA SPA"/>
    <s v="05/03/2026"/>
    <s v="QUINTA"/>
    <x v="0"/>
    <s v="ALGAP 30 - 200 L"/>
    <s v="Agroveca"/>
    <s v="Factura Electrónica"/>
    <n v="549"/>
    <s v="LTS"/>
    <n v="200"/>
    <n v="0"/>
    <n v="0"/>
    <m/>
    <s v="CLP"/>
    <s v="CHILE"/>
    <d v="2026-03-01T00:00:00"/>
    <s v="AV"/>
    <s v="GUIA N 82"/>
    <d v="2025-12-01T00:00:00"/>
  </r>
  <r>
    <x v="2"/>
    <s v="10.824.336-8"/>
    <s v="EUGENIO ALFREDO AMPUERO GUERRA"/>
    <s v="05/03/2026"/>
    <s v="QUINTA"/>
    <x v="1"/>
    <s v="VECA AMIN SUGAR x 20LT"/>
    <s v="Agrocomercial"/>
    <s v="Factura Electrónica"/>
    <n v="550"/>
    <s v="LTS"/>
    <n v="100"/>
    <n v="0"/>
    <n v="0"/>
    <m/>
    <s v="CLP"/>
    <s v="CHILE"/>
    <d v="2026-02-04T00:00:00"/>
    <s v="AV"/>
    <s v="GUIA N 88"/>
    <d v="2025-12-04T00:00:00"/>
  </r>
  <r>
    <x v="2"/>
    <s v="77.112.646-4"/>
    <s v="AGRICOLA LAS VERTIENTES S.A."/>
    <s v="06/03/2026"/>
    <s v="SEXTA"/>
    <x v="4"/>
    <s v="AV MOVE - 20 L"/>
    <s v="Agrocomercial"/>
    <s v="Factura Electrónica"/>
    <n v="551"/>
    <s v="LITROS"/>
    <n v="40"/>
    <n v="320000"/>
    <n v="8000"/>
    <m/>
    <s v="CLP"/>
    <s v="CHILE"/>
    <d v="2026-07-15T00:00:00"/>
    <s v="AV"/>
    <m/>
    <m/>
  </r>
  <r>
    <x v="2"/>
    <s v="81.669.200-8"/>
    <s v="PONTIFICIA UNIVERSIDAD CATOLICA DE VALPARAISO"/>
    <s v="06/03/2026"/>
    <s v="QUINTA"/>
    <x v="1"/>
    <s v="AV PLUS MICRO MIX - 5 L"/>
    <s v="Agroveca"/>
    <s v="Guía de Despacho Electrónica"/>
    <n v="230"/>
    <s v="LITROS"/>
    <n v="10"/>
    <n v="70000"/>
    <n v="7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ROOT MAX - 20 L"/>
    <s v="Agroveca"/>
    <s v="Guía de Despacho Electrónica"/>
    <n v="230"/>
    <s v="LITROS"/>
    <n v="40"/>
    <n v="440000"/>
    <n v="11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AMIN SUGAR - 20 L"/>
    <s v="Agroveca"/>
    <s v="Guía de Despacho Electrónica"/>
    <n v="230"/>
    <s v="LITROS"/>
    <n v="20"/>
    <n v="100000"/>
    <n v="5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SILFORTE - 5 L"/>
    <s v="Agroveca"/>
    <s v="Guía de Despacho Electrónica"/>
    <n v="230"/>
    <s v="LITROS"/>
    <n v="5"/>
    <n v="57500"/>
    <n v="115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PLUS NUTRI MIX - 5 L"/>
    <s v="Agroveca"/>
    <s v="Guía de Despacho Electrónica"/>
    <n v="230"/>
    <s v="LITROS"/>
    <n v="10"/>
    <n v="70000"/>
    <n v="7000"/>
    <m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BIOVECA RAIZ - 500 GR"/>
    <s v="Agroveca"/>
    <s v="Guía de Despacho Electrónica"/>
    <n v="230"/>
    <s v="UNIDAD"/>
    <n v="40"/>
    <n v="1200000"/>
    <n v="30000"/>
    <m/>
    <s v="CLP"/>
    <s v="CHILE"/>
    <d v="2026-04-05T00:00:00"/>
    <s v="AV"/>
    <m/>
    <m/>
  </r>
  <r>
    <x v="2"/>
    <s v="78.189.158-4"/>
    <s v="AGRICOLA SAN PEDRO SPA"/>
    <s v="07/03/2026"/>
    <s v="SEXTA"/>
    <x v="0"/>
    <s v="AV15 40-20 - 20 L"/>
    <s v="Agroveca"/>
    <s v="Guía de Despacho Electrónica"/>
    <n v="231"/>
    <s v="LITROS"/>
    <n v="100"/>
    <n v="408100"/>
    <n v="4081"/>
    <m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20 L"/>
    <s v="Agroveca"/>
    <s v="Guía de Despacho Electrónica"/>
    <n v="232"/>
    <s v="LITROS"/>
    <n v="40"/>
    <n v="163240"/>
    <n v="4081"/>
    <m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5 L"/>
    <s v="Agroveca"/>
    <s v="Guía de Despacho Electrónica"/>
    <n v="232"/>
    <s v="LITROS"/>
    <n v="10"/>
    <n v="40810"/>
    <n v="4081"/>
    <m/>
    <s v="CLP"/>
    <s v="CHILE"/>
    <d v="2026-12-15T00:00:00"/>
    <s v="AV"/>
    <m/>
    <m/>
  </r>
  <r>
    <x v="2"/>
    <s v="77.504.909-K"/>
    <s v="AGRICOLA QUINQUILHUE SPA"/>
    <s v="11/03/2026"/>
    <s v="NOVENA"/>
    <x v="3"/>
    <s v="AV ALGAP 30 - 1 L"/>
    <s v="Agroveca"/>
    <s v="Factura Electrónica"/>
    <n v="552"/>
    <s v="LITROS"/>
    <n v="1"/>
    <n v="11430"/>
    <n v="1143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MOVE - 1 L"/>
    <s v="Agroveca"/>
    <s v="Factura Electrónica"/>
    <n v="552"/>
    <s v="LITROS"/>
    <n v="1"/>
    <n v="9600"/>
    <n v="96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PLUS POTASIO - 1 L"/>
    <s v="Agroveca"/>
    <s v="Factura Electrónica"/>
    <n v="552"/>
    <s v="LITROS"/>
    <n v="1"/>
    <n v="7900"/>
    <n v="79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15 40-20 - 1 L"/>
    <s v="Agroveca"/>
    <s v="Factura Electrónica"/>
    <n v="552"/>
    <s v="LITROS"/>
    <n v="1"/>
    <n v="11800"/>
    <n v="11800"/>
    <m/>
    <s v="CLP"/>
    <s v="CHILE"/>
    <d v="2026-03-11T00:00:00"/>
    <s v="AV"/>
    <m/>
    <m/>
  </r>
  <r>
    <x v="2"/>
    <s v="77.504.909-K"/>
    <s v="AGRICOLA QUINQUILHUE SPA"/>
    <s v="11/03/2026"/>
    <s v="NOVENA"/>
    <x v="3"/>
    <s v="AV BIOVECA RAIZ - 500 GR"/>
    <s v="Agroveca"/>
    <s v="Factura Electrónica"/>
    <n v="552"/>
    <s v="UNIDAD"/>
    <n v="1"/>
    <n v="38000"/>
    <n v="38000"/>
    <m/>
    <s v="CLP"/>
    <s v="CHILE"/>
    <d v="2026-03-11T00:00:00"/>
    <s v="AV"/>
    <m/>
    <m/>
  </r>
  <r>
    <x v="2"/>
    <s v="78.542.250-3"/>
    <s v="INVERSIONES ALFARO E INFANTE LTDA"/>
    <s v="11/03/2026"/>
    <s v="LOS RIOS "/>
    <x v="1"/>
    <s v="ANALSIS FOLIAR"/>
    <s v="Laboratorio"/>
    <s v="Factura Electrónica"/>
    <n v="554"/>
    <s v="UN"/>
    <n v="2"/>
    <n v="0"/>
    <n v="0"/>
    <m/>
    <s v="CLP"/>
    <s v="CHILE"/>
    <d v="2026-03-11T00:00:00"/>
    <s v="AV"/>
    <m/>
    <m/>
  </r>
  <r>
    <x v="2"/>
    <s v="77.941.544-9"/>
    <s v="BODEN SPA"/>
    <s v="11/03/2026"/>
    <s v="NOVENA"/>
    <x v="3"/>
    <s v="CRYOPHILE - 250 GR"/>
    <s v="Agrocomercial"/>
    <s v="Guía de Despacho Electrónica"/>
    <n v="58"/>
    <s v="UNIDAD"/>
    <n v="668"/>
    <n v="11356000"/>
    <n v="17000"/>
    <m/>
    <s v="CLP"/>
    <s v="CHILE"/>
    <d v="2026-09-11T00:00:00"/>
    <s v="AV"/>
    <m/>
    <m/>
  </r>
  <r>
    <x v="2"/>
    <s v="78.168.038-9"/>
    <s v="INSUMOS AGRICOLAS RAICES DEL CAMPO SPA"/>
    <s v="12/03/2026"/>
    <s v="METROPOLITANA"/>
    <x v="3"/>
    <s v="AV MAX FULVIC 45% - 20 L"/>
    <s v="Agrocomercial"/>
    <s v="Guía de Despacho Electrónica"/>
    <n v="234"/>
    <s v="LITROS"/>
    <n v="200"/>
    <n v="659779"/>
    <n v="3298.895"/>
    <m/>
    <s v="CLP"/>
    <s v="CHILE"/>
    <d v="2026-05-11T00:00:00"/>
    <s v="AV"/>
    <m/>
    <m/>
  </r>
  <r>
    <x v="2"/>
    <s v="76.044.123-6"/>
    <s v="AGRICOLA EL TOQUI LIMITADA"/>
    <s v="12/03/2026"/>
    <s v="SEXTA"/>
    <x v="4"/>
    <s v="AV BALANCE - 20 L"/>
    <s v="Agroveca"/>
    <s v="Guía de Despacho Electrónica"/>
    <n v="235"/>
    <s v="LITROS"/>
    <n v="40"/>
    <n v="540000"/>
    <n v="135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BALANCE - 5 L"/>
    <s v="Agroveca"/>
    <s v="Guía de Despacho Electrónica"/>
    <n v="235"/>
    <s v="LITROS"/>
    <n v="15"/>
    <n v="202500"/>
    <n v="135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20 L"/>
    <s v="Agroveca"/>
    <s v="Guía de Despacho Electrónica"/>
    <n v="235"/>
    <s v="LITROS"/>
    <n v="20"/>
    <n v="1620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5 L"/>
    <s v="Agroveca"/>
    <s v="Guía de Despacho Electrónica"/>
    <n v="235"/>
    <s v="LITROS"/>
    <n v="15"/>
    <n v="1215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1 L"/>
    <s v="Agroveca"/>
    <s v="Guía de Despacho Electrónica"/>
    <n v="235"/>
    <s v="LITROS"/>
    <n v="1"/>
    <n v="8100"/>
    <n v="81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20 L"/>
    <s v="Agroveca"/>
    <s v="Guía de Despacho Electrónica"/>
    <n v="235"/>
    <s v="LITROS"/>
    <n v="80"/>
    <n v="720000"/>
    <n v="9000"/>
    <m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5 L"/>
    <s v="Agroveca"/>
    <s v="Guía de Despacho Electrónica"/>
    <n v="235"/>
    <s v="LITROS"/>
    <n v="10"/>
    <n v="90000"/>
    <n v="9000"/>
    <m/>
    <s v="CLP"/>
    <s v="CHILE"/>
    <d v="2026-09-30T00:00:00"/>
    <s v="AV"/>
    <m/>
    <m/>
  </r>
  <r>
    <x v="2"/>
    <s v="76.036.193-3"/>
    <s v="AGRICOLA LUIS ANTONIO HERRERA AVENDANO E.I.R.L."/>
    <s v="13/03/2026"/>
    <s v="SEXTA"/>
    <x v="0"/>
    <s v="AV MOVE - 20 L"/>
    <s v="Agroveca"/>
    <s v="Factura Electrónica"/>
    <n v="555"/>
    <s v="LITROS"/>
    <n v="40"/>
    <n v="300000"/>
    <n v="7500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20 L"/>
    <s v="Agroveca"/>
    <s v="Guía de Despacho Electrónica"/>
    <n v="54"/>
    <s v="LITROS"/>
    <n v="80"/>
    <n v="1014000"/>
    <n v="12675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5 L"/>
    <s v="Agroveca"/>
    <s v="Guía de Despacho Electrónica"/>
    <n v="54"/>
    <s v="LITROS"/>
    <n v="100"/>
    <n v="1417500"/>
    <n v="14175"/>
    <m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1 L"/>
    <s v="Agroveca"/>
    <s v="Guía de Despacho Electrónica"/>
    <n v="54"/>
    <s v="LITROS"/>
    <n v="20"/>
    <n v="328500"/>
    <n v="16425"/>
    <m/>
    <s v="CLP"/>
    <s v="CHILE"/>
    <d v="2026-03-13T00:00:00"/>
    <s v="AV"/>
    <m/>
    <m/>
  </r>
  <r>
    <x v="2"/>
    <s v="5.786.817-1"/>
    <s v="MARIO FERNANDO MUÑOZ SILVA"/>
    <s v="13/03/2026"/>
    <s v="SEXTA"/>
    <x v="0"/>
    <s v="AV15 40-20 - 20 L"/>
    <s v="Agroveca"/>
    <s v="Guía de Despacho Electrónica"/>
    <n v="236"/>
    <s v="LITROS"/>
    <n v="80"/>
    <n v="480000"/>
    <n v="6000"/>
    <m/>
    <s v="CLP"/>
    <s v="CHILE"/>
    <d v="2026-05-31T00:00:00"/>
    <s v="AV"/>
    <m/>
    <m/>
  </r>
  <r>
    <x v="2"/>
    <s v="76.547.701-8"/>
    <s v="SOCIEDAD AGRICOLA BRUGNATO LIMITADA"/>
    <s v="13/03/2026"/>
    <s v="QUINTA"/>
    <x v="1"/>
    <s v="AV15 40-20 - 20 L"/>
    <s v="Agroveca"/>
    <s v="Guía de Despacho Electrónica"/>
    <n v="237"/>
    <s v="LITROS"/>
    <n v="20"/>
    <n v="83000"/>
    <n v="4150"/>
    <m/>
    <s v="CLP"/>
    <s v="CHILE"/>
    <d v="2026-05-13T00:00:00"/>
    <s v="AV"/>
    <m/>
    <m/>
  </r>
  <r>
    <x v="2"/>
    <s v="76.547.701-8"/>
    <s v="SOCIEDAD AGRICOLA BRUGNATO LIMITADA"/>
    <s v="13/03/2026"/>
    <s v="QUINTA"/>
    <x v="1"/>
    <s v="AV CYTO PRIME - 20 L"/>
    <s v="Agroveca"/>
    <s v="Guía de Despacho Electrónica"/>
    <n v="237"/>
    <s v="LITROS"/>
    <n v="40"/>
    <n v="680000"/>
    <n v="17000"/>
    <m/>
    <s v="CLP"/>
    <s v="CHILE"/>
    <d v="2026-05-13T00:00:00"/>
    <s v="AV"/>
    <m/>
    <m/>
  </r>
  <r>
    <x v="2"/>
    <s v="77.171.744-6"/>
    <s v="GANAFRUT SPA"/>
    <s v="13/03/2026"/>
    <s v="DECIMA"/>
    <x v="3"/>
    <s v="AV ROOT MAX - 20 L"/>
    <s v="Agroveca"/>
    <s v="Factura Electrónica"/>
    <n v="556"/>
    <s v="LITROS"/>
    <n v="240"/>
    <n v="2140800"/>
    <n v="8920"/>
    <m/>
    <s v="CLP"/>
    <s v="CHILE"/>
    <d v="2026-03-13T00:00:00"/>
    <s v="AV"/>
    <m/>
    <m/>
  </r>
  <r>
    <x v="2"/>
    <s v="77.171.744-6"/>
    <s v="GANAFRUT SPA"/>
    <s v="13/03/2026"/>
    <s v="DECIMA"/>
    <x v="3"/>
    <s v="AV PLUS POTASIO - 20 L"/>
    <s v="Agroveca"/>
    <s v="Factura Electrónica"/>
    <n v="556"/>
    <s v="LITROS"/>
    <n v="20"/>
    <n v="118000"/>
    <n v="5900"/>
    <m/>
    <s v="CLP"/>
    <s v="CHILE"/>
    <d v="2026-03-13T00:00:00"/>
    <s v="AV"/>
    <m/>
    <m/>
  </r>
  <r>
    <x v="2"/>
    <s v="10.831.211-4"/>
    <s v="BRIGITTE ELENA PARDO CONTRERAS"/>
    <s v="16/03/2026"/>
    <s v="METROPOLITANA"/>
    <x v="5"/>
    <s v="AV ROOT MAX - 1 L"/>
    <s v="Agrocomercial"/>
    <s v="Factura Electrónica"/>
    <n v="557"/>
    <s v="LITROS"/>
    <n v="36"/>
    <n v="0"/>
    <n v="0"/>
    <m/>
    <s v="CLP"/>
    <s v="CHILE"/>
    <d v="2026-03-30T00:00:00"/>
    <s v="AV"/>
    <s v="GUIA N 847"/>
    <d v="2025-11-21T00:00:00"/>
  </r>
  <r>
    <x v="2"/>
    <s v="10.831.211-4"/>
    <s v="BRIGITTE ELENA PARDO CONTRERAS"/>
    <s v="16/03/2026"/>
    <s v="METROPOLITANA"/>
    <x v="5"/>
    <s v="AV BALANCE - 1 L"/>
    <s v="Agrocomercial"/>
    <s v="Factura Electrónica"/>
    <n v="558"/>
    <s v="LITROS"/>
    <n v="24"/>
    <n v="0"/>
    <n v="0"/>
    <m/>
    <s v="CLP"/>
    <s v="CHILE"/>
    <d v="2026-03-30T00:00:00"/>
    <s v="AV"/>
    <s v="GUIA N 750"/>
    <d v="2025-10-10T00:00:00"/>
  </r>
  <r>
    <x v="2"/>
    <s v="10.831.211-4"/>
    <s v="BRIGITTE ELENA PARDO CONTRERAS"/>
    <s v="16/03/2026"/>
    <s v="METROPOLITANA"/>
    <x v="5"/>
    <s v="AV ROOT MAX - 1 L"/>
    <s v="Agrocomercial"/>
    <s v="Factura Electrónica"/>
    <n v="559"/>
    <s v="LITROS"/>
    <n v="36"/>
    <n v="0"/>
    <n v="0"/>
    <m/>
    <s v="CLP"/>
    <s v="CHILE"/>
    <d v="2026-03-30T00:00:00"/>
    <s v="AV"/>
    <s v="GUIA N 713"/>
    <d v="2025-09-30T00:00:00"/>
  </r>
  <r>
    <x v="2"/>
    <s v="13.126.772-K"/>
    <s v="DAVID DEL CARMEN SALINAS MORALES"/>
    <s v="16/03/2026"/>
    <s v="ÑUBLE "/>
    <x v="6"/>
    <s v="ANÁLSIS FOLIAR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EPS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BÁSICO"/>
    <s v="Laboratorio"/>
    <s v="Factura Electrónica"/>
    <n v="560"/>
    <s v="UN"/>
    <n v="2"/>
    <n v="0"/>
    <n v="0"/>
    <m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AGUA DE RIEGO"/>
    <s v="Laboratorio"/>
    <s v="Factura Electrónica"/>
    <n v="560"/>
    <s v="UN"/>
    <n v="1"/>
    <n v="0"/>
    <n v="0"/>
    <m/>
    <s v="CLP"/>
    <s v="CHILE"/>
    <d v="2026-03-16T00:00:00"/>
    <s v="AV"/>
    <m/>
    <m/>
  </r>
  <r>
    <x v="2"/>
    <s v="99.511.460-7"/>
    <s v="SOCIEDAD AGRICOLA SAN NICOLAS LIMITADA"/>
    <s v="17/03/2026"/>
    <s v="SEXTA"/>
    <x v="4"/>
    <s v="AV MOVE - 20 L"/>
    <s v="Agrocomercial"/>
    <s v="Factura Electrónica"/>
    <n v="561"/>
    <s v="LITROS"/>
    <n v="20"/>
    <n v="0"/>
    <n v="0"/>
    <m/>
    <s v="CLP"/>
    <s v="CHILE"/>
    <d v="2026-03-27T00:00:00"/>
    <s v="AV"/>
    <s v="GUIA N 174 "/>
    <d v="2026-01-26T00:00:00"/>
  </r>
  <r>
    <x v="2"/>
    <s v="76.428.021-0"/>
    <s v="SOCIEDAD AGRICOLA TIERRA DE BACO LIMITADA"/>
    <s v="17/03/2026"/>
    <s v="SEXTA"/>
    <x v="4"/>
    <s v="AV BIOVECA FOLIAR - 250 GR"/>
    <s v="Agroveca"/>
    <s v="Factura Electrónica"/>
    <n v="562"/>
    <s v="UNIDAD"/>
    <n v="20"/>
    <n v="700000"/>
    <n v="35000"/>
    <m/>
    <s v="CLP"/>
    <s v="CHILE"/>
    <d v="2026-06-15T00:00:00"/>
    <s v="AV"/>
    <m/>
    <m/>
  </r>
  <r>
    <x v="2"/>
    <s v="78.191.436-3"/>
    <s v="VIVERO DONA AURORA SPA"/>
    <s v="17/03/2026"/>
    <s v="SEPTIMA"/>
    <x v="2"/>
    <s v="BALANCE CONC. 200CC"/>
    <s v="Agrocomercial"/>
    <s v="Factura Electrónica"/>
    <n v="563"/>
    <s v="UNIDAD"/>
    <n v="1"/>
    <n v="0"/>
    <n v="0"/>
    <m/>
    <s v="CLP"/>
    <s v="CHILE"/>
    <d v="2026-03-17T00:00:00"/>
    <s v="AV"/>
    <m/>
    <m/>
  </r>
  <r>
    <x v="2"/>
    <s v="78.191.436-3"/>
    <s v="VIVERO DONA AURORA SPA"/>
    <s v="17/03/2026"/>
    <s v="SEPTIMA"/>
    <x v="2"/>
    <s v="BALANCE 500CC GATILLO"/>
    <s v="Agrocomercial"/>
    <s v="Factura Electrónica"/>
    <n v="563"/>
    <s v="UNIDAD"/>
    <n v="4"/>
    <n v="0"/>
    <n v="0"/>
    <m/>
    <s v="CLP"/>
    <s v="CHILE"/>
    <d v="2026-03-17T00:00:00"/>
    <s v="AV"/>
    <m/>
    <m/>
  </r>
  <r>
    <x v="2"/>
    <s v="81.669.200-8"/>
    <s v="PONTIFICIA UNIVERSIDAD CATOLICA DE VALPARAISO"/>
    <s v="17/03/2026"/>
    <s v="QUINTA "/>
    <x v="1"/>
    <s v="AV PLUS MICRO MIX - 5 L"/>
    <s v="Agroveca"/>
    <s v="Factura Electrónica"/>
    <n v="564"/>
    <s v="LITROS"/>
    <n v="1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ROOT MAX - 20 L"/>
    <s v="Agroveca"/>
    <s v="Factura Electrónica"/>
    <n v="564"/>
    <s v="LITROS"/>
    <n v="4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AMIN SUGAR - 20 L"/>
    <s v="Agroveca"/>
    <s v="Factura Electrónica"/>
    <n v="564"/>
    <s v="LITROS"/>
    <n v="2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 "/>
    <x v="1"/>
    <s v="AV SILFORTE - 5 L"/>
    <s v="Agroveca"/>
    <s v="Factura Electrónica"/>
    <n v="564"/>
    <s v="LITROS"/>
    <n v="5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PLUS NUTRI MIX - 5 L"/>
    <s v="Agroveca"/>
    <s v="Factura Electrónica"/>
    <n v="564"/>
    <s v="LITROS"/>
    <n v="10"/>
    <n v="0"/>
    <n v="0"/>
    <m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BIOVECA RAIZ - 500 GR"/>
    <s v="Agroveca"/>
    <s v="Factura Electrónica"/>
    <n v="564"/>
    <s v="UNIDAD"/>
    <n v="40"/>
    <n v="0"/>
    <n v="0"/>
    <m/>
    <s v="CLP"/>
    <s v="CHILE"/>
    <d v="2026-04-16T00:00:00"/>
    <s v="AV"/>
    <s v="GUIA N 230"/>
    <d v="2026-04-16T00:00:00"/>
  </r>
  <r>
    <x v="2"/>
    <s v="14.284.877-5"/>
    <s v="CARLOS HUMBERTO CASTRO VALENZUELA"/>
    <s v="17/03/2026"/>
    <s v="SEXTA"/>
    <x v="0"/>
    <s v="AV MAX FULVIC 45% - 5 L"/>
    <s v="Agrocomercial"/>
    <s v="Factura Electrónica"/>
    <n v="565"/>
    <s v="LITROS"/>
    <n v="10"/>
    <n v="0"/>
    <n v="0"/>
    <m/>
    <s v="CLP"/>
    <s v="CHILE"/>
    <d v="2026-03-17T00:00:00"/>
    <s v="AV"/>
    <s v="GUIA N 155"/>
    <d v="2026-01-16T00:00:00"/>
  </r>
  <r>
    <x v="2"/>
    <s v="14.284.877-5"/>
    <s v="CARLOS HUMBERTO CASTRO VALENZUELA"/>
    <s v="17/03/2026"/>
    <s v="SEXTA"/>
    <x v="0"/>
    <s v="AV SILFORTE - 5 L"/>
    <s v="Agrocomercial"/>
    <s v="Factura Electrónica"/>
    <n v="565"/>
    <s v="LITROS"/>
    <n v="10"/>
    <n v="0"/>
    <n v="0"/>
    <m/>
    <s v="CLP"/>
    <s v="CHILE"/>
    <d v="2026-03-17T00:00:00"/>
    <s v="AV"/>
    <s v="GUIA N 155"/>
    <d v="2026-01-16T00:00:00"/>
  </r>
  <r>
    <x v="2"/>
    <s v="76.428.021-0"/>
    <s v="SOCIEDAD AGRICOLA TIERRA DE BACO LIMITADA"/>
    <s v="18/03/2026"/>
    <s v="SEXTA"/>
    <x v="4"/>
    <s v="AV BIOVECA FOLIAR - 250 GR"/>
    <s v="Agroveca"/>
    <s v="Factura Electrónica"/>
    <n v="566"/>
    <s v="UNIDAD"/>
    <n v="23"/>
    <n v="805000"/>
    <n v="35000"/>
    <m/>
    <s v="CLP"/>
    <s v="CHILE"/>
    <d v="2026-06-20T00:00:00"/>
    <s v="AV"/>
    <m/>
    <m/>
  </r>
  <r>
    <x v="2"/>
    <s v="6.847.048-K"/>
    <s v="FLORENCIO SEGUNDO ALAYAN BRICENO"/>
    <s v="18/03/2026"/>
    <s v="CUARTA"/>
    <x v="5"/>
    <s v="AV MOVE - 20 L AVCH-110"/>
    <s v="Agrocomercial"/>
    <s v="Factura Electrónica"/>
    <n v="567"/>
    <s v="LITROS"/>
    <n v="120"/>
    <n v="1008000"/>
    <n v="8400"/>
    <m/>
    <s v="CLP"/>
    <s v="CHILE"/>
    <d v="2026-04-17T00:00:00"/>
    <s v="AV"/>
    <m/>
    <m/>
  </r>
  <r>
    <x v="2"/>
    <s v="77.941.544-9"/>
    <s v="BODEN SPA"/>
    <s v="18/03/2026"/>
    <s v="DECIMA"/>
    <x v="3"/>
    <s v="SOLUFOS - 500 GR"/>
    <s v="Agroveca"/>
    <s v="Factura Electrónica"/>
    <n v="568"/>
    <s v="UN"/>
    <n v="200"/>
    <n v="0"/>
    <n v="0"/>
    <m/>
    <s v="CLP"/>
    <s v="CHILE"/>
    <d v="2026-03-18T00:00:00"/>
    <s v="AV"/>
    <s v="GUIA N 47 "/>
    <d v="2025-08-21T00:00:00"/>
  </r>
  <r>
    <x v="2"/>
    <s v="17.504.838-3"/>
    <s v="ALUDI ALEJANDRA REYES PEREZ"/>
    <s v="19/03/2026"/>
    <s v="SEXTA"/>
    <x v="4"/>
    <s v="AV SILFORTE - 20 L"/>
    <s v="Agroveca"/>
    <s v="Factura Electrónica"/>
    <n v="569"/>
    <s v="LITROS"/>
    <n v="20"/>
    <n v="214120"/>
    <n v="10706"/>
    <m/>
    <s v="CLP"/>
    <s v="CHILE"/>
    <d v="2026-03-19T00:00:00"/>
    <s v="AV"/>
    <m/>
    <m/>
  </r>
  <r>
    <x v="2"/>
    <s v="17.504.838-3"/>
    <s v="ALUDI ALEJANDRA REYES PEREZ"/>
    <s v="19/03/2026"/>
    <s v="SEXTA"/>
    <x v="4"/>
    <s v="AV PLUS CALCIO - 20 L"/>
    <s v="Agroveca"/>
    <s v="Factura Electrónica"/>
    <n v="569"/>
    <s v="LITROS"/>
    <n v="20"/>
    <n v="80000"/>
    <n v="4000"/>
    <m/>
    <s v="CLP"/>
    <s v="CHILE"/>
    <d v="2026-03-19T00:00:00"/>
    <s v="AV"/>
    <m/>
    <m/>
  </r>
  <r>
    <x v="2"/>
    <s v="76.442.085-3"/>
    <s v="AGRICOLA TUNICHE LIMITADA"/>
    <s v="19/03/2026"/>
    <s v="SEXTA"/>
    <x v="4"/>
    <s v="AV PLUS MAGNESIO - 20 L"/>
    <s v="Agrocomercial"/>
    <s v="Factura Electrónica"/>
    <n v="570"/>
    <s v="LITROS"/>
    <n v="2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MAGNESIO - 1 L"/>
    <s v="Agrocomercial"/>
    <s v="Factura Electrónica"/>
    <n v="570"/>
    <s v="LITROS"/>
    <n v="4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POTASIO - 20 L"/>
    <s v="Agrocomercial"/>
    <s v="Factura Electrónica"/>
    <n v="570"/>
    <s v="LITROS"/>
    <n v="4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20 L"/>
    <s v="Agroveca"/>
    <s v="Factura Electrónica"/>
    <n v="571"/>
    <s v="LITROS"/>
    <n v="20"/>
    <n v="0"/>
    <n v="0"/>
    <m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5 L"/>
    <s v="Agroveca"/>
    <s v="Factura Electrónica"/>
    <n v="571"/>
    <s v="LITROS"/>
    <n v="10"/>
    <n v="0"/>
    <n v="0"/>
    <m/>
    <s v="CLP"/>
    <s v="CHILE"/>
    <d v="2026-04-13T00:00:00"/>
    <s v="AV"/>
    <s v="GUIA N 202"/>
    <d v="2026-02-12T00:00:00"/>
  </r>
  <r>
    <x v="2"/>
    <s v="76.442.085-3"/>
    <s v="AGRICOLA TUNICHE LIMITADA"/>
    <s v="19/03/2026"/>
    <s v="SEXTA"/>
    <x v="4"/>
    <s v="AV PLUS POTASIO - 20 L"/>
    <s v="Agroveca"/>
    <s v="Factura Electrónica"/>
    <n v="571"/>
    <s v="LITROS"/>
    <n v="60"/>
    <n v="0"/>
    <n v="0"/>
    <m/>
    <s v="CLP"/>
    <s v="CHILE"/>
    <d v="2026-04-13T00:00:00"/>
    <s v="AV"/>
    <s v="GUIA N 203"/>
    <d v="2026-02-12T00:00:00"/>
  </r>
  <r>
    <x v="2"/>
    <s v="76.442.085-3"/>
    <s v="AGRICOLA TUNICHE LIMITADA"/>
    <s v="19/03/2026"/>
    <s v="SEXTA"/>
    <x v="4"/>
    <s v="AV PLUS MAGNESIO - 20 L"/>
    <s v="Agroveca"/>
    <s v="Factura Electrónica"/>
    <n v="571"/>
    <s v="LITROS"/>
    <n v="40"/>
    <n v="0"/>
    <n v="0"/>
    <m/>
    <s v="CLP"/>
    <s v="CHILE"/>
    <d v="2026-04-13T00:00:00"/>
    <s v="AV"/>
    <s v="GUIA N 204"/>
    <d v="2026-02-12T00:00:00"/>
  </r>
  <r>
    <x v="2"/>
    <s v="76.044.123-6"/>
    <s v="AGRICOLA EL TOQUI LIMITADA"/>
    <s v="20/03/2026"/>
    <s v="SEXTA"/>
    <x v="4"/>
    <s v="AV MOVE - 20 L"/>
    <s v="Agroveca"/>
    <s v="Factura Electrónica"/>
    <n v="572"/>
    <s v="LITROS"/>
    <n v="140"/>
    <n v="0"/>
    <n v="0"/>
    <m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MOVE - 5 L"/>
    <s v="Agroveca"/>
    <s v="Factura Electrónica"/>
    <n v="572"/>
    <s v="LITROS"/>
    <n v="10"/>
    <n v="0"/>
    <n v="0"/>
    <m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BALANCE - 20 L"/>
    <s v="Agroveca"/>
    <s v="Factura Electrónica"/>
    <n v="573"/>
    <s v="LITROS"/>
    <n v="4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BALANCE - 5 L"/>
    <s v="Agroveca"/>
    <s v="Factura Electrónica"/>
    <n v="573"/>
    <s v="LITROS"/>
    <n v="15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20 L"/>
    <s v="Agroveca"/>
    <s v="Factura Electrónica"/>
    <n v="573"/>
    <s v="LITROS"/>
    <n v="2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5 L"/>
    <s v="Agroveca"/>
    <s v="Factura Electrónica"/>
    <n v="573"/>
    <s v="LITROS"/>
    <n v="15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1 L"/>
    <s v="Agroveca"/>
    <s v="Factura Electrónica"/>
    <n v="573"/>
    <s v="LITROS"/>
    <n v="1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20 L"/>
    <s v="Agroveca"/>
    <s v="Factura Electrónica"/>
    <n v="573"/>
    <s v="LITROS"/>
    <n v="80"/>
    <n v="0"/>
    <n v="0"/>
    <m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5 L"/>
    <s v="Agroveca"/>
    <s v="Factura Electrónica"/>
    <n v="573"/>
    <s v="LITROS"/>
    <n v="10"/>
    <n v="0"/>
    <n v="0"/>
    <m/>
    <s v="CLP"/>
    <s v="CHILE"/>
    <d v="2026-09-30T00:00:00"/>
    <s v="AV"/>
    <s v="GUIA N 235"/>
    <d v="2026-03-12T00:00:00"/>
  </r>
  <r>
    <x v="2"/>
    <s v="76.210.444-K"/>
    <s v="SOCIEDAD AGRICOLA ALIAGA LTDA"/>
    <s v="20/03/2026"/>
    <s v="SEXTA"/>
    <x v="0"/>
    <s v="AV BIOVECA INVERNAL - 250 GR"/>
    <s v="Agroveca"/>
    <s v="Guía de Despacho Electrónica"/>
    <n v="239"/>
    <s v="UNIDAD"/>
    <n v="5"/>
    <n v="165000"/>
    <n v="33000"/>
    <m/>
    <s v="CLP"/>
    <s v="CHILE"/>
    <d v="2026-12-20T00:00:00"/>
    <s v="AV"/>
    <m/>
    <m/>
  </r>
  <r>
    <x v="2"/>
    <s v="78.189.158-4"/>
    <s v="AGRICOLA SAN PEDRO SPA"/>
    <s v="20/03/2026"/>
    <s v="SEXTA"/>
    <x v="0"/>
    <s v="AV BIOVECA INVERNAL - 250 GR"/>
    <s v="Agroveca"/>
    <s v="Guía de Despacho Electrónica"/>
    <n v="240"/>
    <s v="UNIDAD"/>
    <n v="11"/>
    <n v="363000"/>
    <n v="33000"/>
    <m/>
    <s v="CLP"/>
    <s v="CHILE"/>
    <d v="2026-12-20T00:00:00"/>
    <s v="AV"/>
    <m/>
    <m/>
  </r>
  <r>
    <x v="2"/>
    <s v="77.185.037-5"/>
    <s v="SOCIEDAD AGRICOLA LA ESPERANZA SPA"/>
    <s v="20/03/2026"/>
    <s v="SEXTA"/>
    <x v="0"/>
    <s v="AV BIOVECA INVERNAL - 250 GR"/>
    <s v="Agroveca"/>
    <s v="Guía de Despacho Electrónica"/>
    <n v="241"/>
    <s v="UNIDAD"/>
    <n v="6"/>
    <n v="198000"/>
    <n v="33000"/>
    <m/>
    <s v="CLP"/>
    <s v="CHILE"/>
    <d v="2026-12-20T00:00:00"/>
    <s v="AV"/>
    <m/>
    <m/>
  </r>
  <r>
    <x v="2"/>
    <s v="77.941.544-9"/>
    <s v="BODEN SPA"/>
    <s v="20/03/2026"/>
    <s v="DECIMA"/>
    <x v="3"/>
    <s v="PROTECT PRADERAS - 250 G"/>
    <s v="Agrocomercial"/>
    <s v="Guía de Despacho Electrónica"/>
    <n v="243"/>
    <s v="KILOS"/>
    <n v="600"/>
    <n v="10800000"/>
    <n v="18000"/>
    <m/>
    <s v="CLP"/>
    <s v="CHILE"/>
    <d v="2026-03-20T00:00:00"/>
    <s v="AV"/>
    <m/>
    <m/>
  </r>
  <r>
    <x v="2"/>
    <s v="96.661.820-5"/>
    <s v="COMERCIAL COPELEC SA"/>
    <s v="23/03/2026"/>
    <s v="ÑUBLE "/>
    <x v="2"/>
    <s v="AV PLUS NUTRI MIX - 1 L"/>
    <s v="Agroveca"/>
    <s v="Factura Electrónica"/>
    <n v="574"/>
    <s v="LITROS"/>
    <n v="12"/>
    <n v="73308"/>
    <n v="6109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CALCIO BORO - 1 L"/>
    <s v="Agroveca"/>
    <s v="Factura Electrónica"/>
    <n v="574"/>
    <s v="LITROS"/>
    <n v="24"/>
    <n v="162840"/>
    <n v="6785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NP MIX - 1 L"/>
    <s v="Agroveca"/>
    <s v="Factura Electrónica"/>
    <n v="574"/>
    <s v="LITROS"/>
    <n v="24"/>
    <n v="172200"/>
    <n v="7175"/>
    <m/>
    <s v="CLP"/>
    <s v="CHILE"/>
    <d v="2026-04-20T00:00:00"/>
    <s v="AV"/>
    <m/>
    <m/>
  </r>
  <r>
    <x v="2"/>
    <s v="96.661.820-5"/>
    <s v="COMERCIAL COPELEC SA"/>
    <s v="23/03/2026"/>
    <s v="ÑUBLE "/>
    <x v="2"/>
    <s v="AV PLUS POTASIO - 1 L"/>
    <s v="Agroveca"/>
    <s v="Factura Electrónica"/>
    <n v="574"/>
    <s v="LITROS"/>
    <n v="12"/>
    <n v="74100"/>
    <n v="6175"/>
    <m/>
    <s v="CLP"/>
    <s v="CHILE"/>
    <d v="2026-04-20T00:00:00"/>
    <s v="AV"/>
    <m/>
    <m/>
  </r>
  <r>
    <x v="2"/>
    <s v="96.661.820-5"/>
    <s v="COMERCIAL COPELEC SA"/>
    <s v="23/03/2026"/>
    <s v="ÑUBLE "/>
    <x v="2"/>
    <s v="AV ROOT MAX - 1 L"/>
    <s v="Agroveca"/>
    <s v="Factura Electrónica"/>
    <n v="574"/>
    <s v="LITROS"/>
    <n v="12"/>
    <n v="152280"/>
    <n v="12690"/>
    <m/>
    <s v="CLP"/>
    <s v="CHILE"/>
    <d v="2026-04-20T00:00:00"/>
    <s v="AV"/>
    <m/>
    <m/>
  </r>
  <r>
    <x v="2"/>
    <s v="13.304.290-3"/>
    <s v="ANITA ANDREA SALGADO MUNOZ"/>
    <s v="23/03/2026"/>
    <s v="SEXTA"/>
    <x v="0"/>
    <s v="AV BIOVECA NEMA OFF - 500 GR"/>
    <s v="Agroveca"/>
    <s v="Guía de Despacho Electrónica"/>
    <n v="244"/>
    <s v="UNIDAD"/>
    <n v="3"/>
    <n v="111000"/>
    <n v="37000"/>
    <m/>
    <s v="CLP"/>
    <s v="CHILE"/>
    <d v="2026-05-29T00:00:00"/>
    <s v="AV"/>
    <m/>
    <m/>
  </r>
  <r>
    <x v="2"/>
    <s v="76.146.000-5"/>
    <s v="SOC AGRICOLA LA ISLA LIMITADA"/>
    <s v="24/03/2026"/>
    <s v="SEXTA"/>
    <x v="4"/>
    <s v="AV BIOVECA INVERNAL - 250 GR"/>
    <s v="Agroveca"/>
    <s v="Guía de Despacho Electrónica"/>
    <n v="245"/>
    <s v="UNIDAD"/>
    <n v="10"/>
    <n v="350000"/>
    <n v="35000"/>
    <m/>
    <s v="CLP"/>
    <s v="CHILE"/>
    <d v="2026-08-20T00:00:00"/>
    <s v="AV"/>
    <m/>
    <m/>
  </r>
  <r>
    <x v="2"/>
    <s v="76.146.000-5"/>
    <s v="SOC AGRICOLA LA ISLA LIMITADA"/>
    <s v="24/03/2026"/>
    <s v="SEXTA"/>
    <x v="4"/>
    <s v="AV PLUS MICRO MIX - 20 L"/>
    <s v="Agroveca"/>
    <s v="Guía de Despacho Electrónica"/>
    <n v="245"/>
    <s v="LITROS"/>
    <n v="100"/>
    <n v="916000"/>
    <n v="9160"/>
    <m/>
    <s v="CLP"/>
    <s v="CHILE"/>
    <d v="2026-08-20T00:00:00"/>
    <s v="AV"/>
    <m/>
    <m/>
  </r>
  <r>
    <x v="2"/>
    <s v="76.180.961-K"/>
    <s v="AGRICOLA SAN ANTONIO LIMITADA"/>
    <s v="24/03/2026"/>
    <s v="CUARTA"/>
    <x v="5"/>
    <s v="AV MOVE - 20 L"/>
    <s v="Agrocomercial"/>
    <s v="Guía de Despacho Electrónica"/>
    <n v="246"/>
    <s v="LITROS"/>
    <n v="80"/>
    <n v="672000"/>
    <n v="8400"/>
    <m/>
    <s v="CLP"/>
    <s v="CHILE"/>
    <d v="2026-05-20T00:00:00"/>
    <s v="AV"/>
    <m/>
    <m/>
  </r>
  <r>
    <x v="2"/>
    <s v="77.787.364-4"/>
    <s v="INVERSIONES COSTA DE ALGARROBO SPA."/>
    <s v="25/03/2026"/>
    <s v="METROPOLITANA"/>
    <x v="0"/>
    <s v="AV PLUS MAGNESIO - 20 L"/>
    <s v="Agroveca"/>
    <s v="Factura Electrónica"/>
    <n v="575"/>
    <s v="LITROS"/>
    <n v="20"/>
    <n v="60000"/>
    <n v="3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PLUS MAGNESIO - 5 L"/>
    <s v="Agroveca"/>
    <s v="Factura Electrónica"/>
    <n v="575"/>
    <s v="LITROS"/>
    <n v="10"/>
    <n v="30000"/>
    <n v="3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SILFORTE - 20 L"/>
    <s v="Agroveca"/>
    <s v="Factura Electrónica"/>
    <n v="575"/>
    <s v="LITROS"/>
    <n v="20"/>
    <n v="140000"/>
    <n v="7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5"/>
    <s v="LITROS"/>
    <n v="20"/>
    <n v="120000"/>
    <n v="60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MAX FULVIC 45% - 20 L"/>
    <s v="Agroveca"/>
    <s v="Factura Electrónica"/>
    <n v="576"/>
    <s v="LITROS"/>
    <n v="20"/>
    <n v="116000"/>
    <n v="58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HUMIC ROOT - 20 L"/>
    <s v="Agroveca"/>
    <s v="Factura Electrónica"/>
    <n v="576"/>
    <s v="LITROS"/>
    <n v="40"/>
    <n v="232000"/>
    <n v="5800"/>
    <m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6"/>
    <s v="LITROS"/>
    <n v="20"/>
    <n v="196000"/>
    <n v="9800"/>
    <m/>
    <s v="CLP"/>
    <s v="CHILE"/>
    <d v="2026-04-20T00:00:00"/>
    <s v="AV"/>
    <m/>
    <m/>
  </r>
  <r>
    <x v="2"/>
    <s v="76.238.110-9"/>
    <s v="AGRICOLA FRANCISCA MONTES E.I.R.L"/>
    <s v="25/03/2026"/>
    <s v="SEXTA"/>
    <x v="0"/>
    <s v="AV MOVE - 20 L"/>
    <s v="Agrocomercial"/>
    <s v="Factura Electrónica"/>
    <n v="577"/>
    <s v="LITROS"/>
    <n v="120"/>
    <n v="1056000"/>
    <n v="8800"/>
    <m/>
    <s v="CLP"/>
    <s v="CHILE"/>
    <d v="2026-04-24T00:00:00"/>
    <s v="AV"/>
    <m/>
    <m/>
  </r>
  <r>
    <x v="2"/>
    <s v="76.238.110-9"/>
    <s v="AGRICOLA FRANCISCA MONTES E.I.R.L"/>
    <s v="25/03/2026"/>
    <s v="SEXTA"/>
    <x v="0"/>
    <s v="AV MOVE - 5 L"/>
    <s v="Agrocomercial"/>
    <s v="Factura Electrónica"/>
    <n v="577"/>
    <s v="LITROS"/>
    <n v="10"/>
    <n v="88000"/>
    <n v="8800"/>
    <m/>
    <s v="CLP"/>
    <s v="CHILE"/>
    <d v="2026-04-24T00:00:00"/>
    <s v="AV"/>
    <m/>
    <m/>
  </r>
  <r>
    <x v="2"/>
    <s v="76.238.110-9"/>
    <s v="AGRICOLA FRANCISCA MONTES E.I.R.L"/>
    <s v="25/03/2026"/>
    <s v="SEXTA"/>
    <x v="0"/>
    <s v="ANALISIS FOLIAR"/>
    <s v="Laboratorio"/>
    <s v="Factura Electrónica"/>
    <n v="578"/>
    <s v="UN"/>
    <n v="2"/>
    <n v="0"/>
    <n v="0"/>
    <m/>
    <s v="CLP"/>
    <s v="CHILE"/>
    <d v="2026-03-25T00:00:00"/>
    <s v="AV"/>
    <m/>
    <m/>
  </r>
  <r>
    <x v="2"/>
    <s v="77.758.114-7"/>
    <s v="SOCIEDAD AGRÍCOLA COMERCIAL SIEMBRA SPA"/>
    <s v="26/03/2026"/>
    <s v="SEXTA"/>
    <x v="4"/>
    <s v="AV BIOVECA INVERNAL - 250 GR"/>
    <s v="Agroveca"/>
    <s v="Guía de Despacho Electrónica"/>
    <n v="249"/>
    <s v="UN"/>
    <n v="12"/>
    <n v="286560"/>
    <n v="23880"/>
    <m/>
    <s v="CLP"/>
    <s v="CHILE"/>
    <d v="2026-07-20T00:00:00"/>
    <s v="AV"/>
    <m/>
    <m/>
  </r>
  <r>
    <x v="2"/>
    <s v="78.220.721-0"/>
    <s v="AGRICOLA Y COMERCIALIZADORA ALDO ROBERTO ARRIETA AHUMADA E.I.R.L."/>
    <s v="27/03/2026"/>
    <s v="QUINTA"/>
    <x v="1"/>
    <s v="AV BLOOM - 20 L"/>
    <s v="Agrocomercial"/>
    <s v="Factura Electrónica"/>
    <n v="579"/>
    <s v="LITROS"/>
    <n v="20"/>
    <n v="0"/>
    <n v="0"/>
    <m/>
    <s v="CLP"/>
    <s v="CHILE"/>
    <d v="2026-03-23T00:00:00"/>
    <s v="AV"/>
    <s v="GUIA N 219"/>
    <d v="2026-02-26T00:00:00"/>
  </r>
  <r>
    <x v="2"/>
    <s v="76.678.184-5"/>
    <s v="COMERCIALIZADORA S &amp; M SPA"/>
    <s v="27/03/2026"/>
    <s v="SEXTA"/>
    <x v="0"/>
    <s v="AV BIOVECA INVERNAL - 250 GR"/>
    <s v="Agrocomercial"/>
    <s v="Guía de Despacho Electrónica"/>
    <n v="251"/>
    <s v="UNIDAD"/>
    <n v="3"/>
    <n v="99000"/>
    <n v="33000"/>
    <m/>
    <s v="CLP"/>
    <s v="CHILE"/>
    <d v="2026-05-20T00:00:00"/>
    <s v="AV"/>
    <m/>
    <m/>
  </r>
  <r>
    <x v="2"/>
    <s v="77.317.590-K"/>
    <s v="SOCIEDAD AGRICOLA SAN FRANCISCO LTDA"/>
    <s v="28/03/2026"/>
    <s v="SEXTA"/>
    <x v="4"/>
    <s v="AV AMIN SUGAR - 5 L"/>
    <s v="Agrocomercial"/>
    <s v="Factura Electrónica"/>
    <n v="580"/>
    <s v="LITROS"/>
    <n v="15"/>
    <n v="105195"/>
    <n v="7013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AMIN SUGAR - 20 L"/>
    <s v="Agrocomercial"/>
    <s v="Factura Electrónica"/>
    <n v="580"/>
    <s v="LITROS"/>
    <n v="40"/>
    <n v="220000"/>
    <n v="550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- 1 L"/>
    <s v="Agrocomercial"/>
    <s v="Factura Electrónica"/>
    <n v="580"/>
    <s v="LITROS"/>
    <n v="1"/>
    <n v="6225"/>
    <n v="62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1 L"/>
    <s v="Agrocomercial"/>
    <s v="Factura Electrónica"/>
    <n v="580"/>
    <s v="LITROS"/>
    <n v="1"/>
    <n v="6225"/>
    <n v="62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20 L"/>
    <s v="Agrocomercial"/>
    <s v="Factura Electrónica"/>
    <n v="580"/>
    <s v="LITROS"/>
    <n v="20"/>
    <n v="88500"/>
    <n v="4425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BORO - 1 L"/>
    <s v="Agrocomercial"/>
    <s v="Factura Electrónica"/>
    <n v="580"/>
    <s v="LITROS"/>
    <n v="1"/>
    <n v="6880"/>
    <n v="688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BORO - 1 L"/>
    <s v="Agrocomercial"/>
    <s v="Factura Electrónica"/>
    <n v="580"/>
    <s v="LITROS"/>
    <n v="2"/>
    <n v="13280"/>
    <n v="664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15 40-20 - 5 L"/>
    <s v="Agrocomercial"/>
    <s v="Factura Electrónica"/>
    <n v="580"/>
    <s v="LITROS"/>
    <n v="5"/>
    <n v="33750"/>
    <n v="6750"/>
    <m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MAGNESIO - 5 L"/>
    <s v="Agrocomercial"/>
    <s v="Factura Electrónica"/>
    <n v="580"/>
    <s v="LITROS"/>
    <n v="5"/>
    <n v="23625"/>
    <n v="4725"/>
    <m/>
    <s v="CLP"/>
    <s v="CHILE"/>
    <d v="2026-06-08T00:00:00"/>
    <s v="AV"/>
    <m/>
    <m/>
  </r>
  <r>
    <x v="2"/>
    <s v="14.109.149-2"/>
    <s v="EDUARDO MILTON IBACACHE ORTIZ"/>
    <s v="31/03/2026"/>
    <s v="CUARTA"/>
    <x v="0"/>
    <s v="AV BIOVECA PRADERAS - 250 GR"/>
    <s v="Agroveca"/>
    <s v="Factura Electrónica"/>
    <n v="581"/>
    <s v="UNIDAD"/>
    <n v="1"/>
    <n v="35000"/>
    <n v="35000"/>
    <m/>
    <s v="CLP"/>
    <s v="CHILE"/>
    <d v="2026-03-31T00:00:00"/>
    <s v="AV"/>
    <m/>
    <m/>
  </r>
  <r>
    <x v="2"/>
    <s v="76.149.388-4"/>
    <s v="AGRICOLA GOMEZ SPA"/>
    <s v="31/03/2026"/>
    <s v="QUINTA "/>
    <x v="1"/>
    <s v="AV15 40-20 - 20 L"/>
    <s v="Agroveca"/>
    <s v="Guía de Despacho Electrónica"/>
    <n v="252"/>
    <s v="LITROS"/>
    <n v="200"/>
    <n v="1000000"/>
    <n v="5000"/>
    <m/>
    <s v="CLP"/>
    <s v="CHILE"/>
    <d v="2026-06-20T00:00:00"/>
    <s v="AV"/>
    <m/>
    <m/>
  </r>
  <r>
    <x v="2"/>
    <s v="96.813.740-9"/>
    <s v="AGRICOLA EL CANELILLO S A"/>
    <s v="31/03/2026"/>
    <s v="QUINTA"/>
    <x v="1"/>
    <s v="AV CYTO PRIME - 20 L"/>
    <s v="Agroveca"/>
    <s v="Guía de Despacho Electrónica"/>
    <n v="253"/>
    <s v="LITROS"/>
    <n v="40"/>
    <n v="640000"/>
    <n v="16000"/>
    <m/>
    <s v="CLP"/>
    <s v="CHILE"/>
    <d v="2026-05-05T00:00:00"/>
    <s v="AV"/>
    <m/>
    <m/>
  </r>
  <r>
    <x v="2"/>
    <s v="11.937.873-7"/>
    <s v="MARITZA DEL PILAR DUBO ORDENES"/>
    <s v="31/03/2026"/>
    <s v="CUARTA"/>
    <x v="0"/>
    <s v="AV CYTO PRIME - 20 L"/>
    <s v="Agroveca"/>
    <s v="Guía de Despacho Electrónica"/>
    <n v="255"/>
    <s v="LITROS"/>
    <n v="20"/>
    <n v="376000"/>
    <n v="18800"/>
    <m/>
    <s v="CLP"/>
    <s v="CHILE"/>
    <d v="2026-05-05T00:00:00"/>
    <s v="AV"/>
    <m/>
    <m/>
  </r>
  <r>
    <x v="2"/>
    <s v="76.532.516-1"/>
    <s v="AGROINVEST SPA"/>
    <s v="31/03/2026"/>
    <s v="SEXTA"/>
    <x v="2"/>
    <s v="AV15 40-20 - 20 L"/>
    <s v="Agroveca"/>
    <s v="Factura Electrónica"/>
    <n v="582"/>
    <s v="LITROS"/>
    <n v="160"/>
    <n v="640000"/>
    <n v="4000"/>
    <m/>
    <s v="CLP"/>
    <s v="CHILE"/>
    <d v="2026-05-05T00:00:00"/>
    <s v="AV"/>
    <m/>
    <m/>
  </r>
  <r>
    <x v="3"/>
    <s v="76.867.632-1"/>
    <s v="GOYASERVICE SPA"/>
    <s v="01/04/2026"/>
    <s v="SEPTIMA"/>
    <x v="3"/>
    <s v="FOLIBAC BIO INVIERNO - 250 G"/>
    <s v="Agrocomercial"/>
    <s v="Factura Electrónica"/>
    <n v="583"/>
    <s v="UNIDAD"/>
    <n v="151"/>
    <n v="4001500"/>
    <n v="26500"/>
    <m/>
    <s v="CLP"/>
    <s v="CHILE"/>
    <d v="2026-07-30T00:00:00"/>
    <s v="AV"/>
    <m/>
    <m/>
  </r>
  <r>
    <x v="3"/>
    <s v="96.813.740-9"/>
    <s v="AGRICOLA EL CANELILLO S A"/>
    <s v="01/04/2026"/>
    <s v="QUINTA"/>
    <x v="1"/>
    <s v="AV CYTO PRIME - 20 L"/>
    <s v="Agroveca"/>
    <s v="Factura Electrónica"/>
    <n v="584"/>
    <s v="LITROS"/>
    <n v="40"/>
    <n v="0"/>
    <n v="0"/>
    <m/>
    <s v="CLP"/>
    <s v="CHILE"/>
    <d v="2026-04-01T00:00:00"/>
    <s v="AV"/>
    <s v="GUIA N 253"/>
    <d v="2026-03-31T00:00:00"/>
  </r>
  <r>
    <x v="3"/>
    <s v="77.941.544-9"/>
    <s v="BODEN SPA"/>
    <s v="01/04/2026"/>
    <s v="LOS LAGOS"/>
    <x v="3"/>
    <s v="CRYOPHILE - 250 GR"/>
    <s v="Agrocomercial"/>
    <s v="Factura Electrónica"/>
    <n v="586"/>
    <s v="UN"/>
    <n v="668"/>
    <n v="0"/>
    <n v="0"/>
    <m/>
    <s v="CLP"/>
    <s v="CHILE"/>
    <d v="2026-08-01T00:00:00"/>
    <s v="AV"/>
    <s v="GUIA N 58"/>
    <d v="2025-09-24T00:00:00"/>
  </r>
  <r>
    <x v="3"/>
    <s v="76.867.632-1"/>
    <s v="GOYASERVICE SPA"/>
    <s v="01/04/2026"/>
    <s v="SEPTIMA"/>
    <x v="3"/>
    <s v="FOLIBAC BIO INVIERNO - 250 G"/>
    <s v="Agrocomercial"/>
    <s v="Guía de Despacho Electrónica"/>
    <n v="257"/>
    <s v="UNIDAD"/>
    <n v="149"/>
    <n v="3948500"/>
    <n v="26500"/>
    <m/>
    <s v="CLP"/>
    <s v="CHILE"/>
    <d v="2026-08-05T00:00:00"/>
    <s v="AV"/>
    <m/>
    <m/>
  </r>
  <r>
    <x v="3"/>
    <s v="76.146.000-5"/>
    <s v="SOC AGRICOLA LA ISLA LIMITADA"/>
    <s v="02/04/2026"/>
    <s v="SEXTA"/>
    <x v="4"/>
    <s v="AV BIOVECA INVERNAL - 250 GR"/>
    <s v="Agroveca"/>
    <s v="Factura Electrónica"/>
    <n v="587"/>
    <s v="UNIDAD"/>
    <n v="10"/>
    <n v="0"/>
    <n v="0"/>
    <m/>
    <s v="CLP"/>
    <s v="CHILE"/>
    <d v="2026-08-20T00:00:00"/>
    <s v="AV"/>
    <s v="GUIA N 245"/>
    <d v="2026-03-24T00:00:00"/>
  </r>
  <r>
    <x v="3"/>
    <s v="76.146.000-5"/>
    <s v="SOC AGRICOLA LA ISLA LIMITADA"/>
    <s v="02/04/2026"/>
    <s v="SEXTA"/>
    <x v="4"/>
    <s v="AV PLUS MICRO MIX - 20 L"/>
    <s v="Agroveca"/>
    <s v="Factura Electrónica"/>
    <n v="587"/>
    <s v="LITROS"/>
    <n v="100"/>
    <n v="0"/>
    <n v="0"/>
    <m/>
    <s v="CLP"/>
    <s v="CHILE"/>
    <d v="2026-08-20T00:00:00"/>
    <s v="AV"/>
    <s v="GUIA N 245"/>
    <d v="2026-03-24T00:00:00"/>
  </r>
  <r>
    <x v="3"/>
    <s v="78.542.250-3"/>
    <s v="INVERSIONES ALFARO E INFANTE LTDA"/>
    <s v="05/04/2026"/>
    <s v="QUINTA "/>
    <x v="1"/>
    <s v="AV CYTO PRIME - 20 L"/>
    <s v="Agroveca"/>
    <s v="Factura Electrónica"/>
    <n v="588"/>
    <s v="LITROS"/>
    <n v="20"/>
    <n v="320000"/>
    <n v="16000"/>
    <m/>
    <s v="CLP"/>
    <s v="CHILE"/>
    <d v="2026-04-05T00:00:00"/>
    <s v="AV"/>
    <m/>
    <m/>
  </r>
  <r>
    <x v="3"/>
    <s v="78.542.250-3"/>
    <s v="INVERSIONES ALFARO E INFANTE LTDA"/>
    <s v="05/04/2026"/>
    <s v="QUINTA "/>
    <x v="1"/>
    <s v="AV ALGAP 30 - 20 L"/>
    <s v="Agroveca"/>
    <s v="Factura Electrónica"/>
    <n v="588"/>
    <s v="LITROS"/>
    <n v="40"/>
    <n v="200000"/>
    <n v="5000"/>
    <m/>
    <s v="CLP"/>
    <s v="CHILE"/>
    <d v="2026-04-05T00:00:00"/>
    <s v="AV"/>
    <m/>
    <m/>
  </r>
  <r>
    <x v="3"/>
    <s v="6.363.035-7"/>
    <s v="EDWIN LEONARDO GOYKOVIC CORTES"/>
    <s v="05/04/2026"/>
    <s v="QUINTA"/>
    <x v="1"/>
    <s v="AV CYTO PRIME - 5 L"/>
    <s v="Agroveca"/>
    <s v="Factura Electrónica"/>
    <n v="589"/>
    <s v="LITROS"/>
    <n v="10"/>
    <n v="170000"/>
    <n v="17000"/>
    <m/>
    <s v="CLP"/>
    <s v="CHILE"/>
    <d v="2026-04-05T00:00:00"/>
    <s v="AV"/>
    <m/>
    <m/>
  </r>
  <r>
    <x v="3"/>
    <s v="6.363.035-7"/>
    <s v="EDWIN LEONARDO GOYKOVIC CORTES"/>
    <s v="05/04/2026"/>
    <s v="QUINTA"/>
    <x v="1"/>
    <s v="AV BLOOM - 20 L"/>
    <s v="Agroveca"/>
    <s v="Factura Electrónica"/>
    <n v="589"/>
    <s v="LITROS"/>
    <n v="20"/>
    <n v="200000"/>
    <n v="10000"/>
    <m/>
    <s v="CLP"/>
    <s v="CHILE"/>
    <d v="2026-04-05T00:00:00"/>
    <s v="AV"/>
    <m/>
    <m/>
  </r>
  <r>
    <x v="3"/>
    <s v="76.149.388-4"/>
    <s v="AGRICOLA GOMEZ SPA"/>
    <s v="06/04/2026"/>
    <m/>
    <x v="1"/>
    <s v="AV15 40-20 - 20 L"/>
    <s v="Agroveca"/>
    <s v="Factura Electrónica"/>
    <n v="590"/>
    <s v="LITROS"/>
    <n v="200"/>
    <n v="1000000"/>
    <n v="5000"/>
    <m/>
    <s v="CLP"/>
    <s v="CHILE"/>
    <m/>
    <m/>
    <m/>
    <m/>
  </r>
  <r>
    <x v="3"/>
    <s v="6.725.491-0"/>
    <s v="JOSE CRISTOBAL GONZALEZ CORREA"/>
    <s v="08/04/2026"/>
    <s v="SEXTA"/>
    <x v="4"/>
    <s v="AV PLUS ZINC MANGANESO - 20 L"/>
    <s v="Agroveca"/>
    <s v="Factura Electrónica"/>
    <n v="591"/>
    <s v="LITROS"/>
    <n v="160"/>
    <n v="427840"/>
    <n v="2674"/>
    <m/>
    <s v="CLP"/>
    <s v="CHILE"/>
    <m/>
    <m/>
    <m/>
    <m/>
  </r>
  <r>
    <x v="3"/>
    <s v="6.725.491-0"/>
    <s v="JOSE CRISTOBAL GONZALEZ CORREA"/>
    <s v="08/04/2026"/>
    <s v="SEXTA"/>
    <x v="4"/>
    <s v="AV PLUS BORO - 20 L"/>
    <s v="Agroveca"/>
    <s v="Factura Electrónica"/>
    <n v="591"/>
    <s v="LITROS"/>
    <n v="80"/>
    <n v="213920"/>
    <n v="2674"/>
    <m/>
    <s v="CLP"/>
    <s v="CHILE"/>
    <m/>
    <m/>
    <m/>
    <m/>
  </r>
  <r>
    <x v="3"/>
    <s v="10.302.140-5"/>
    <s v="ALEJANDRA INES LEIGHTON NARANJO"/>
    <s v="08/04/2026"/>
    <m/>
    <x v="3"/>
    <s v="AV BIOVECA PRADERAS - 250 GR"/>
    <s v="Agroveca"/>
    <s v="Factura Electrónica"/>
    <n v="592"/>
    <s v="UNIDAD"/>
    <n v="3"/>
    <n v="102408"/>
    <n v="34136"/>
    <m/>
    <s v="CLP"/>
    <s v="CHILE"/>
    <m/>
    <m/>
    <m/>
    <m/>
  </r>
  <r>
    <x v="3"/>
    <s v="76.593.447-8"/>
    <s v="AGRICOLA EDITH MARGARITA VASQUEZ OROZCO SPA"/>
    <s v="08/04/2026"/>
    <s v="SEXTA"/>
    <x v="3"/>
    <s v="AV MAX FULVIC 45% - 20 L"/>
    <s v="Agroveca"/>
    <s v="Guía de Despacho Electrónica"/>
    <n v="258"/>
    <s v="LITROS"/>
    <n v="100"/>
    <n v="354100"/>
    <n v="3541"/>
    <m/>
    <s v="CLP"/>
    <s v="CHILE"/>
    <m/>
    <m/>
    <m/>
    <m/>
  </r>
  <r>
    <x v="3"/>
    <s v="78.168.038-9"/>
    <s v="INSUMOS AGRICOLAS RAICES DEL CAMPO SPA"/>
    <s v="08/04/2026"/>
    <m/>
    <x v="3"/>
    <s v="AV MOVE - 5 L"/>
    <s v="Agroveca"/>
    <s v="Guía de Despacho Electrónica"/>
    <n v="260"/>
    <s v="LITROS"/>
    <n v="25"/>
    <n v="230650"/>
    <n v="9226"/>
    <m/>
    <s v="CLP"/>
    <s v="CHILE"/>
    <m/>
    <m/>
    <m/>
    <m/>
  </r>
  <r>
    <x v="3"/>
    <s v="78.168.038-9"/>
    <s v="INSUMOS AGRICOLAS RAICES DEL CAMPO SPA"/>
    <s v="08/04/2026"/>
    <m/>
    <x v="3"/>
    <s v="AV AMIN SUGAR - 5 L"/>
    <s v="Agroveca"/>
    <s v="Guía de Despacho Electrónica"/>
    <n v="260"/>
    <s v="LITROS"/>
    <n v="25"/>
    <n v="253725"/>
    <n v="10149"/>
    <m/>
    <s v="CLP"/>
    <s v="CHILE"/>
    <m/>
    <m/>
    <m/>
    <m/>
  </r>
  <r>
    <x v="3"/>
    <s v="78.168.038-9"/>
    <s v="INSUMOS AGRICOLAS RAICES DEL CAMPO SPA"/>
    <s v="08/04/2026"/>
    <m/>
    <x v="3"/>
    <s v="AV BIOVECA RAIZ - 500 GR"/>
    <s v="Agroveca"/>
    <s v="Guía de Despacho Electrónica"/>
    <n v="260"/>
    <s v="UNIDAD"/>
    <n v="20"/>
    <n v="830340"/>
    <n v="41517"/>
    <m/>
    <s v="CLP"/>
    <s v="CHILE"/>
    <m/>
    <m/>
    <m/>
    <m/>
  </r>
  <r>
    <x v="3"/>
    <s v="15.755.762-9"/>
    <s v="GONZALO ALEJANDRO CORRALES CORREA"/>
    <s v="08/04/2026"/>
    <m/>
    <x v="3"/>
    <s v="AV BIOVECA INVERNAL - 250 GR"/>
    <s v="Agroveca"/>
    <s v="Factura Electrónica"/>
    <n v="63"/>
    <s v="UNIDAD"/>
    <n v="1"/>
    <n v="35000"/>
    <n v="35000"/>
    <m/>
    <s v="CLP"/>
    <s v="CHILE"/>
    <m/>
    <m/>
    <m/>
    <m/>
  </r>
  <r>
    <x v="3"/>
    <s v="78.168.038-9"/>
    <s v="INSUMOS AGRICOLAS RAICES DEL CAMPO SPA"/>
    <s v="09/04/2026"/>
    <m/>
    <x v="3"/>
    <s v="AV BIOVECA NEMA OFF - 500 GR"/>
    <s v="Agroveca"/>
    <s v="Guía de Despacho Electrónica"/>
    <n v="262"/>
    <s v="UNIDAD"/>
    <n v="10"/>
    <n v="415170"/>
    <n v="41517"/>
    <m/>
    <s v="CLP"/>
    <s v="CHILE"/>
    <m/>
    <m/>
    <m/>
    <m/>
  </r>
  <r>
    <x v="3"/>
    <s v="76.210.444-K"/>
    <s v="SOCIEDAD AGRICOLA ALIAGA LTDA"/>
    <s v="09/04/2026"/>
    <s v="SEXTA"/>
    <x v="0"/>
    <s v="AV AMIN SUGAR - 20 L"/>
    <s v="Agroveca"/>
    <s v="Guía de Despacho Electrónica"/>
    <n v="263"/>
    <s v="LITROS"/>
    <n v="40"/>
    <n v="311440"/>
    <n v="7786"/>
    <m/>
    <s v="CLP"/>
    <s v="CHILE"/>
    <m/>
    <m/>
    <m/>
    <m/>
  </r>
  <r>
    <x v="3"/>
    <s v="76.210.444-K"/>
    <s v="SOCIEDAD AGRICOLA ALIAGA LTDA"/>
    <s v="09/04/2026"/>
    <s v="SEXTA"/>
    <x v="0"/>
    <s v="AV PLUS ZINC MANGANESO - 20 L"/>
    <s v="Agroveca"/>
    <s v="Guía de Despacho Electrónica"/>
    <n v="263"/>
    <s v="LITROS"/>
    <n v="40"/>
    <n v="164880"/>
    <n v="4122"/>
    <m/>
    <s v="CLP"/>
    <s v="CHILE"/>
    <m/>
    <m/>
    <m/>
    <m/>
  </r>
  <r>
    <x v="3"/>
    <s v="76.210.444-K"/>
    <s v="SOCIEDAD AGRICOLA ALIAGA LTDA"/>
    <s v="09/04/2026"/>
    <s v="SEXTA"/>
    <x v="0"/>
    <s v="AV PLUS POTASIO - 20 L"/>
    <s v="Agroveca"/>
    <s v="Guía de Despacho Electrónica"/>
    <n v="263"/>
    <s v="LITROS"/>
    <n v="40"/>
    <n v="164880"/>
    <n v="4122"/>
    <m/>
    <s v="CLP"/>
    <s v="CHILE"/>
    <m/>
    <m/>
    <m/>
    <m/>
  </r>
  <r>
    <x v="3"/>
    <s v="78.189.158-4"/>
    <s v="AGRICOLA SAN PEDRO SPA"/>
    <s v="09/04/2026"/>
    <s v="SEXTA"/>
    <x v="0"/>
    <s v="AV AMIN SUGAR - 20 L"/>
    <s v="Agroveca"/>
    <s v="Guía de Despacho Electrónica"/>
    <n v="264"/>
    <s v="LITROS"/>
    <n v="20"/>
    <n v="155720"/>
    <n v="7786"/>
    <m/>
    <s v="CLP"/>
    <s v="CHILE"/>
    <m/>
    <m/>
    <m/>
    <m/>
  </r>
  <r>
    <x v="3"/>
    <s v="78.189.158-4"/>
    <s v="AGRICOLA SAN PEDRO SPA"/>
    <s v="09/04/2026"/>
    <s v="SEXTA"/>
    <x v="0"/>
    <s v="AV AMIN SUGAR - 5 L"/>
    <s v="Agroveca"/>
    <s v="Guía de Despacho Electrónica"/>
    <n v="264"/>
    <s v="LITROS"/>
    <n v="10"/>
    <n v="83000"/>
    <n v="8300"/>
    <m/>
    <s v="CLP"/>
    <s v="CHILE"/>
    <m/>
    <m/>
    <m/>
    <m/>
  </r>
  <r>
    <x v="3"/>
    <s v="78.189.158-4"/>
    <s v="AGRICOLA SAN PEDRO SPA"/>
    <s v="09/04/2026"/>
    <s v="SEXTA"/>
    <x v="0"/>
    <s v="AV PLUS POTASIO - 20 L"/>
    <s v="Agroveca"/>
    <s v="Guía de Despacho Electrónica"/>
    <n v="264"/>
    <s v="LITROS"/>
    <n v="20"/>
    <n v="82440"/>
    <n v="4122"/>
    <m/>
    <s v="CLP"/>
    <s v="CHILE"/>
    <m/>
    <m/>
    <m/>
    <m/>
  </r>
  <r>
    <x v="3"/>
    <s v="78.189.158-4"/>
    <s v="AGRICOLA SAN PEDRO SPA"/>
    <s v="09/04/2026"/>
    <s v="SEXTA"/>
    <x v="0"/>
    <s v="AV PLUS POTASIO - 5 L"/>
    <s v="Agroveca"/>
    <s v="Guía de Despacho Electrónica"/>
    <n v="264"/>
    <s v="LITROS"/>
    <n v="10"/>
    <n v="46000"/>
    <n v="4600"/>
    <m/>
    <s v="CLP"/>
    <s v="CHILE"/>
    <m/>
    <m/>
    <m/>
    <m/>
  </r>
  <r>
    <x v="3"/>
    <s v="78.189.158-4"/>
    <s v="AGRICOLA SAN PEDRO SPA"/>
    <s v="09/04/2026"/>
    <s v="SEXTA"/>
    <x v="0"/>
    <s v="AV PLUS ZINC MANGANESO - 20 L"/>
    <s v="Agroveca"/>
    <s v="Guía de Despacho Electrónica"/>
    <n v="264"/>
    <s v="LITROS"/>
    <n v="20"/>
    <n v="82440"/>
    <n v="4122"/>
    <m/>
    <s v="CLP"/>
    <s v="CHILE"/>
    <m/>
    <m/>
    <m/>
    <m/>
  </r>
  <r>
    <x v="3"/>
    <s v="78.189.158-4"/>
    <s v="AGRICOLA SAN PEDRO SPA"/>
    <s v="09/04/2026"/>
    <s v="SEXTA"/>
    <x v="0"/>
    <s v="AV PLUS ZINC MANGANESO - 5 L"/>
    <s v="Agroveca"/>
    <s v="Guía de Despacho Electrónica"/>
    <n v="264"/>
    <s v="LITROS"/>
    <n v="10"/>
    <n v="46000"/>
    <n v="4600"/>
    <m/>
    <s v="CLP"/>
    <s v="CHILE"/>
    <m/>
    <m/>
    <m/>
    <m/>
  </r>
  <r>
    <x v="3"/>
    <s v="17.504.838-3"/>
    <s v="ALUDI ALEJANDRA REYES PEREZ"/>
    <s v="10/04/2026"/>
    <s v="SEXTA"/>
    <x v="4"/>
    <s v="AV MOVE - 20 L"/>
    <s v="Agroveca"/>
    <s v="Factura Electrónica"/>
    <n v="593"/>
    <s v="LITROS"/>
    <n v="20"/>
    <n v="161340"/>
    <n v="8067"/>
    <m/>
    <s v="CLP"/>
    <s v="CHILE"/>
    <m/>
    <m/>
    <m/>
    <m/>
  </r>
  <r>
    <x v="3"/>
    <s v="77.773.872-0"/>
    <s v="GREENBRO SPA"/>
    <s v="10/04/2026"/>
    <m/>
    <x v="0"/>
    <s v="AV ROOT MAX - 20 L"/>
    <s v="Agroveca"/>
    <s v="Factura Electrónica"/>
    <n v="594"/>
    <s v="LITROS"/>
    <n v="20"/>
    <n v="178400"/>
    <n v="8920"/>
    <m/>
    <s v="CLP"/>
    <s v="CHILE"/>
    <m/>
    <m/>
    <m/>
    <m/>
  </r>
  <r>
    <x v="3"/>
    <s v="77.773.872-0"/>
    <s v="GREENBRO SPA"/>
    <s v="10/04/2026"/>
    <m/>
    <x v="0"/>
    <s v="AV AMIN - 20 L"/>
    <s v="Agroveca"/>
    <s v="Factura Electrónica"/>
    <n v="594"/>
    <s v="LITROS"/>
    <n v="20"/>
    <n v="104800"/>
    <n v="5240"/>
    <m/>
    <s v="CLP"/>
    <s v="CHILE"/>
    <m/>
    <m/>
    <m/>
    <m/>
  </r>
  <r>
    <x v="3"/>
    <s v="77.773.872-0"/>
    <s v="GREENBRO SPA"/>
    <s v="10/04/2026"/>
    <m/>
    <x v="0"/>
    <s v="AV PLUS CALCIO BORO - 5 L"/>
    <s v="Agroveca"/>
    <s v="Factura Electrónica"/>
    <n v="594"/>
    <s v="LITROS"/>
    <n v="5"/>
    <n v="28895"/>
    <n v="5779"/>
    <m/>
    <s v="CLP"/>
    <s v="CHILE"/>
    <m/>
    <m/>
    <m/>
    <m/>
  </r>
  <r>
    <x v="3"/>
    <s v="77.773.872-0"/>
    <s v="GREENBRO SPA"/>
    <s v="10/04/2026"/>
    <m/>
    <x v="0"/>
    <s v="AV BIOVECA RAIZ - 500 GR"/>
    <s v="Agroveca"/>
    <s v="Factura Electrónica"/>
    <n v="594"/>
    <s v="UNIDAD"/>
    <n v="3"/>
    <n v="114000"/>
    <n v="38000"/>
    <m/>
    <s v="CLP"/>
    <s v="CHILE"/>
    <m/>
    <m/>
    <m/>
    <m/>
  </r>
  <r>
    <x v="3"/>
    <s v="77.773.872-0"/>
    <s v="GREENBRO SPA"/>
    <s v="10/04/2026"/>
    <m/>
    <x v="0"/>
    <s v="AV BIOVECA FOLIAR - 250 GR"/>
    <s v="Agroveca"/>
    <s v="Factura Electrónica"/>
    <n v="594"/>
    <s v="UNIDAD"/>
    <n v="1"/>
    <n v="28000"/>
    <n v="28000"/>
    <m/>
    <s v="CLP"/>
    <s v="CHILE"/>
    <m/>
    <m/>
    <m/>
    <m/>
  </r>
  <r>
    <x v="3"/>
    <s v="77.773.872-0"/>
    <s v="GREENBRO SPA"/>
    <s v="10/04/2026"/>
    <m/>
    <x v="0"/>
    <s v="AV BIOVECA PRADERAS - 250 GR"/>
    <s v="Agroveca"/>
    <s v="Factura Electrónica"/>
    <n v="594"/>
    <s v="UNIDAD"/>
    <n v="1"/>
    <n v="28000"/>
    <n v="28000"/>
    <m/>
    <s v="CLP"/>
    <s v="CHILE"/>
    <m/>
    <m/>
    <m/>
    <m/>
  </r>
  <r>
    <x v="3"/>
    <s v="14.284.877-5"/>
    <s v="CARLOS HUMBERTO CASTRO VALENZUELA"/>
    <s v="10/04/2026"/>
    <m/>
    <x v="0"/>
    <s v="AV MOVE - 5 L"/>
    <s v="Agroveca"/>
    <s v="Factura Electrónica"/>
    <n v="595"/>
    <s v="LITROS"/>
    <n v="10"/>
    <n v="82000"/>
    <n v="8200"/>
    <m/>
    <s v="CLP"/>
    <s v="CHILE"/>
    <m/>
    <m/>
    <m/>
    <m/>
  </r>
  <r>
    <x v="3"/>
    <s v="77.157.056-9"/>
    <s v="CRR SERVICIOS SPA"/>
    <s v="10/04/2026"/>
    <m/>
    <x v="7"/>
    <s v="AV BIOVECA RAIZ - 500 GR"/>
    <s v="Agroveca"/>
    <s v="Factura Electrónica"/>
    <n v="596"/>
    <s v="UNIDAD"/>
    <n v="1"/>
    <n v="0"/>
    <n v="0"/>
    <m/>
    <s v="CLP"/>
    <s v="CHILE"/>
    <m/>
    <m/>
    <m/>
    <m/>
  </r>
  <r>
    <x v="3"/>
    <s v="6.931.829-0"/>
    <s v="SERGIO ELADIO YANEZ YANEZ"/>
    <s v="12/04/2026"/>
    <m/>
    <x v="4"/>
    <s v="AV SOLARIS 1LT"/>
    <s v="Agroveca"/>
    <s v="Factura Electrónica"/>
    <n v="597"/>
    <s v="UN"/>
    <n v="10"/>
    <n v="0"/>
    <n v="0"/>
    <m/>
    <s v="CLP"/>
    <s v="CHILE"/>
    <m/>
    <m/>
    <m/>
    <m/>
  </r>
  <r>
    <x v="3"/>
    <s v="6.931.829-0"/>
    <s v="SERGIO ELADIO YANEZ YANEZ"/>
    <s v="12/04/2026"/>
    <m/>
    <x v="4"/>
    <s v="VECASIL FORTE 20LT"/>
    <s v="Agroveca"/>
    <s v="Factura Electrónica"/>
    <n v="597"/>
    <s v="UN"/>
    <n v="20"/>
    <n v="0"/>
    <n v="0"/>
    <m/>
    <s v="CLP"/>
    <s v="CHILE"/>
    <m/>
    <m/>
    <m/>
    <m/>
  </r>
  <r>
    <x v="3"/>
    <s v="6.931.829-0"/>
    <s v="SERGIO ELADIO YANEZ YANEZ"/>
    <s v="12/04/2026"/>
    <m/>
    <x v="4"/>
    <s v="VECA PLUS CALCIO 20LT"/>
    <s v="Agroveca"/>
    <s v="Factura Electrónica"/>
    <n v="597"/>
    <s v="UN"/>
    <n v="20"/>
    <n v="0"/>
    <n v="0"/>
    <m/>
    <s v="CLP"/>
    <s v="CHILE"/>
    <m/>
    <m/>
    <m/>
    <m/>
  </r>
  <r>
    <x v="3"/>
    <s v="76.412.827-3"/>
    <s v="FRUTICOLA RIO BLANCO SPA"/>
    <d v="2026-04-12T00:00:00"/>
    <m/>
    <x v="0"/>
    <s v="VECA MOVE - 20 L"/>
    <s v="Agroveca"/>
    <s v="Factura Electrónica"/>
    <n v="598"/>
    <s v="LTS"/>
    <n v="100"/>
    <n v="0"/>
    <n v="0"/>
    <m/>
    <s v="CLP"/>
    <s v="CHILE"/>
    <m/>
    <m/>
    <m/>
    <m/>
  </r>
  <r>
    <x v="3"/>
    <s v="76.412.827-3"/>
    <s v="FRUTICOLA RIO BLANCO SPA"/>
    <s v="12/04/2026"/>
    <m/>
    <x v="0"/>
    <s v="VECA MOVE - 20 L"/>
    <s v="Agroveca"/>
    <s v="Factura Electrónica"/>
    <n v="599"/>
    <s v="LTS"/>
    <n v="80"/>
    <n v="0"/>
    <n v="0"/>
    <m/>
    <s v="CLP"/>
    <s v="CHILE"/>
    <m/>
    <m/>
    <m/>
    <m/>
  </r>
  <r>
    <x v="3"/>
    <s v="77.870.899-K"/>
    <s v="CULTIAGRO SPA"/>
    <s v="12/04/2026"/>
    <m/>
    <x v="4"/>
    <s v="VECA BALANCE 1LT"/>
    <s v="Agroveca"/>
    <s v="Factura Electrónica"/>
    <n v="600"/>
    <s v="UN"/>
    <n v="24"/>
    <n v="0"/>
    <n v="0"/>
    <m/>
    <s v="CLP"/>
    <s v="CHILE"/>
    <m/>
    <m/>
    <m/>
    <m/>
  </r>
  <r>
    <x v="3"/>
    <s v="77.870.899-K"/>
    <s v="CULTIAGRO SPA"/>
    <s v="12/04/2026"/>
    <m/>
    <x v="4"/>
    <s v="VECA BLOOM 1LT"/>
    <s v="Agroveca"/>
    <s v="Factura Electrónica"/>
    <n v="600"/>
    <s v="UN"/>
    <n v="12"/>
    <n v="0"/>
    <n v="0"/>
    <m/>
    <s v="CLP"/>
    <s v="CHILE"/>
    <m/>
    <m/>
    <m/>
    <m/>
  </r>
  <r>
    <x v="3"/>
    <s v="77.870.899-K"/>
    <s v="CULTIAGRO SPA"/>
    <s v="12/04/2026"/>
    <m/>
    <x v="4"/>
    <s v="AV SOLARIS 1LT"/>
    <s v="Agroveca"/>
    <s v="Factura Electrónica"/>
    <n v="600"/>
    <s v="UN"/>
    <n v="24"/>
    <n v="0"/>
    <n v="0"/>
    <m/>
    <s v="CLP"/>
    <s v="CHILE"/>
    <m/>
    <m/>
    <m/>
    <m/>
  </r>
  <r>
    <x v="3"/>
    <s v="77.870.899-K"/>
    <s v="CULTIAGRO SPA"/>
    <s v="12/04/2026"/>
    <m/>
    <x v="4"/>
    <s v="VECA AMIN X 20LT"/>
    <s v="Agroveca"/>
    <s v="Factura Electrónica"/>
    <n v="601"/>
    <s v="UN"/>
    <n v="20"/>
    <n v="0"/>
    <n v="0"/>
    <m/>
    <s v="CLP"/>
    <s v="CHILE"/>
    <m/>
    <m/>
    <m/>
    <m/>
  </r>
  <r>
    <x v="3"/>
    <s v="9.501.614-6"/>
    <s v="JUAN ENRIQUE VARGAS ALZAMORA"/>
    <s v="12/04/2026"/>
    <m/>
    <x v="1"/>
    <s v="AV AMIN SUGAR - 200 L"/>
    <s v="Agroveca"/>
    <s v="Factura Electrónica"/>
    <n v="602"/>
    <s v="LITROS"/>
    <n v="200"/>
    <n v="0"/>
    <n v="0"/>
    <m/>
    <s v="CLP"/>
    <s v="CHILE"/>
    <m/>
    <m/>
    <m/>
    <m/>
  </r>
  <r>
    <x v="3"/>
    <s v="6.725.491-0"/>
    <s v="JOSE CRISTOBAL GONZALEZ CORREA"/>
    <s v="13/04/2026"/>
    <m/>
    <x v="4"/>
    <s v="AV MOVE - 20 L"/>
    <s v="Agroveca"/>
    <s v="Factura Electrónica"/>
    <n v="603"/>
    <s v="LITROS"/>
    <n v="80"/>
    <n v="576720"/>
    <n v="7209"/>
    <m/>
    <s v="CLP"/>
    <s v="CHILE"/>
    <m/>
    <m/>
    <m/>
    <m/>
  </r>
  <r>
    <x v="3"/>
    <s v="76.593.447-8"/>
    <s v="AGRICOLA EDITH MARGARITA VASQUEZ OROZCO SPA"/>
    <s v="13/04/2026"/>
    <m/>
    <x v="8"/>
    <s v="AV MAX FULVIC 45% - 20 L"/>
    <s v="Agroveca"/>
    <s v="Factura Electrónica"/>
    <n v="604"/>
    <s v="LITROS"/>
    <n v="100"/>
    <n v="354100"/>
    <n v="3541"/>
    <m/>
    <s v="CLP"/>
    <s v="CHILE"/>
    <m/>
    <m/>
    <m/>
    <m/>
  </r>
  <r>
    <x v="3"/>
    <s v="76.776.128-7"/>
    <s v="AGRICOLA SANTA SABINA LIMITADA"/>
    <s v="13/04/2026"/>
    <m/>
    <x v="1"/>
    <s v="AV MOVE - 20 L"/>
    <s v="Agroveca"/>
    <s v="Factura Electrónica"/>
    <n v="605"/>
    <s v="LITROS"/>
    <n v="20"/>
    <n v="190000"/>
    <n v="9500"/>
    <m/>
    <s v="CLP"/>
    <s v="CHILE"/>
    <m/>
    <m/>
    <m/>
    <m/>
  </r>
  <r>
    <x v="3"/>
    <s v="11.110.621-5"/>
    <s v="HECTOR HERNAN ROMERO NAVARRO"/>
    <s v="14/04/2026"/>
    <m/>
    <x v="1"/>
    <s v="AV BIOVECA INVERNAL - 250 GR"/>
    <s v="Agroveca"/>
    <s v="Factura Electrónica"/>
    <n v="607"/>
    <s v="UNIDAD"/>
    <n v="10"/>
    <n v="305000"/>
    <n v="30500"/>
    <m/>
    <s v="CLP"/>
    <s v="CHILE"/>
    <m/>
    <m/>
    <m/>
    <m/>
  </r>
  <r>
    <x v="3"/>
    <s v="79.673.320-9"/>
    <s v="SOC AGRICOLA PALO ALTO LIMITADA"/>
    <s v="15/04/2026"/>
    <m/>
    <x v="0"/>
    <s v="VECA BALANCE - 20 L"/>
    <s v="Agroveca"/>
    <s v="Factura Electrónica"/>
    <n v="608"/>
    <s v="LTS"/>
    <n v="60"/>
    <n v="0"/>
    <n v="0"/>
    <m/>
    <s v="CLP"/>
    <s v="CHILE"/>
    <m/>
    <m/>
    <m/>
    <m/>
  </r>
  <r>
    <x v="3"/>
    <s v="76.044.123-6"/>
    <s v="AGRICOLA EL TOQUI LIMITADA"/>
    <s v="15/04/2026"/>
    <m/>
    <x v="4"/>
    <s v="VECASIL FORTE 20 LT"/>
    <s v="Agroveca"/>
    <s v="Factura Electrónica"/>
    <n v="610"/>
    <s v="LTS"/>
    <n v="140"/>
    <n v="0"/>
    <n v="0"/>
    <m/>
    <s v="CLP"/>
    <s v="CHILE"/>
    <m/>
    <m/>
    <m/>
    <m/>
  </r>
  <r>
    <x v="3"/>
    <s v="76.044.123-6"/>
    <s v="AGRICOLA EL TOQUI LIMITADA"/>
    <s v="15/04/2026"/>
    <m/>
    <x v="4"/>
    <s v="AV SOLARIS 20 LT"/>
    <s v="Agroveca"/>
    <s v="Factura Electrónica"/>
    <n v="610"/>
    <s v="LTS"/>
    <n v="100"/>
    <n v="0"/>
    <n v="0"/>
    <m/>
    <s v="CLP"/>
    <s v="CHILE"/>
    <m/>
    <m/>
    <m/>
    <m/>
  </r>
  <r>
    <x v="3"/>
    <s v="76.044.123-6"/>
    <s v="AGRICOLA EL TOQUI LIMITADA"/>
    <s v="15/04/2026"/>
    <m/>
    <x v="4"/>
    <s v="VECA MOVE x 20LT"/>
    <s v="Agroveca"/>
    <s v="Factura Electrónica"/>
    <n v="611"/>
    <s v="LTS"/>
    <n v="140"/>
    <n v="0"/>
    <n v="0"/>
    <m/>
    <s v="CLP"/>
    <s v="CHILE"/>
    <m/>
    <m/>
    <m/>
    <m/>
  </r>
  <r>
    <x v="3"/>
    <s v="6.725.491-0"/>
    <s v="JOSE CRISTOBAL GONZALEZ CORREA"/>
    <s v="17/04/2026"/>
    <m/>
    <x v="4"/>
    <s v="AV PLUS BORO - 20 L"/>
    <s v="Agroveca"/>
    <s v="Factura Electrónica"/>
    <n v="612"/>
    <s v="LITROS"/>
    <n v="40"/>
    <n v="106960"/>
    <n v="2674"/>
    <m/>
    <s v="CLP"/>
    <s v="CHILE"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13" firstHeaderRow="1" firstDataRow="2" firstDataCol="1"/>
  <pivotFields count="21"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14">
        <item x="8"/>
        <item x="1"/>
        <item x="5"/>
        <item m="1" x="12"/>
        <item x="3"/>
        <item x="6"/>
        <item m="1" x="11"/>
        <item m="1" x="10"/>
        <item x="0"/>
        <item x="7"/>
        <item x="4"/>
        <item x="2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3"/>
    </i>
    <i>
      <x v="4"/>
    </i>
    <i t="grand">
      <x/>
    </i>
  </colItems>
  <dataFields count="1">
    <dataField name="Suma de Total" fld="12" baseField="0" baseItem="0" numFmtId="3"/>
  </dataFields>
  <formats count="3">
    <format dxfId="60">
      <pivotArea outline="0" collapsedLevelsAreSubtotals="1" fieldPosition="0"/>
    </format>
    <format dxfId="59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G17:J22" totalsRowShown="0" headerRowDxfId="57" tableBorderDxfId="56">
  <autoFilter ref="G17:J22" xr:uid="{00000000-0009-0000-0100-000001000000}"/>
  <tableColumns count="4">
    <tableColumn id="1" xr3:uid="{00000000-0010-0000-0000-000001000000}" name="Mes"/>
    <tableColumn id="2" xr3:uid="{00000000-0010-0000-0000-000002000000}" name="Presupuesto ($)" dataDxfId="55"/>
    <tableColumn id="3" xr3:uid="{00000000-0010-0000-0000-000003000000}" name="Venta ($)" dataDxfId="54"/>
    <tableColumn id="4" xr3:uid="{00000000-0010-0000-0000-000004000000}" name="Cumplimiento (%)" dataDxfId="53">
      <calculatedColumnFormula>Tabla1[[#This Row],[Venta ($)]]*100/Tabla1[[#This Row],[Presupuesto ($)]]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2:J9" totalsRowCount="1" headerRowDxfId="52">
  <autoFilter ref="A2:J8" xr:uid="{00000000-0009-0000-0100-000004000000}"/>
  <tableColumns count="10">
    <tableColumn id="1" xr3:uid="{00000000-0010-0000-0100-000001000000}" name="Vendedor" dataDxfId="51" totalsRowDxfId="50"/>
    <tableColumn id="2" xr3:uid="{00000000-0010-0000-0100-000002000000}" name="Ppto Enero ($)" totalsRowFunction="custom" dataDxfId="49" totalsRowDxfId="48">
      <totalsRowFormula>SUM(B3:B8)</totalsRowFormula>
    </tableColumn>
    <tableColumn id="3" xr3:uid="{00000000-0010-0000-0100-000003000000}" name="Venta Enero ($)" totalsRowFunction="custom" dataDxfId="47" totalsRowDxfId="46">
      <totalsRowFormula>SUM(C3:C8)</totalsRowFormula>
    </tableColumn>
    <tableColumn id="4" xr3:uid="{00000000-0010-0000-0100-000004000000}" name="Cumplimiento (%)" totalsRowFunction="custom" dataDxfId="45" totalsRowDxfId="44">
      <totalsRowFormula>Tabla4[[#Totals],[Venta Enero ($)]]*100/Tabla4[[#Totals],[Ppto Enero ($)]]</totalsRowFormula>
    </tableColumn>
    <tableColumn id="5" xr3:uid="{00000000-0010-0000-0100-000005000000}" name="Ppto Febrero ($)" totalsRowFunction="custom" dataDxfId="43" totalsRowDxfId="42">
      <totalsRowFormula>SUM(E3:E8)</totalsRowFormula>
    </tableColumn>
    <tableColumn id="6" xr3:uid="{00000000-0010-0000-0100-000006000000}" name="Venta Febrero ($)" totalsRowFunction="custom" dataDxfId="41" totalsRowDxfId="40">
      <totalsRowFormula>SUM(F3:F8)</totalsRowFormula>
    </tableColumn>
    <tableColumn id="7" xr3:uid="{00000000-0010-0000-0100-000007000000}" name="Cumplimiento (%)2" totalsRowFunction="custom" dataDxfId="39" totalsRowDxfId="38">
      <totalsRowFormula>Tabla4[[#Totals],[Venta Febrero ($)]]*100/Tabla4[[#Totals],[Ppto Febrero ($)]]</totalsRowFormula>
    </tableColumn>
    <tableColumn id="8" xr3:uid="{00000000-0010-0000-0100-000008000000}" name="Ppto Marzo ($)" totalsRowFunction="custom" dataDxfId="37" totalsRowDxfId="36">
      <totalsRowFormula>SUM(H3:H8)</totalsRowFormula>
    </tableColumn>
    <tableColumn id="9" xr3:uid="{00000000-0010-0000-0100-000009000000}" name="Venta Marzo ($)" totalsRowFunction="custom" dataDxfId="35" totalsRowDxfId="34">
      <calculatedColumnFormula>GETPIVOTDATA("Total",RESUMEN!$A$2,"MES","MARZO","Vendedor","FRANCISCO VELASQUEZ")</calculatedColumnFormula>
      <totalsRowFormula>SUM(I3:I8)</totalsRowFormula>
    </tableColumn>
    <tableColumn id="10" xr3:uid="{00000000-0010-0000-0100-00000A000000}" name="Cumplimiento (%)3" totalsRowFunction="custom" dataDxfId="33" totalsRowDxfId="32">
      <calculatedColumnFormula>Tabla4[[#This Row],[Venta Marzo ($)]]*100/Tabla4[[#This Row],[Ppto Marzo ($)]]</calculatedColumnFormula>
      <totalsRowFormula>Tabla4[[#Totals],[Venta Marzo ($)]]*100/Tabla4[[#Totals],[Ppto Marzo ($)]]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A25:D32" totalsRowCount="1" headerRowDxfId="31" headerRowBorderDxfId="30" tableBorderDxfId="29">
  <autoFilter ref="A25:D31" xr:uid="{00000000-0009-0000-0100-000005000000}"/>
  <tableColumns count="4">
    <tableColumn id="1" xr3:uid="{00000000-0010-0000-0200-000001000000}" name="Vendedor" dataDxfId="28" totalsRowDxfId="27"/>
    <tableColumn id="2" xr3:uid="{00000000-0010-0000-0200-000002000000}" name="Ppto" totalsRowFunction="custom" dataDxfId="26" totalsRowDxfId="25">
      <totalsRowFormula>SUM(B26:B31)</totalsRowFormula>
    </tableColumn>
    <tableColumn id="3" xr3:uid="{00000000-0010-0000-0200-000003000000}" name="Venta" totalsRowFunction="custom" dataDxfId="24" totalsRowDxfId="23">
      <calculatedColumnFormula>C3+F3</calculatedColumnFormula>
      <totalsRowFormula>SUM(C26:C31)</totalsRowFormula>
    </tableColumn>
    <tableColumn id="4" xr3:uid="{00000000-0010-0000-0200-000004000000}" name="%" totalsRowFunction="custom" dataDxfId="22" totalsRowDxfId="21">
      <totalsRowFormula>Tabla5[[#Totals],[Venta]]*100/Tabla5[[#Totals],[Ppto]]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43" displayName="Tabla43" ref="A13:J20" totalsRowCount="1" headerRowDxfId="20">
  <autoFilter ref="A13:J19" xr:uid="{00000000-0009-0000-0100-000002000000}"/>
  <tableColumns count="10">
    <tableColumn id="1" xr3:uid="{00000000-0010-0000-0300-000001000000}" name="Vendedor" dataDxfId="19" totalsRowDxfId="18"/>
    <tableColumn id="2" xr3:uid="{00000000-0010-0000-0300-000002000000}" name="Ppto Abril ($)" totalsRowFunction="custom" dataDxfId="17" totalsRowDxfId="16">
      <totalsRowFormula>SUM(B14:B19)</totalsRowFormula>
    </tableColumn>
    <tableColumn id="3" xr3:uid="{00000000-0010-0000-0300-000003000000}" name="Venta Abril ($)" totalsRowFunction="custom" dataDxfId="15" totalsRowDxfId="14">
      <calculatedColumnFormula>GETPIVOTDATA("Total",RESUMEN!$A$2,"MES","ABRIL","Vendedor","FRANCISCO VELASQUEZ")</calculatedColumnFormula>
      <totalsRowFormula>SUM(C14:C19)</totalsRowFormula>
    </tableColumn>
    <tableColumn id="4" xr3:uid="{00000000-0010-0000-0300-000004000000}" name="Cumplimiento (%)" totalsRowFunction="custom" dataDxfId="13" totalsRowDxfId="12">
      <totalsRowFormula>Tabla43[[#Totals],[Venta Abril ($)]]*100/Tabla43[[#Totals],[Ppto Abril ($)]]</totalsRowFormula>
    </tableColumn>
    <tableColumn id="5" xr3:uid="{00000000-0010-0000-0300-000005000000}" name="Ppto Mayo ($)" totalsRowFunction="custom" dataDxfId="11" totalsRowDxfId="10">
      <totalsRowFormula>SUM(E14:E19)</totalsRowFormula>
    </tableColumn>
    <tableColumn id="6" xr3:uid="{00000000-0010-0000-0300-000006000000}" name="Venta Mayo ($)" totalsRowFunction="custom" dataDxfId="9" totalsRowDxfId="8">
      <totalsRowFormula>SUM(F14:F19)</totalsRowFormula>
    </tableColumn>
    <tableColumn id="7" xr3:uid="{00000000-0010-0000-0300-000007000000}" name="Cumplimiento (%)2" totalsRowFunction="custom" dataDxfId="7" totalsRowDxfId="6">
      <totalsRowFormula>Tabla43[[#Totals],[Venta Mayo ($)]]*100/Tabla43[[#Totals],[Ppto Mayo ($)]]</totalsRowFormula>
    </tableColumn>
    <tableColumn id="8" xr3:uid="{00000000-0010-0000-0300-000008000000}" name="Ppto Junio ($)" totalsRowFunction="custom" dataDxfId="5" totalsRowDxfId="4">
      <totalsRowFormula>SUM(H14:H19)</totalsRowFormula>
    </tableColumn>
    <tableColumn id="9" xr3:uid="{00000000-0010-0000-0300-000009000000}" name="Venta Junio ($)" totalsRowFunction="custom" dataDxfId="3" totalsRowDxfId="2">
      <totalsRowFormula>SUM(I14:I19)</totalsRowFormula>
    </tableColumn>
    <tableColumn id="10" xr3:uid="{00000000-0010-0000-0300-00000A000000}" name="Cumplimiento (%)3" totalsRowFunction="custom" dataDxfId="1" totalsRowDxfId="0">
      <calculatedColumnFormula>Tabla43[[#This Row],[Venta Junio ($)]]*100/Tabla43[[#This Row],[Ppto Junio ($)]]</calculatedColumnFormula>
      <totalsRowFormula>Tabla43[[#Totals],[Venta Junio ($)]]*100/Tabla43[[#Totals],[Ppto Junio ($)]]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workbookViewId="0">
      <selection activeCell="E17" sqref="E17"/>
    </sheetView>
  </sheetViews>
  <sheetFormatPr baseColWidth="10" defaultRowHeight="15" x14ac:dyDescent="0.25"/>
  <cols>
    <col min="1" max="1" width="20.5703125" bestFit="1" customWidth="1"/>
    <col min="2" max="2" width="21.42578125" bestFit="1" customWidth="1"/>
    <col min="3" max="3" width="10.140625" bestFit="1" customWidth="1"/>
    <col min="4" max="5" width="10.140625" customWidth="1"/>
    <col min="6" max="6" width="11.85546875" customWidth="1"/>
    <col min="7" max="7" width="20.42578125" customWidth="1"/>
    <col min="8" max="8" width="15.5703125" customWidth="1"/>
    <col min="9" max="9" width="14.85546875" customWidth="1"/>
    <col min="10" max="10" width="17.7109375" customWidth="1"/>
  </cols>
  <sheetData>
    <row r="2" spans="1:10" x14ac:dyDescent="0.25">
      <c r="A2" s="7" t="s">
        <v>569</v>
      </c>
      <c r="B2" s="7" t="s">
        <v>800</v>
      </c>
    </row>
    <row r="3" spans="1:10" x14ac:dyDescent="0.25">
      <c r="A3" s="7" t="s">
        <v>801</v>
      </c>
      <c r="B3" s="17" t="s">
        <v>20</v>
      </c>
      <c r="C3" s="17" t="s">
        <v>470</v>
      </c>
      <c r="D3" t="s">
        <v>612</v>
      </c>
      <c r="E3" t="s">
        <v>757</v>
      </c>
      <c r="F3" s="17" t="s">
        <v>568</v>
      </c>
    </row>
    <row r="4" spans="1:10" x14ac:dyDescent="0.25">
      <c r="A4" s="6" t="s">
        <v>790</v>
      </c>
      <c r="B4" s="5"/>
      <c r="C4" s="5"/>
      <c r="D4" s="5"/>
      <c r="E4" s="5">
        <v>354100</v>
      </c>
      <c r="F4" s="5">
        <v>354100</v>
      </c>
    </row>
    <row r="5" spans="1:10" x14ac:dyDescent="0.25">
      <c r="A5" s="6" t="s">
        <v>37</v>
      </c>
      <c r="B5" s="5">
        <v>14491000</v>
      </c>
      <c r="C5" s="5">
        <v>9912000</v>
      </c>
      <c r="D5" s="5">
        <v>5196500</v>
      </c>
      <c r="E5" s="5">
        <v>2385000</v>
      </c>
      <c r="F5" s="5">
        <v>31984500</v>
      </c>
    </row>
    <row r="6" spans="1:10" x14ac:dyDescent="0.25">
      <c r="A6" s="6" t="s">
        <v>90</v>
      </c>
      <c r="B6" s="5">
        <v>6186000</v>
      </c>
      <c r="C6" s="5">
        <v>944000</v>
      </c>
      <c r="D6" s="5">
        <v>1680000</v>
      </c>
      <c r="E6" s="5"/>
      <c r="F6" s="5">
        <v>8810000</v>
      </c>
    </row>
    <row r="7" spans="1:10" ht="18" customHeight="1" x14ac:dyDescent="0.25">
      <c r="A7" s="6" t="s">
        <v>55</v>
      </c>
      <c r="B7" s="5">
        <v>14820273</v>
      </c>
      <c r="C7" s="5">
        <v>6389076</v>
      </c>
      <c r="D7" s="5">
        <v>31913309</v>
      </c>
      <c r="E7" s="5">
        <v>10171393</v>
      </c>
      <c r="F7" s="5">
        <v>63294051</v>
      </c>
    </row>
    <row r="8" spans="1:10" x14ac:dyDescent="0.25">
      <c r="A8" s="6" t="s">
        <v>218</v>
      </c>
      <c r="B8" s="5">
        <v>0</v>
      </c>
      <c r="C8" s="5"/>
      <c r="D8" s="5">
        <v>0</v>
      </c>
      <c r="E8" s="5"/>
      <c r="F8" s="5">
        <v>0</v>
      </c>
    </row>
    <row r="9" spans="1:10" ht="18.600000000000001" customHeight="1" x14ac:dyDescent="0.25">
      <c r="A9" s="6" t="s">
        <v>25</v>
      </c>
      <c r="B9" s="5">
        <v>37027580</v>
      </c>
      <c r="C9" s="5">
        <v>10378585</v>
      </c>
      <c r="D9" s="5">
        <v>5487150</v>
      </c>
      <c r="E9" s="5">
        <v>1700895</v>
      </c>
      <c r="F9" s="5">
        <v>54594210</v>
      </c>
    </row>
    <row r="10" spans="1:10" x14ac:dyDescent="0.25">
      <c r="A10" s="6" t="s">
        <v>483</v>
      </c>
      <c r="B10" s="5"/>
      <c r="C10" s="5">
        <v>0</v>
      </c>
      <c r="D10" s="5">
        <v>0</v>
      </c>
      <c r="E10" s="5">
        <v>0</v>
      </c>
      <c r="F10" s="5">
        <v>0</v>
      </c>
    </row>
    <row r="11" spans="1:10" x14ac:dyDescent="0.25">
      <c r="A11" s="6" t="s">
        <v>59</v>
      </c>
      <c r="B11" s="5">
        <v>13510783</v>
      </c>
      <c r="C11" s="5">
        <v>7262717</v>
      </c>
      <c r="D11" s="5">
        <v>6819022</v>
      </c>
      <c r="E11" s="5">
        <v>1486780</v>
      </c>
      <c r="F11" s="5">
        <v>29079302</v>
      </c>
    </row>
    <row r="12" spans="1:10" x14ac:dyDescent="0.25">
      <c r="A12" s="6" t="s">
        <v>49</v>
      </c>
      <c r="B12" s="5">
        <v>2195728</v>
      </c>
      <c r="C12" s="5">
        <v>765600</v>
      </c>
      <c r="D12" s="5">
        <v>1274728</v>
      </c>
      <c r="E12" s="5"/>
      <c r="F12" s="5">
        <v>4236056</v>
      </c>
    </row>
    <row r="13" spans="1:10" x14ac:dyDescent="0.25">
      <c r="A13" s="6" t="s">
        <v>568</v>
      </c>
      <c r="B13" s="5">
        <v>88231364</v>
      </c>
      <c r="C13" s="5">
        <v>35651978</v>
      </c>
      <c r="D13" s="5">
        <v>52370709</v>
      </c>
      <c r="E13" s="5">
        <v>16098168</v>
      </c>
      <c r="F13" s="5">
        <v>192352219</v>
      </c>
    </row>
    <row r="15" spans="1:10" x14ac:dyDescent="0.25">
      <c r="G15" s="11" t="s">
        <v>575</v>
      </c>
    </row>
    <row r="16" spans="1:10" x14ac:dyDescent="0.25">
      <c r="G16" s="19"/>
      <c r="H16" s="50" t="s">
        <v>611</v>
      </c>
      <c r="I16" s="51"/>
      <c r="J16" s="51"/>
    </row>
    <row r="17" spans="4:10" x14ac:dyDescent="0.25">
      <c r="G17" s="15" t="s">
        <v>605</v>
      </c>
      <c r="H17" s="15" t="s">
        <v>576</v>
      </c>
      <c r="I17" s="15" t="s">
        <v>577</v>
      </c>
      <c r="J17" s="15" t="s">
        <v>578</v>
      </c>
    </row>
    <row r="18" spans="4:10" ht="17.45" customHeight="1" x14ac:dyDescent="0.25">
      <c r="G18" s="13" t="s">
        <v>579</v>
      </c>
      <c r="H18" s="12">
        <f>H30</f>
        <v>83558032</v>
      </c>
      <c r="I18" s="12">
        <f>H31</f>
        <v>88231364</v>
      </c>
      <c r="J18" s="14">
        <f>Tabla1[[#This Row],[Venta ($)]]*100/Tabla1[[#This Row],[Presupuesto ($)]]</f>
        <v>105.59291774607617</v>
      </c>
    </row>
    <row r="19" spans="4:10" x14ac:dyDescent="0.25">
      <c r="G19" s="13" t="s">
        <v>580</v>
      </c>
      <c r="H19" s="12">
        <f>H32</f>
        <v>41601950</v>
      </c>
      <c r="I19" s="12">
        <f>H33</f>
        <v>35651978</v>
      </c>
      <c r="J19" s="14">
        <f>Tabla1[[#This Row],[Venta ($)]]*100/Tabla1[[#This Row],[Presupuesto ($)]]</f>
        <v>85.697853105443372</v>
      </c>
    </row>
    <row r="20" spans="4:10" x14ac:dyDescent="0.25">
      <c r="G20" s="13" t="s">
        <v>616</v>
      </c>
      <c r="H20" s="12">
        <f>H34</f>
        <v>42000000</v>
      </c>
      <c r="I20" s="12">
        <f>H35</f>
        <v>52370709</v>
      </c>
      <c r="J20" s="14">
        <f>Tabla1[[#This Row],[Venta ($)]]*100/Tabla1[[#This Row],[Presupuesto ($)]]</f>
        <v>124.69216428571428</v>
      </c>
    </row>
    <row r="21" spans="4:10" x14ac:dyDescent="0.25">
      <c r="G21" s="13" t="s">
        <v>756</v>
      </c>
      <c r="H21" s="12">
        <f>H36</f>
        <v>46431368</v>
      </c>
      <c r="I21" s="12">
        <f>H37</f>
        <v>16098168</v>
      </c>
      <c r="J21" s="14">
        <f>Tabla1[[#This Row],[Venta ($)]]*100/Tabla1[[#This Row],[Presupuesto ($)]]</f>
        <v>34.670888869783035</v>
      </c>
    </row>
    <row r="22" spans="4:10" x14ac:dyDescent="0.25">
      <c r="G22" s="16" t="s">
        <v>581</v>
      </c>
      <c r="H22" s="12">
        <f>H18+H19+H20+H21</f>
        <v>213591350</v>
      </c>
      <c r="I22" s="12">
        <f>I18+I19+I20+I21</f>
        <v>192352219</v>
      </c>
      <c r="J22" s="14">
        <f>Tabla1[[#This Row],[Venta ($)]]*100/Tabla1[[#This Row],[Presupuesto ($)]]</f>
        <v>90.056183923178537</v>
      </c>
    </row>
    <row r="24" spans="4:10" x14ac:dyDescent="0.25">
      <c r="H24" s="5"/>
    </row>
    <row r="25" spans="4:10" x14ac:dyDescent="0.25">
      <c r="D25" s="5"/>
    </row>
    <row r="26" spans="4:10" x14ac:dyDescent="0.25">
      <c r="D26" s="5"/>
    </row>
    <row r="27" spans="4:10" x14ac:dyDescent="0.25">
      <c r="D27" s="5"/>
    </row>
    <row r="28" spans="4:10" x14ac:dyDescent="0.25">
      <c r="G28" s="8" t="s">
        <v>746</v>
      </c>
      <c r="H28" s="9"/>
    </row>
    <row r="29" spans="4:10" x14ac:dyDescent="0.25">
      <c r="I29" s="47" t="s">
        <v>570</v>
      </c>
    </row>
    <row r="30" spans="4:10" x14ac:dyDescent="0.25">
      <c r="G30" s="8" t="s">
        <v>571</v>
      </c>
      <c r="H30" s="10">
        <v>83558032</v>
      </c>
      <c r="I30" s="54">
        <f>H31*100/H30</f>
        <v>105.59291774607617</v>
      </c>
    </row>
    <row r="31" spans="4:10" x14ac:dyDescent="0.25">
      <c r="G31" s="8" t="s">
        <v>572</v>
      </c>
      <c r="H31" s="10">
        <f>GETPIVOTDATA("Total",$A$2,"MES","ENERO")</f>
        <v>88231364</v>
      </c>
      <c r="I31" s="53"/>
    </row>
    <row r="32" spans="4:10" x14ac:dyDescent="0.25">
      <c r="G32" s="8" t="s">
        <v>573</v>
      </c>
      <c r="H32" s="10">
        <v>41601950</v>
      </c>
      <c r="I32" s="54">
        <f>H33*100/H32</f>
        <v>85.697853105443372</v>
      </c>
    </row>
    <row r="33" spans="7:9" x14ac:dyDescent="0.25">
      <c r="G33" s="8" t="s">
        <v>619</v>
      </c>
      <c r="H33" s="10">
        <f>GETPIVOTDATA("Total",$A$2,"MES","FEBRERO")</f>
        <v>35651978</v>
      </c>
      <c r="I33" s="53"/>
    </row>
    <row r="34" spans="7:9" x14ac:dyDescent="0.25">
      <c r="G34" s="8" t="s">
        <v>617</v>
      </c>
      <c r="H34" s="10">
        <v>42000000</v>
      </c>
      <c r="I34" s="52">
        <f>J20</f>
        <v>124.69216428571428</v>
      </c>
    </row>
    <row r="35" spans="7:9" x14ac:dyDescent="0.25">
      <c r="G35" s="8" t="s">
        <v>618</v>
      </c>
      <c r="H35" s="10">
        <f>GETPIVOTDATA("Total",$A$2,"MES","MARZO")</f>
        <v>52370709</v>
      </c>
      <c r="I35" s="53"/>
    </row>
    <row r="36" spans="7:9" x14ac:dyDescent="0.25">
      <c r="G36" s="8" t="s">
        <v>754</v>
      </c>
      <c r="H36" s="10">
        <v>46431368</v>
      </c>
      <c r="I36" s="48">
        <f>J21</f>
        <v>34.670888869783035</v>
      </c>
    </row>
    <row r="37" spans="7:9" x14ac:dyDescent="0.25">
      <c r="G37" s="8" t="s">
        <v>755</v>
      </c>
      <c r="H37" s="10">
        <f>GETPIVOTDATA("Total",$A$2,"MES","ABRIL")</f>
        <v>16098168</v>
      </c>
      <c r="I37" s="49"/>
    </row>
    <row r="38" spans="7:9" x14ac:dyDescent="0.25">
      <c r="H38" s="26"/>
    </row>
    <row r="39" spans="7:9" ht="30" x14ac:dyDescent="0.25">
      <c r="G39" s="8" t="s">
        <v>574</v>
      </c>
      <c r="H39" s="10">
        <f>GETPIVOTDATA("Total",$A$2)</f>
        <v>192352219</v>
      </c>
    </row>
  </sheetData>
  <mergeCells count="5">
    <mergeCell ref="I36:I37"/>
    <mergeCell ref="H16:J16"/>
    <mergeCell ref="I34:I35"/>
    <mergeCell ref="I32:I33"/>
    <mergeCell ref="I30:I31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828"/>
  <sheetViews>
    <sheetView tabSelected="1" topLeftCell="D795" zoomScale="60" zoomScaleNormal="60" workbookViewId="0">
      <selection activeCell="P829" sqref="P829"/>
    </sheetView>
  </sheetViews>
  <sheetFormatPr baseColWidth="10" defaultRowHeight="15" x14ac:dyDescent="0.25"/>
  <cols>
    <col min="2" max="2" width="14" customWidth="1"/>
    <col min="3" max="3" width="45.42578125" customWidth="1"/>
    <col min="4" max="4" width="12.7109375" bestFit="1" customWidth="1"/>
    <col min="5" max="5" width="17.85546875" bestFit="1" customWidth="1"/>
    <col min="6" max="6" width="25.7109375" customWidth="1"/>
    <col min="7" max="7" width="38.7109375" bestFit="1" customWidth="1"/>
    <col min="9" max="9" width="12.85546875" customWidth="1"/>
    <col min="18" max="18" width="20.42578125" customWidth="1"/>
    <col min="20" max="20" width="21.42578125" customWidth="1"/>
    <col min="21" max="21" width="16.5703125" customWidth="1"/>
  </cols>
  <sheetData>
    <row r="2" spans="1:21" ht="16.149999999999999" customHeight="1" x14ac:dyDescent="0.25">
      <c r="A2" s="31" t="s">
        <v>0</v>
      </c>
      <c r="B2" s="31" t="s">
        <v>1</v>
      </c>
      <c r="C2" s="31" t="s">
        <v>2</v>
      </c>
      <c r="D2" s="32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560</v>
      </c>
      <c r="O2" s="31" t="s">
        <v>13</v>
      </c>
      <c r="P2" s="31" t="s">
        <v>14</v>
      </c>
      <c r="Q2" s="31" t="s">
        <v>15</v>
      </c>
      <c r="R2" s="33" t="s">
        <v>16</v>
      </c>
      <c r="S2" s="33" t="s">
        <v>17</v>
      </c>
      <c r="T2" s="4" t="s">
        <v>18</v>
      </c>
      <c r="U2" s="4" t="s">
        <v>19</v>
      </c>
    </row>
    <row r="3" spans="1:21" ht="15.75" x14ac:dyDescent="0.25">
      <c r="A3" t="s">
        <v>20</v>
      </c>
      <c r="B3" s="34" t="s">
        <v>21</v>
      </c>
      <c r="C3" s="38" t="s">
        <v>22</v>
      </c>
      <c r="D3" s="38" t="s">
        <v>23</v>
      </c>
      <c r="E3" s="38" t="s">
        <v>24</v>
      </c>
      <c r="F3" s="38" t="s">
        <v>25</v>
      </c>
      <c r="G3" s="38" t="s">
        <v>26</v>
      </c>
      <c r="H3" s="38" t="s">
        <v>27</v>
      </c>
      <c r="I3" s="38" t="s">
        <v>28</v>
      </c>
      <c r="J3" s="38">
        <v>395</v>
      </c>
      <c r="K3" s="38" t="s">
        <v>29</v>
      </c>
      <c r="L3" s="38">
        <v>200</v>
      </c>
      <c r="M3" s="40">
        <v>1300000</v>
      </c>
      <c r="N3" s="36">
        <f>M3/L3</f>
        <v>6500</v>
      </c>
      <c r="O3" s="21">
        <v>1397.8494623655913</v>
      </c>
      <c r="P3" t="s">
        <v>30</v>
      </c>
      <c r="Q3" t="s">
        <v>31</v>
      </c>
      <c r="R3" s="1">
        <v>46142</v>
      </c>
      <c r="S3" t="s">
        <v>32</v>
      </c>
      <c r="T3" s="2"/>
      <c r="U3" s="2"/>
    </row>
    <row r="4" spans="1:21" ht="15.75" x14ac:dyDescent="0.25">
      <c r="A4" t="s">
        <v>20</v>
      </c>
      <c r="B4" t="s">
        <v>623</v>
      </c>
      <c r="C4" s="41" t="s">
        <v>624</v>
      </c>
      <c r="D4" s="38" t="s">
        <v>23</v>
      </c>
      <c r="E4" s="38" t="s">
        <v>48</v>
      </c>
      <c r="F4" s="38" t="s">
        <v>25</v>
      </c>
      <c r="G4" s="41" t="s">
        <v>45</v>
      </c>
      <c r="H4" s="38" t="s">
        <v>27</v>
      </c>
      <c r="I4" s="38" t="s">
        <v>65</v>
      </c>
      <c r="J4" s="41">
        <v>128</v>
      </c>
      <c r="K4" s="38" t="s">
        <v>29</v>
      </c>
      <c r="L4" s="41">
        <v>60</v>
      </c>
      <c r="M4" s="42">
        <v>630000</v>
      </c>
      <c r="N4" s="36">
        <f t="shared" ref="N4:N12" si="0">M4/L4</f>
        <v>10500</v>
      </c>
      <c r="O4" s="21"/>
      <c r="P4" t="s">
        <v>30</v>
      </c>
      <c r="Q4" t="s">
        <v>31</v>
      </c>
      <c r="R4" s="1">
        <v>46173</v>
      </c>
      <c r="S4" t="s">
        <v>32</v>
      </c>
      <c r="T4" s="2" t="s">
        <v>628</v>
      </c>
      <c r="U4" s="2"/>
    </row>
    <row r="5" spans="1:21" ht="15.75" x14ac:dyDescent="0.25">
      <c r="A5" t="s">
        <v>20</v>
      </c>
      <c r="B5" t="s">
        <v>623</v>
      </c>
      <c r="C5" s="41" t="s">
        <v>624</v>
      </c>
      <c r="D5" s="38" t="s">
        <v>23</v>
      </c>
      <c r="E5" s="38" t="s">
        <v>48</v>
      </c>
      <c r="F5" s="38" t="s">
        <v>25</v>
      </c>
      <c r="G5" s="41" t="s">
        <v>154</v>
      </c>
      <c r="H5" s="38" t="s">
        <v>27</v>
      </c>
      <c r="I5" s="38" t="s">
        <v>65</v>
      </c>
      <c r="J5" s="41">
        <v>128</v>
      </c>
      <c r="K5" s="38" t="s">
        <v>29</v>
      </c>
      <c r="L5" s="41">
        <v>80</v>
      </c>
      <c r="M5" s="42">
        <v>1008000</v>
      </c>
      <c r="N5" s="36">
        <f t="shared" si="0"/>
        <v>12600</v>
      </c>
      <c r="O5" s="21"/>
      <c r="P5" t="s">
        <v>30</v>
      </c>
      <c r="Q5" t="s">
        <v>31</v>
      </c>
      <c r="R5" s="1">
        <v>46173</v>
      </c>
      <c r="S5" t="s">
        <v>32</v>
      </c>
      <c r="T5" s="2" t="s">
        <v>629</v>
      </c>
      <c r="U5" s="2"/>
    </row>
    <row r="6" spans="1:21" ht="15.75" x14ac:dyDescent="0.25">
      <c r="A6" t="s">
        <v>20</v>
      </c>
      <c r="B6" t="s">
        <v>623</v>
      </c>
      <c r="C6" s="41" t="s">
        <v>624</v>
      </c>
      <c r="D6" s="38" t="s">
        <v>23</v>
      </c>
      <c r="E6" s="38" t="s">
        <v>48</v>
      </c>
      <c r="F6" s="38" t="s">
        <v>25</v>
      </c>
      <c r="G6" s="41" t="s">
        <v>625</v>
      </c>
      <c r="H6" s="38" t="s">
        <v>27</v>
      </c>
      <c r="I6" s="38" t="s">
        <v>65</v>
      </c>
      <c r="J6" s="41">
        <v>128</v>
      </c>
      <c r="K6" s="38" t="s">
        <v>29</v>
      </c>
      <c r="L6" s="41">
        <v>220</v>
      </c>
      <c r="M6" s="42">
        <v>990000</v>
      </c>
      <c r="N6" s="36">
        <f t="shared" si="0"/>
        <v>4500</v>
      </c>
      <c r="O6" s="21"/>
      <c r="P6" t="s">
        <v>30</v>
      </c>
      <c r="Q6" t="s">
        <v>31</v>
      </c>
      <c r="R6" s="1">
        <v>46173</v>
      </c>
      <c r="S6" t="s">
        <v>32</v>
      </c>
      <c r="T6" s="2" t="s">
        <v>630</v>
      </c>
      <c r="U6" s="2"/>
    </row>
    <row r="7" spans="1:21" ht="15.75" x14ac:dyDescent="0.25">
      <c r="A7" t="s">
        <v>20</v>
      </c>
      <c r="B7" t="s">
        <v>623</v>
      </c>
      <c r="C7" s="41" t="s">
        <v>624</v>
      </c>
      <c r="D7" s="38" t="s">
        <v>23</v>
      </c>
      <c r="E7" s="38" t="s">
        <v>48</v>
      </c>
      <c r="F7" s="38" t="s">
        <v>25</v>
      </c>
      <c r="G7" s="41" t="s">
        <v>626</v>
      </c>
      <c r="H7" s="38" t="s">
        <v>27</v>
      </c>
      <c r="I7" s="38" t="s">
        <v>65</v>
      </c>
      <c r="J7" s="41">
        <v>128</v>
      </c>
      <c r="K7" s="38" t="s">
        <v>29</v>
      </c>
      <c r="L7" s="41">
        <v>11</v>
      </c>
      <c r="M7" s="42">
        <v>209000</v>
      </c>
      <c r="N7" s="36">
        <f t="shared" si="0"/>
        <v>19000</v>
      </c>
      <c r="O7" s="21"/>
      <c r="P7" t="s">
        <v>30</v>
      </c>
      <c r="Q7" t="s">
        <v>31</v>
      </c>
      <c r="R7" s="1">
        <v>46173</v>
      </c>
      <c r="S7" t="s">
        <v>32</v>
      </c>
      <c r="T7" s="2" t="s">
        <v>631</v>
      </c>
      <c r="U7" s="2"/>
    </row>
    <row r="8" spans="1:21" ht="15.75" x14ac:dyDescent="0.25">
      <c r="A8" t="s">
        <v>20</v>
      </c>
      <c r="B8" t="s">
        <v>623</v>
      </c>
      <c r="C8" s="41" t="s">
        <v>624</v>
      </c>
      <c r="D8" s="38" t="s">
        <v>23</v>
      </c>
      <c r="E8" s="38" t="s">
        <v>48</v>
      </c>
      <c r="F8" s="38" t="s">
        <v>25</v>
      </c>
      <c r="G8" s="41" t="s">
        <v>100</v>
      </c>
      <c r="H8" s="38" t="s">
        <v>27</v>
      </c>
      <c r="I8" s="38" t="s">
        <v>65</v>
      </c>
      <c r="J8" s="41">
        <v>128</v>
      </c>
      <c r="K8" s="38" t="s">
        <v>29</v>
      </c>
      <c r="L8" s="41">
        <v>80</v>
      </c>
      <c r="M8" s="42">
        <v>408000</v>
      </c>
      <c r="N8" s="36">
        <f t="shared" si="0"/>
        <v>5100</v>
      </c>
      <c r="O8" s="21"/>
      <c r="P8" t="s">
        <v>30</v>
      </c>
      <c r="Q8" t="s">
        <v>31</v>
      </c>
      <c r="R8" s="1">
        <v>46173</v>
      </c>
      <c r="S8" t="s">
        <v>32</v>
      </c>
      <c r="T8" s="2" t="s">
        <v>632</v>
      </c>
      <c r="U8" s="2"/>
    </row>
    <row r="9" spans="1:21" ht="15.75" x14ac:dyDescent="0.25">
      <c r="A9" t="s">
        <v>20</v>
      </c>
      <c r="B9" t="s">
        <v>623</v>
      </c>
      <c r="C9" s="41" t="s">
        <v>624</v>
      </c>
      <c r="D9" s="38" t="s">
        <v>23</v>
      </c>
      <c r="E9" s="38" t="s">
        <v>48</v>
      </c>
      <c r="F9" s="38" t="s">
        <v>25</v>
      </c>
      <c r="G9" s="41" t="s">
        <v>102</v>
      </c>
      <c r="H9" s="38" t="s">
        <v>27</v>
      </c>
      <c r="I9" s="38" t="s">
        <v>65</v>
      </c>
      <c r="J9" s="41">
        <v>128</v>
      </c>
      <c r="K9" s="38" t="s">
        <v>29</v>
      </c>
      <c r="L9" s="41">
        <v>100</v>
      </c>
      <c r="M9" s="42">
        <v>510000</v>
      </c>
      <c r="N9" s="36">
        <f t="shared" si="0"/>
        <v>5100</v>
      </c>
      <c r="O9" s="21"/>
      <c r="P9" t="s">
        <v>30</v>
      </c>
      <c r="Q9" t="s">
        <v>31</v>
      </c>
      <c r="R9" s="1">
        <v>46173</v>
      </c>
      <c r="S9" t="s">
        <v>32</v>
      </c>
      <c r="T9" s="2" t="s">
        <v>633</v>
      </c>
      <c r="U9" s="2"/>
    </row>
    <row r="10" spans="1:21" ht="15.75" x14ac:dyDescent="0.25">
      <c r="A10" t="s">
        <v>20</v>
      </c>
      <c r="B10" t="s">
        <v>623</v>
      </c>
      <c r="C10" s="41" t="s">
        <v>624</v>
      </c>
      <c r="D10" s="38" t="s">
        <v>23</v>
      </c>
      <c r="E10" s="38" t="s">
        <v>48</v>
      </c>
      <c r="F10" s="38" t="s">
        <v>25</v>
      </c>
      <c r="G10" s="41" t="s">
        <v>627</v>
      </c>
      <c r="H10" s="38" t="s">
        <v>27</v>
      </c>
      <c r="I10" s="38" t="s">
        <v>65</v>
      </c>
      <c r="J10" s="41">
        <v>128</v>
      </c>
      <c r="K10" s="38" t="s">
        <v>29</v>
      </c>
      <c r="L10" s="41">
        <v>80</v>
      </c>
      <c r="M10" s="42">
        <v>440000</v>
      </c>
      <c r="N10" s="36">
        <f t="shared" si="0"/>
        <v>5500</v>
      </c>
      <c r="O10" s="21"/>
      <c r="P10" t="s">
        <v>30</v>
      </c>
      <c r="Q10" t="s">
        <v>31</v>
      </c>
      <c r="R10" s="1">
        <v>46173</v>
      </c>
      <c r="S10" t="s">
        <v>32</v>
      </c>
      <c r="T10" s="2" t="s">
        <v>634</v>
      </c>
      <c r="U10" s="2"/>
    </row>
    <row r="11" spans="1:21" ht="15.75" x14ac:dyDescent="0.25">
      <c r="A11" t="s">
        <v>20</v>
      </c>
      <c r="B11" t="s">
        <v>623</v>
      </c>
      <c r="C11" s="41" t="s">
        <v>624</v>
      </c>
      <c r="D11" s="38" t="s">
        <v>23</v>
      </c>
      <c r="E11" s="38" t="s">
        <v>48</v>
      </c>
      <c r="F11" s="38" t="s">
        <v>25</v>
      </c>
      <c r="G11" s="41" t="s">
        <v>159</v>
      </c>
      <c r="H11" s="38" t="s">
        <v>27</v>
      </c>
      <c r="I11" s="38" t="s">
        <v>65</v>
      </c>
      <c r="J11" s="41">
        <v>128</v>
      </c>
      <c r="K11" s="38" t="s">
        <v>29</v>
      </c>
      <c r="L11" s="41">
        <v>80</v>
      </c>
      <c r="M11" s="42">
        <v>544000</v>
      </c>
      <c r="N11" s="36">
        <f t="shared" si="0"/>
        <v>6800</v>
      </c>
      <c r="O11" s="21"/>
      <c r="P11" t="s">
        <v>30</v>
      </c>
      <c r="Q11" t="s">
        <v>31</v>
      </c>
      <c r="R11" s="1">
        <v>46173</v>
      </c>
      <c r="S11" t="s">
        <v>32</v>
      </c>
      <c r="T11" s="2" t="s">
        <v>635</v>
      </c>
      <c r="U11" s="2"/>
    </row>
    <row r="12" spans="1:21" ht="15.75" x14ac:dyDescent="0.25">
      <c r="A12" t="s">
        <v>20</v>
      </c>
      <c r="B12" t="s">
        <v>623</v>
      </c>
      <c r="C12" s="41" t="s">
        <v>624</v>
      </c>
      <c r="D12" s="38" t="s">
        <v>23</v>
      </c>
      <c r="E12" s="38" t="s">
        <v>48</v>
      </c>
      <c r="F12" s="38" t="s">
        <v>25</v>
      </c>
      <c r="G12" s="41" t="s">
        <v>26</v>
      </c>
      <c r="H12" s="38" t="s">
        <v>27</v>
      </c>
      <c r="I12" s="38" t="s">
        <v>65</v>
      </c>
      <c r="J12" s="41">
        <v>128</v>
      </c>
      <c r="K12" s="38" t="s">
        <v>29</v>
      </c>
      <c r="L12" s="41">
        <v>140</v>
      </c>
      <c r="M12" s="42">
        <v>1204000</v>
      </c>
      <c r="N12" s="36">
        <f t="shared" si="0"/>
        <v>8600</v>
      </c>
      <c r="O12" s="21"/>
      <c r="P12" t="s">
        <v>30</v>
      </c>
      <c r="Q12" t="s">
        <v>31</v>
      </c>
      <c r="R12" s="1">
        <v>46173</v>
      </c>
      <c r="S12" t="s">
        <v>32</v>
      </c>
      <c r="T12" s="2" t="s">
        <v>636</v>
      </c>
      <c r="U12" s="2"/>
    </row>
    <row r="13" spans="1:21" ht="15.75" x14ac:dyDescent="0.25">
      <c r="A13" t="s">
        <v>20</v>
      </c>
      <c r="B13" s="34" t="s">
        <v>33</v>
      </c>
      <c r="C13" s="34" t="s">
        <v>34</v>
      </c>
      <c r="D13" s="34" t="s">
        <v>35</v>
      </c>
      <c r="E13" s="34" t="s">
        <v>36</v>
      </c>
      <c r="F13" s="34" t="s">
        <v>37</v>
      </c>
      <c r="G13" s="34" t="s">
        <v>38</v>
      </c>
      <c r="H13" s="34" t="s">
        <v>27</v>
      </c>
      <c r="I13" s="34" t="s">
        <v>28</v>
      </c>
      <c r="J13" s="34">
        <v>396</v>
      </c>
      <c r="K13" s="34" t="s">
        <v>7</v>
      </c>
      <c r="L13" s="34">
        <v>1</v>
      </c>
      <c r="M13" s="35">
        <v>35000</v>
      </c>
      <c r="N13" s="36">
        <f t="shared" ref="N13:N76" si="1">M13/L13</f>
        <v>35000</v>
      </c>
      <c r="O13" s="21">
        <v>37.634408602150536</v>
      </c>
      <c r="P13" t="s">
        <v>30</v>
      </c>
      <c r="Q13" t="s">
        <v>31</v>
      </c>
      <c r="R13" s="1">
        <v>46027</v>
      </c>
      <c r="S13" t="s">
        <v>32</v>
      </c>
      <c r="T13" s="2"/>
      <c r="U13" s="2"/>
    </row>
    <row r="14" spans="1:21" ht="15.75" x14ac:dyDescent="0.25">
      <c r="A14" t="s">
        <v>20</v>
      </c>
      <c r="B14" s="34" t="s">
        <v>39</v>
      </c>
      <c r="C14" s="34" t="s">
        <v>40</v>
      </c>
      <c r="D14" s="34" t="s">
        <v>35</v>
      </c>
      <c r="E14" s="34" t="s">
        <v>41</v>
      </c>
      <c r="F14" s="34" t="s">
        <v>37</v>
      </c>
      <c r="G14" s="34" t="s">
        <v>42</v>
      </c>
      <c r="H14" s="34" t="s">
        <v>27</v>
      </c>
      <c r="I14" s="34" t="s">
        <v>28</v>
      </c>
      <c r="J14" s="34">
        <v>397</v>
      </c>
      <c r="K14" t="s">
        <v>124</v>
      </c>
      <c r="L14" s="34">
        <v>500</v>
      </c>
      <c r="M14" s="35">
        <v>1250000</v>
      </c>
      <c r="N14" s="36">
        <f t="shared" si="1"/>
        <v>2500</v>
      </c>
      <c r="O14" s="21">
        <v>1344.0860215053763</v>
      </c>
      <c r="P14" t="s">
        <v>30</v>
      </c>
      <c r="Q14" t="s">
        <v>31</v>
      </c>
      <c r="R14" s="1">
        <v>46027</v>
      </c>
      <c r="S14" t="s">
        <v>32</v>
      </c>
      <c r="T14" s="2"/>
      <c r="U14" s="2"/>
    </row>
    <row r="15" spans="1:21" ht="15.75" x14ac:dyDescent="0.25">
      <c r="A15" t="s">
        <v>20</v>
      </c>
      <c r="B15" s="34" t="s">
        <v>43</v>
      </c>
      <c r="C15" s="34" t="s">
        <v>44</v>
      </c>
      <c r="D15" s="34" t="s">
        <v>35</v>
      </c>
      <c r="E15" s="34" t="s">
        <v>41</v>
      </c>
      <c r="F15" s="34" t="s">
        <v>37</v>
      </c>
      <c r="G15" s="34" t="s">
        <v>45</v>
      </c>
      <c r="H15" s="34" t="s">
        <v>27</v>
      </c>
      <c r="I15" s="34" t="s">
        <v>28</v>
      </c>
      <c r="J15" s="34">
        <v>398</v>
      </c>
      <c r="K15" s="34" t="s">
        <v>29</v>
      </c>
      <c r="L15" s="34">
        <v>20</v>
      </c>
      <c r="M15" s="35">
        <v>160000</v>
      </c>
      <c r="N15" s="36">
        <f t="shared" si="1"/>
        <v>8000</v>
      </c>
      <c r="O15" s="21">
        <v>172.04301075268816</v>
      </c>
      <c r="P15" t="s">
        <v>30</v>
      </c>
      <c r="Q15" t="s">
        <v>31</v>
      </c>
      <c r="R15" s="1">
        <v>46027</v>
      </c>
      <c r="S15" t="s">
        <v>32</v>
      </c>
      <c r="T15" s="2"/>
      <c r="U15" s="2"/>
    </row>
    <row r="16" spans="1:21" ht="15.75" x14ac:dyDescent="0.25">
      <c r="A16" t="s">
        <v>20</v>
      </c>
      <c r="B16" s="34" t="s">
        <v>46</v>
      </c>
      <c r="C16" s="34" t="s">
        <v>47</v>
      </c>
      <c r="D16" s="34" t="s">
        <v>35</v>
      </c>
      <c r="E16" s="34" t="s">
        <v>48</v>
      </c>
      <c r="F16" s="34" t="s">
        <v>49</v>
      </c>
      <c r="G16" s="34" t="s">
        <v>50</v>
      </c>
      <c r="H16" s="34" t="s">
        <v>27</v>
      </c>
      <c r="I16" s="34" t="s">
        <v>28</v>
      </c>
      <c r="J16" s="34">
        <v>399</v>
      </c>
      <c r="K16" s="34" t="s">
        <v>29</v>
      </c>
      <c r="L16" s="34">
        <v>140</v>
      </c>
      <c r="M16" s="35">
        <v>560000</v>
      </c>
      <c r="N16" s="36">
        <f t="shared" si="1"/>
        <v>4000</v>
      </c>
      <c r="O16" s="21">
        <v>602.15053763440858</v>
      </c>
      <c r="P16" t="s">
        <v>30</v>
      </c>
      <c r="Q16" t="s">
        <v>31</v>
      </c>
      <c r="R16" s="1">
        <v>46097</v>
      </c>
      <c r="S16" t="s">
        <v>32</v>
      </c>
      <c r="T16" s="2"/>
      <c r="U16" s="2"/>
    </row>
    <row r="17" spans="1:21" ht="15.75" x14ac:dyDescent="0.25">
      <c r="A17" t="s">
        <v>20</v>
      </c>
      <c r="B17" s="34" t="s">
        <v>46</v>
      </c>
      <c r="C17" s="34" t="s">
        <v>47</v>
      </c>
      <c r="D17" s="34" t="s">
        <v>35</v>
      </c>
      <c r="E17" s="34" t="s">
        <v>48</v>
      </c>
      <c r="F17" s="34" t="s">
        <v>49</v>
      </c>
      <c r="G17" s="34" t="s">
        <v>51</v>
      </c>
      <c r="H17" s="34" t="s">
        <v>27</v>
      </c>
      <c r="I17" s="34" t="s">
        <v>28</v>
      </c>
      <c r="J17" s="34">
        <v>399</v>
      </c>
      <c r="K17" s="34" t="s">
        <v>29</v>
      </c>
      <c r="L17" s="34">
        <v>10</v>
      </c>
      <c r="M17" s="35">
        <v>40000</v>
      </c>
      <c r="N17" s="36">
        <f t="shared" si="1"/>
        <v>4000</v>
      </c>
      <c r="O17" s="21">
        <v>43.01075268817204</v>
      </c>
      <c r="P17" t="s">
        <v>30</v>
      </c>
      <c r="Q17" t="s">
        <v>31</v>
      </c>
      <c r="R17" s="1">
        <v>46097</v>
      </c>
      <c r="S17" t="s">
        <v>32</v>
      </c>
      <c r="T17" s="2"/>
      <c r="U17" s="2"/>
    </row>
    <row r="18" spans="1:21" ht="15.75" x14ac:dyDescent="0.25">
      <c r="A18" t="s">
        <v>20</v>
      </c>
      <c r="B18" t="s">
        <v>52</v>
      </c>
      <c r="C18" t="s">
        <v>53</v>
      </c>
      <c r="D18" t="s">
        <v>35</v>
      </c>
      <c r="E18" s="34" t="s">
        <v>54</v>
      </c>
      <c r="F18" t="s">
        <v>55</v>
      </c>
      <c r="G18" t="s">
        <v>56</v>
      </c>
      <c r="H18" t="s">
        <v>57</v>
      </c>
      <c r="I18" t="s">
        <v>28</v>
      </c>
      <c r="J18">
        <v>439</v>
      </c>
      <c r="K18" t="s">
        <v>7</v>
      </c>
      <c r="L18">
        <v>70</v>
      </c>
      <c r="M18" s="28">
        <v>0</v>
      </c>
      <c r="N18" s="36">
        <f t="shared" si="1"/>
        <v>0</v>
      </c>
      <c r="O18" s="21">
        <v>0</v>
      </c>
      <c r="P18" t="s">
        <v>30</v>
      </c>
      <c r="Q18" t="s">
        <v>31</v>
      </c>
      <c r="R18" s="1">
        <v>46098</v>
      </c>
      <c r="S18" t="s">
        <v>32</v>
      </c>
      <c r="T18" s="2" t="s">
        <v>58</v>
      </c>
      <c r="U18" s="3">
        <v>46008</v>
      </c>
    </row>
    <row r="19" spans="1:21" ht="15.75" x14ac:dyDescent="0.25">
      <c r="A19" t="s">
        <v>20</v>
      </c>
      <c r="B19" t="s">
        <v>52</v>
      </c>
      <c r="C19" t="s">
        <v>53</v>
      </c>
      <c r="D19" t="s">
        <v>35</v>
      </c>
      <c r="E19" s="34" t="s">
        <v>48</v>
      </c>
      <c r="F19" t="s">
        <v>59</v>
      </c>
      <c r="G19" t="s">
        <v>60</v>
      </c>
      <c r="H19" t="s">
        <v>27</v>
      </c>
      <c r="I19" t="s">
        <v>28</v>
      </c>
      <c r="J19">
        <v>440</v>
      </c>
      <c r="K19" t="s">
        <v>7</v>
      </c>
      <c r="L19">
        <v>65</v>
      </c>
      <c r="M19" s="28">
        <v>0</v>
      </c>
      <c r="N19" s="36">
        <f t="shared" si="1"/>
        <v>0</v>
      </c>
      <c r="O19" s="21">
        <v>0</v>
      </c>
      <c r="P19" t="s">
        <v>30</v>
      </c>
      <c r="Q19" t="s">
        <v>31</v>
      </c>
      <c r="R19" s="1">
        <v>46110</v>
      </c>
      <c r="S19" t="s">
        <v>32</v>
      </c>
      <c r="T19" s="2" t="s">
        <v>61</v>
      </c>
      <c r="U19" s="3">
        <v>46020</v>
      </c>
    </row>
    <row r="20" spans="1:21" ht="15.75" x14ac:dyDescent="0.25">
      <c r="A20" t="s">
        <v>20</v>
      </c>
      <c r="B20" s="34" t="s">
        <v>62</v>
      </c>
      <c r="C20" s="38" t="s">
        <v>63</v>
      </c>
      <c r="D20" s="38" t="s">
        <v>35</v>
      </c>
      <c r="E20" s="38" t="s">
        <v>48</v>
      </c>
      <c r="F20" s="38" t="s">
        <v>25</v>
      </c>
      <c r="G20" s="38" t="s">
        <v>64</v>
      </c>
      <c r="H20" s="38" t="s">
        <v>27</v>
      </c>
      <c r="I20" s="38" t="s">
        <v>65</v>
      </c>
      <c r="J20" s="38">
        <v>129</v>
      </c>
      <c r="K20" s="38" t="s">
        <v>29</v>
      </c>
      <c r="L20" s="38">
        <v>40</v>
      </c>
      <c r="M20" s="40">
        <v>512000</v>
      </c>
      <c r="N20" s="36">
        <f t="shared" si="1"/>
        <v>12800</v>
      </c>
      <c r="O20" s="21">
        <v>550.53763440860212</v>
      </c>
      <c r="P20" t="s">
        <v>30</v>
      </c>
      <c r="Q20" t="s">
        <v>31</v>
      </c>
      <c r="R20" s="1">
        <v>46188</v>
      </c>
      <c r="S20" t="s">
        <v>32</v>
      </c>
      <c r="T20" s="2"/>
      <c r="U20" s="2"/>
    </row>
    <row r="21" spans="1:21" ht="15.75" x14ac:dyDescent="0.25">
      <c r="A21" t="s">
        <v>20</v>
      </c>
      <c r="B21" s="34" t="s">
        <v>62</v>
      </c>
      <c r="C21" s="38" t="s">
        <v>63</v>
      </c>
      <c r="D21" s="38" t="s">
        <v>35</v>
      </c>
      <c r="E21" s="38" t="s">
        <v>48</v>
      </c>
      <c r="F21" s="38" t="s">
        <v>25</v>
      </c>
      <c r="G21" s="38" t="s">
        <v>66</v>
      </c>
      <c r="H21" s="38" t="s">
        <v>27</v>
      </c>
      <c r="I21" s="38" t="s">
        <v>65</v>
      </c>
      <c r="J21" s="38">
        <v>129</v>
      </c>
      <c r="K21" s="38" t="s">
        <v>29</v>
      </c>
      <c r="L21" s="38">
        <v>5</v>
      </c>
      <c r="M21" s="40">
        <v>64000</v>
      </c>
      <c r="N21" s="36">
        <f t="shared" si="1"/>
        <v>12800</v>
      </c>
      <c r="O21" s="21">
        <v>68.817204301075265</v>
      </c>
      <c r="P21" t="s">
        <v>30</v>
      </c>
      <c r="Q21" t="s">
        <v>31</v>
      </c>
      <c r="R21" s="1">
        <v>46188</v>
      </c>
      <c r="S21" t="s">
        <v>32</v>
      </c>
      <c r="T21" s="2"/>
      <c r="U21" s="2"/>
    </row>
    <row r="22" spans="1:21" ht="15.75" x14ac:dyDescent="0.25">
      <c r="A22" t="s">
        <v>20</v>
      </c>
      <c r="B22" s="34" t="s">
        <v>62</v>
      </c>
      <c r="C22" s="38" t="s">
        <v>63</v>
      </c>
      <c r="D22" s="38" t="s">
        <v>35</v>
      </c>
      <c r="E22" s="38" t="s">
        <v>48</v>
      </c>
      <c r="F22" s="38" t="s">
        <v>25</v>
      </c>
      <c r="G22" s="38" t="s">
        <v>67</v>
      </c>
      <c r="H22" s="38" t="s">
        <v>27</v>
      </c>
      <c r="I22" s="38" t="s">
        <v>65</v>
      </c>
      <c r="J22" s="38">
        <v>129</v>
      </c>
      <c r="K22" s="38" t="s">
        <v>29</v>
      </c>
      <c r="L22" s="38">
        <v>3</v>
      </c>
      <c r="M22" s="40">
        <v>38400</v>
      </c>
      <c r="N22" s="36">
        <f t="shared" si="1"/>
        <v>12800</v>
      </c>
      <c r="O22" s="21">
        <v>41.29032258064516</v>
      </c>
      <c r="P22" t="s">
        <v>30</v>
      </c>
      <c r="Q22" t="s">
        <v>31</v>
      </c>
      <c r="R22" s="1">
        <v>46188</v>
      </c>
      <c r="S22" t="s">
        <v>32</v>
      </c>
      <c r="T22" s="2"/>
      <c r="U22" s="2"/>
    </row>
    <row r="23" spans="1:21" ht="15.75" x14ac:dyDescent="0.25">
      <c r="A23" t="s">
        <v>20</v>
      </c>
      <c r="B23" s="34" t="s">
        <v>68</v>
      </c>
      <c r="C23" s="38" t="s">
        <v>69</v>
      </c>
      <c r="D23" s="38" t="s">
        <v>35</v>
      </c>
      <c r="E23" s="38" t="s">
        <v>48</v>
      </c>
      <c r="F23" s="38" t="s">
        <v>25</v>
      </c>
      <c r="G23" s="38" t="s">
        <v>70</v>
      </c>
      <c r="H23" s="38" t="s">
        <v>27</v>
      </c>
      <c r="I23" s="38" t="s">
        <v>65</v>
      </c>
      <c r="J23" s="38">
        <v>130</v>
      </c>
      <c r="K23" s="38" t="s">
        <v>29</v>
      </c>
      <c r="L23" s="38">
        <v>20</v>
      </c>
      <c r="M23" s="40">
        <v>62000</v>
      </c>
      <c r="N23" s="36">
        <f t="shared" si="1"/>
        <v>3100</v>
      </c>
      <c r="O23" s="21">
        <v>66.666666666666671</v>
      </c>
      <c r="P23" t="s">
        <v>30</v>
      </c>
      <c r="Q23" t="s">
        <v>31</v>
      </c>
      <c r="R23" s="1">
        <v>46173</v>
      </c>
      <c r="S23" t="s">
        <v>32</v>
      </c>
      <c r="T23" s="2"/>
      <c r="U23" s="2"/>
    </row>
    <row r="24" spans="1:21" ht="15.75" x14ac:dyDescent="0.25">
      <c r="A24" t="s">
        <v>20</v>
      </c>
      <c r="B24" s="34" t="s">
        <v>68</v>
      </c>
      <c r="C24" s="38" t="s">
        <v>69</v>
      </c>
      <c r="D24" s="38" t="s">
        <v>35</v>
      </c>
      <c r="E24" s="38" t="s">
        <v>48</v>
      </c>
      <c r="F24" s="38" t="s">
        <v>25</v>
      </c>
      <c r="G24" s="38" t="s">
        <v>71</v>
      </c>
      <c r="H24" s="38" t="s">
        <v>27</v>
      </c>
      <c r="I24" s="38" t="s">
        <v>65</v>
      </c>
      <c r="J24" s="38">
        <v>130</v>
      </c>
      <c r="K24" s="38" t="s">
        <v>29</v>
      </c>
      <c r="L24" s="38">
        <v>3</v>
      </c>
      <c r="M24" s="40">
        <v>9300</v>
      </c>
      <c r="N24" s="36">
        <f t="shared" si="1"/>
        <v>3100</v>
      </c>
      <c r="O24" s="21">
        <v>10</v>
      </c>
      <c r="P24" t="s">
        <v>30</v>
      </c>
      <c r="Q24" t="s">
        <v>31</v>
      </c>
      <c r="R24" s="1">
        <v>46173</v>
      </c>
      <c r="S24" t="s">
        <v>32</v>
      </c>
      <c r="T24" s="2"/>
      <c r="U24" s="2"/>
    </row>
    <row r="25" spans="1:21" ht="15.75" x14ac:dyDescent="0.25">
      <c r="A25" t="s">
        <v>20</v>
      </c>
      <c r="B25" s="34" t="s">
        <v>68</v>
      </c>
      <c r="C25" s="38" t="s">
        <v>69</v>
      </c>
      <c r="D25" s="38" t="s">
        <v>35</v>
      </c>
      <c r="E25" s="38" t="s">
        <v>48</v>
      </c>
      <c r="F25" s="38" t="s">
        <v>25</v>
      </c>
      <c r="G25" s="38" t="s">
        <v>72</v>
      </c>
      <c r="H25" s="38" t="s">
        <v>27</v>
      </c>
      <c r="I25" s="38" t="s">
        <v>65</v>
      </c>
      <c r="J25" s="38">
        <v>130</v>
      </c>
      <c r="K25" s="38" t="s">
        <v>29</v>
      </c>
      <c r="L25" s="38">
        <v>20</v>
      </c>
      <c r="M25" s="40">
        <v>272000</v>
      </c>
      <c r="N25" s="36">
        <f t="shared" si="1"/>
        <v>13600</v>
      </c>
      <c r="O25" s="21">
        <v>292.47311827956992</v>
      </c>
      <c r="P25" t="s">
        <v>30</v>
      </c>
      <c r="Q25" t="s">
        <v>31</v>
      </c>
      <c r="R25" s="1">
        <v>46173</v>
      </c>
      <c r="S25" t="s">
        <v>32</v>
      </c>
      <c r="T25" s="2"/>
      <c r="U25" s="2"/>
    </row>
    <row r="26" spans="1:21" ht="15.75" x14ac:dyDescent="0.25">
      <c r="A26" t="s">
        <v>20</v>
      </c>
      <c r="B26" s="34" t="s">
        <v>73</v>
      </c>
      <c r="C26" s="34" t="s">
        <v>74</v>
      </c>
      <c r="D26" s="34" t="s">
        <v>75</v>
      </c>
      <c r="E26" s="34" t="s">
        <v>48</v>
      </c>
      <c r="F26" s="34" t="s">
        <v>59</v>
      </c>
      <c r="G26" s="34" t="s">
        <v>76</v>
      </c>
      <c r="H26" s="34" t="s">
        <v>27</v>
      </c>
      <c r="I26" s="34" t="s">
        <v>28</v>
      </c>
      <c r="J26" s="34">
        <v>400</v>
      </c>
      <c r="K26" s="34" t="s">
        <v>29</v>
      </c>
      <c r="L26" s="34">
        <v>10</v>
      </c>
      <c r="M26" s="35">
        <v>75900</v>
      </c>
      <c r="N26" s="36">
        <f t="shared" si="1"/>
        <v>7590</v>
      </c>
      <c r="O26" s="21">
        <v>81.612903225806448</v>
      </c>
      <c r="P26" t="s">
        <v>30</v>
      </c>
      <c r="Q26" t="s">
        <v>31</v>
      </c>
      <c r="R26" s="1">
        <v>46028</v>
      </c>
      <c r="S26" t="s">
        <v>32</v>
      </c>
      <c r="T26" s="2"/>
      <c r="U26" s="2"/>
    </row>
    <row r="27" spans="1:21" ht="15.75" x14ac:dyDescent="0.25">
      <c r="A27" t="s">
        <v>20</v>
      </c>
      <c r="B27" t="s">
        <v>52</v>
      </c>
      <c r="C27" t="s">
        <v>53</v>
      </c>
      <c r="D27" t="s">
        <v>75</v>
      </c>
      <c r="E27" s="34" t="s">
        <v>48</v>
      </c>
      <c r="F27" t="s">
        <v>59</v>
      </c>
      <c r="G27" t="s">
        <v>56</v>
      </c>
      <c r="H27" t="s">
        <v>27</v>
      </c>
      <c r="I27" t="s">
        <v>28</v>
      </c>
      <c r="J27">
        <v>438</v>
      </c>
      <c r="K27" t="s">
        <v>7</v>
      </c>
      <c r="L27">
        <v>55</v>
      </c>
      <c r="M27" s="28">
        <v>0</v>
      </c>
      <c r="N27" s="36">
        <f t="shared" si="1"/>
        <v>0</v>
      </c>
      <c r="O27" s="21">
        <v>0</v>
      </c>
      <c r="P27" t="s">
        <v>30</v>
      </c>
      <c r="Q27" t="s">
        <v>31</v>
      </c>
      <c r="R27" s="1">
        <v>46118</v>
      </c>
      <c r="S27" t="s">
        <v>32</v>
      </c>
      <c r="T27" s="2" t="s">
        <v>77</v>
      </c>
      <c r="U27" s="3">
        <v>46028</v>
      </c>
    </row>
    <row r="28" spans="1:21" ht="15.75" x14ac:dyDescent="0.25">
      <c r="A28" t="s">
        <v>20</v>
      </c>
      <c r="B28" s="34" t="s">
        <v>78</v>
      </c>
      <c r="C28" s="34" t="s">
        <v>79</v>
      </c>
      <c r="D28" s="34" t="s">
        <v>75</v>
      </c>
      <c r="E28" s="34" t="s">
        <v>36</v>
      </c>
      <c r="F28" s="34" t="s">
        <v>37</v>
      </c>
      <c r="G28" s="34" t="s">
        <v>80</v>
      </c>
      <c r="H28" s="34" t="s">
        <v>27</v>
      </c>
      <c r="I28" s="34" t="s">
        <v>65</v>
      </c>
      <c r="J28" s="34">
        <v>131</v>
      </c>
      <c r="K28" s="34" t="s">
        <v>29</v>
      </c>
      <c r="L28" s="34">
        <v>20</v>
      </c>
      <c r="M28" s="35">
        <v>260000</v>
      </c>
      <c r="N28" s="36">
        <f t="shared" si="1"/>
        <v>13000</v>
      </c>
      <c r="O28" s="21">
        <v>279.56989247311827</v>
      </c>
      <c r="P28" t="s">
        <v>30</v>
      </c>
      <c r="Q28" t="s">
        <v>31</v>
      </c>
      <c r="R28" s="1">
        <v>46162</v>
      </c>
      <c r="S28" t="s">
        <v>32</v>
      </c>
      <c r="T28" s="2"/>
      <c r="U28" s="2"/>
    </row>
    <row r="29" spans="1:21" ht="15.75" x14ac:dyDescent="0.25">
      <c r="A29" t="s">
        <v>20</v>
      </c>
      <c r="B29" s="34" t="s">
        <v>78</v>
      </c>
      <c r="C29" s="34" t="s">
        <v>79</v>
      </c>
      <c r="D29" s="34" t="s">
        <v>75</v>
      </c>
      <c r="E29" s="34" t="s">
        <v>36</v>
      </c>
      <c r="F29" s="34" t="s">
        <v>37</v>
      </c>
      <c r="G29" s="34" t="s">
        <v>81</v>
      </c>
      <c r="H29" s="34" t="s">
        <v>27</v>
      </c>
      <c r="I29" s="34" t="s">
        <v>65</v>
      </c>
      <c r="J29" s="34">
        <v>131</v>
      </c>
      <c r="K29" s="34" t="s">
        <v>29</v>
      </c>
      <c r="L29" s="34">
        <v>5</v>
      </c>
      <c r="M29" s="35">
        <v>65000</v>
      </c>
      <c r="N29" s="36">
        <f t="shared" si="1"/>
        <v>13000</v>
      </c>
      <c r="O29" s="21">
        <v>69.892473118279568</v>
      </c>
      <c r="P29" t="s">
        <v>30</v>
      </c>
      <c r="Q29" t="s">
        <v>31</v>
      </c>
      <c r="R29" s="1">
        <v>46162</v>
      </c>
      <c r="S29" t="s">
        <v>32</v>
      </c>
      <c r="T29" s="2"/>
      <c r="U29" s="2"/>
    </row>
    <row r="30" spans="1:21" ht="15.75" x14ac:dyDescent="0.25">
      <c r="A30" t="s">
        <v>20</v>
      </c>
      <c r="B30" s="34" t="s">
        <v>52</v>
      </c>
      <c r="C30" s="34" t="s">
        <v>53</v>
      </c>
      <c r="D30" s="34" t="s">
        <v>75</v>
      </c>
      <c r="E30" s="34" t="s">
        <v>48</v>
      </c>
      <c r="F30" s="34" t="s">
        <v>59</v>
      </c>
      <c r="G30" s="34" t="s">
        <v>56</v>
      </c>
      <c r="H30" s="34" t="s">
        <v>27</v>
      </c>
      <c r="I30" s="34" t="s">
        <v>65</v>
      </c>
      <c r="J30" s="34">
        <v>132</v>
      </c>
      <c r="K30" s="34" t="s">
        <v>7</v>
      </c>
      <c r="L30" s="34">
        <v>55</v>
      </c>
      <c r="M30" s="35">
        <v>1925000</v>
      </c>
      <c r="N30" s="36">
        <f t="shared" si="1"/>
        <v>35000</v>
      </c>
      <c r="O30" s="21">
        <v>2069.8924731182797</v>
      </c>
      <c r="P30" t="s">
        <v>30</v>
      </c>
      <c r="Q30" t="s">
        <v>31</v>
      </c>
      <c r="R30" s="1">
        <v>46118</v>
      </c>
      <c r="S30" t="s">
        <v>32</v>
      </c>
      <c r="T30" s="2"/>
      <c r="U30" s="2"/>
    </row>
    <row r="31" spans="1:21" ht="15.75" x14ac:dyDescent="0.25">
      <c r="A31" t="s">
        <v>20</v>
      </c>
      <c r="B31" t="s">
        <v>82</v>
      </c>
      <c r="C31" t="s">
        <v>83</v>
      </c>
      <c r="D31" t="s">
        <v>84</v>
      </c>
      <c r="E31" s="38" t="s">
        <v>24</v>
      </c>
      <c r="F31" t="s">
        <v>25</v>
      </c>
      <c r="G31" t="s">
        <v>85</v>
      </c>
      <c r="H31" t="s">
        <v>86</v>
      </c>
      <c r="I31" t="s">
        <v>28</v>
      </c>
      <c r="J31">
        <v>402</v>
      </c>
      <c r="K31" t="s">
        <v>7</v>
      </c>
      <c r="L31">
        <v>2</v>
      </c>
      <c r="M31" s="28">
        <v>0</v>
      </c>
      <c r="N31" s="36">
        <f t="shared" si="1"/>
        <v>0</v>
      </c>
      <c r="O31" s="21">
        <v>112.90322580645162</v>
      </c>
      <c r="P31" t="s">
        <v>30</v>
      </c>
      <c r="Q31" t="s">
        <v>31</v>
      </c>
      <c r="R31" s="1">
        <v>46029</v>
      </c>
      <c r="S31" t="s">
        <v>32</v>
      </c>
      <c r="T31" s="2" t="s">
        <v>549</v>
      </c>
      <c r="U31" s="2"/>
    </row>
    <row r="32" spans="1:21" ht="15.75" x14ac:dyDescent="0.25">
      <c r="A32" t="s">
        <v>20</v>
      </c>
      <c r="B32" t="s">
        <v>87</v>
      </c>
      <c r="C32" t="s">
        <v>88</v>
      </c>
      <c r="D32" t="s">
        <v>84</v>
      </c>
      <c r="E32" s="34" t="s">
        <v>89</v>
      </c>
      <c r="F32" t="s">
        <v>90</v>
      </c>
      <c r="G32" t="s">
        <v>91</v>
      </c>
      <c r="H32" t="s">
        <v>27</v>
      </c>
      <c r="I32" t="s">
        <v>28</v>
      </c>
      <c r="J32">
        <v>403</v>
      </c>
      <c r="K32" t="s">
        <v>29</v>
      </c>
      <c r="L32">
        <v>120</v>
      </c>
      <c r="M32" s="28">
        <v>876000</v>
      </c>
      <c r="N32" s="36">
        <f t="shared" si="1"/>
        <v>7300</v>
      </c>
      <c r="O32" s="21">
        <v>941.93548387096769</v>
      </c>
      <c r="P32" t="s">
        <v>30</v>
      </c>
      <c r="Q32" t="s">
        <v>31</v>
      </c>
      <c r="R32" s="1">
        <v>46089</v>
      </c>
      <c r="S32" t="s">
        <v>32</v>
      </c>
      <c r="T32" s="2" t="s">
        <v>92</v>
      </c>
      <c r="U32" s="2"/>
    </row>
    <row r="33" spans="1:21" ht="15.75" x14ac:dyDescent="0.25">
      <c r="A33" t="s">
        <v>20</v>
      </c>
      <c r="B33" t="s">
        <v>87</v>
      </c>
      <c r="C33" t="s">
        <v>88</v>
      </c>
      <c r="D33" t="s">
        <v>84</v>
      </c>
      <c r="E33" s="34" t="s">
        <v>89</v>
      </c>
      <c r="F33" t="s">
        <v>90</v>
      </c>
      <c r="G33" t="s">
        <v>93</v>
      </c>
      <c r="H33" t="s">
        <v>27</v>
      </c>
      <c r="I33" t="s">
        <v>28</v>
      </c>
      <c r="J33">
        <v>403</v>
      </c>
      <c r="K33" t="s">
        <v>29</v>
      </c>
      <c r="L33">
        <v>120</v>
      </c>
      <c r="M33" s="28">
        <v>564000</v>
      </c>
      <c r="N33" s="36">
        <f t="shared" si="1"/>
        <v>4700</v>
      </c>
      <c r="O33" s="21">
        <v>606.45161290322585</v>
      </c>
      <c r="P33" t="s">
        <v>30</v>
      </c>
      <c r="Q33" t="s">
        <v>31</v>
      </c>
      <c r="R33" s="1">
        <v>46089</v>
      </c>
      <c r="S33" t="s">
        <v>32</v>
      </c>
      <c r="T33" s="2" t="s">
        <v>92</v>
      </c>
      <c r="U33" s="2"/>
    </row>
    <row r="34" spans="1:21" ht="15.75" x14ac:dyDescent="0.25">
      <c r="A34" t="s">
        <v>20</v>
      </c>
      <c r="B34" t="s">
        <v>87</v>
      </c>
      <c r="C34" t="s">
        <v>88</v>
      </c>
      <c r="D34" t="s">
        <v>84</v>
      </c>
      <c r="E34" s="34" t="s">
        <v>89</v>
      </c>
      <c r="F34" t="s">
        <v>90</v>
      </c>
      <c r="G34" t="s">
        <v>94</v>
      </c>
      <c r="H34" t="s">
        <v>27</v>
      </c>
      <c r="I34" t="s">
        <v>28</v>
      </c>
      <c r="J34">
        <v>403</v>
      </c>
      <c r="K34" t="s">
        <v>29</v>
      </c>
      <c r="L34">
        <v>120</v>
      </c>
      <c r="M34" s="28">
        <v>624000</v>
      </c>
      <c r="N34" s="36">
        <f t="shared" si="1"/>
        <v>5200</v>
      </c>
      <c r="O34" s="21">
        <v>670.9677419354839</v>
      </c>
      <c r="P34" t="s">
        <v>30</v>
      </c>
      <c r="Q34" t="s">
        <v>31</v>
      </c>
      <c r="R34" s="1">
        <v>46089</v>
      </c>
      <c r="S34" t="s">
        <v>32</v>
      </c>
      <c r="T34" s="2" t="s">
        <v>92</v>
      </c>
      <c r="U34" s="2"/>
    </row>
    <row r="35" spans="1:21" ht="15.75" x14ac:dyDescent="0.25">
      <c r="A35" t="s">
        <v>20</v>
      </c>
      <c r="B35" t="s">
        <v>95</v>
      </c>
      <c r="C35" t="s">
        <v>96</v>
      </c>
      <c r="D35" t="s">
        <v>84</v>
      </c>
      <c r="E35" s="34" t="s">
        <v>41</v>
      </c>
      <c r="F35" t="s">
        <v>37</v>
      </c>
      <c r="G35" t="s">
        <v>80</v>
      </c>
      <c r="H35" t="s">
        <v>27</v>
      </c>
      <c r="I35" t="s">
        <v>28</v>
      </c>
      <c r="J35">
        <v>404</v>
      </c>
      <c r="K35" t="s">
        <v>29</v>
      </c>
      <c r="L35">
        <v>20</v>
      </c>
      <c r="M35" s="28">
        <v>0</v>
      </c>
      <c r="N35" s="36">
        <f t="shared" si="1"/>
        <v>0</v>
      </c>
      <c r="O35" s="21">
        <v>0</v>
      </c>
      <c r="P35" t="s">
        <v>30</v>
      </c>
      <c r="Q35" t="s">
        <v>31</v>
      </c>
      <c r="R35" s="1">
        <v>46037</v>
      </c>
      <c r="S35" t="s">
        <v>32</v>
      </c>
      <c r="T35" s="2" t="s">
        <v>97</v>
      </c>
      <c r="U35" s="3">
        <v>46007</v>
      </c>
    </row>
    <row r="36" spans="1:21" ht="15.75" x14ac:dyDescent="0.25">
      <c r="A36" t="s">
        <v>20</v>
      </c>
      <c r="B36" t="s">
        <v>98</v>
      </c>
      <c r="C36" t="s">
        <v>99</v>
      </c>
      <c r="D36" t="s">
        <v>84</v>
      </c>
      <c r="E36" s="34" t="s">
        <v>48</v>
      </c>
      <c r="F36" t="s">
        <v>37</v>
      </c>
      <c r="G36" t="s">
        <v>100</v>
      </c>
      <c r="H36" t="s">
        <v>27</v>
      </c>
      <c r="I36" t="s">
        <v>28</v>
      </c>
      <c r="J36">
        <v>405</v>
      </c>
      <c r="K36" t="s">
        <v>29</v>
      </c>
      <c r="L36">
        <v>40</v>
      </c>
      <c r="M36" s="28">
        <v>0</v>
      </c>
      <c r="N36" s="36">
        <f t="shared" si="1"/>
        <v>0</v>
      </c>
      <c r="O36" s="21">
        <v>0</v>
      </c>
      <c r="P36" t="s">
        <v>30</v>
      </c>
      <c r="Q36" t="s">
        <v>31</v>
      </c>
      <c r="R36" s="1">
        <v>46031</v>
      </c>
      <c r="S36" t="s">
        <v>32</v>
      </c>
      <c r="T36" s="2"/>
      <c r="U36" s="2"/>
    </row>
    <row r="37" spans="1:21" ht="15.75" x14ac:dyDescent="0.25">
      <c r="A37" t="s">
        <v>20</v>
      </c>
      <c r="B37" t="s">
        <v>98</v>
      </c>
      <c r="C37" t="s">
        <v>99</v>
      </c>
      <c r="D37" t="s">
        <v>84</v>
      </c>
      <c r="E37" s="34" t="s">
        <v>48</v>
      </c>
      <c r="F37" t="s">
        <v>37</v>
      </c>
      <c r="G37" t="s">
        <v>101</v>
      </c>
      <c r="H37" t="s">
        <v>27</v>
      </c>
      <c r="I37" t="s">
        <v>28</v>
      </c>
      <c r="J37">
        <v>405</v>
      </c>
      <c r="K37" t="s">
        <v>29</v>
      </c>
      <c r="L37">
        <v>40</v>
      </c>
      <c r="M37" s="28">
        <v>0</v>
      </c>
      <c r="N37" s="36">
        <f t="shared" si="1"/>
        <v>0</v>
      </c>
      <c r="O37" s="21">
        <v>0</v>
      </c>
      <c r="P37" t="s">
        <v>30</v>
      </c>
      <c r="Q37" t="s">
        <v>31</v>
      </c>
      <c r="R37" s="1">
        <v>46031</v>
      </c>
      <c r="S37" t="s">
        <v>32</v>
      </c>
      <c r="T37" s="2"/>
      <c r="U37" s="2"/>
    </row>
    <row r="38" spans="1:21" ht="15.75" x14ac:dyDescent="0.25">
      <c r="A38" t="s">
        <v>20</v>
      </c>
      <c r="B38" t="s">
        <v>98</v>
      </c>
      <c r="C38" t="s">
        <v>99</v>
      </c>
      <c r="D38" t="s">
        <v>84</v>
      </c>
      <c r="E38" s="34" t="s">
        <v>48</v>
      </c>
      <c r="F38" t="s">
        <v>37</v>
      </c>
      <c r="G38" t="s">
        <v>102</v>
      </c>
      <c r="H38" t="s">
        <v>27</v>
      </c>
      <c r="I38" t="s">
        <v>28</v>
      </c>
      <c r="J38">
        <v>405</v>
      </c>
      <c r="K38" t="s">
        <v>29</v>
      </c>
      <c r="L38">
        <v>20</v>
      </c>
      <c r="M38" s="28">
        <v>0</v>
      </c>
      <c r="N38" s="36">
        <f t="shared" si="1"/>
        <v>0</v>
      </c>
      <c r="O38" s="21">
        <v>0</v>
      </c>
      <c r="P38" t="s">
        <v>30</v>
      </c>
      <c r="Q38" t="s">
        <v>31</v>
      </c>
      <c r="R38" s="1">
        <v>46031</v>
      </c>
      <c r="S38" t="s">
        <v>32</v>
      </c>
      <c r="T38" s="2"/>
      <c r="U38" s="2"/>
    </row>
    <row r="39" spans="1:21" ht="15.75" x14ac:dyDescent="0.25">
      <c r="A39" t="s">
        <v>20</v>
      </c>
      <c r="B39" t="s">
        <v>98</v>
      </c>
      <c r="C39" t="s">
        <v>99</v>
      </c>
      <c r="D39" t="s">
        <v>84</v>
      </c>
      <c r="E39" s="34" t="s">
        <v>48</v>
      </c>
      <c r="F39" t="s">
        <v>37</v>
      </c>
      <c r="G39" t="s">
        <v>103</v>
      </c>
      <c r="H39" t="s">
        <v>27</v>
      </c>
      <c r="I39" t="s">
        <v>28</v>
      </c>
      <c r="J39">
        <v>405</v>
      </c>
      <c r="K39" t="s">
        <v>7</v>
      </c>
      <c r="L39">
        <v>8</v>
      </c>
      <c r="M39" s="28">
        <v>0</v>
      </c>
      <c r="N39" s="36">
        <f t="shared" si="1"/>
        <v>0</v>
      </c>
      <c r="O39" s="21">
        <v>0</v>
      </c>
      <c r="P39" t="s">
        <v>30</v>
      </c>
      <c r="Q39" t="s">
        <v>31</v>
      </c>
      <c r="R39" s="1">
        <f>--R40</f>
        <v>46031</v>
      </c>
      <c r="S39" t="s">
        <v>32</v>
      </c>
      <c r="T39" s="2"/>
      <c r="U39" s="2"/>
    </row>
    <row r="40" spans="1:21" ht="15.75" x14ac:dyDescent="0.25">
      <c r="A40" t="s">
        <v>20</v>
      </c>
      <c r="B40" t="s">
        <v>98</v>
      </c>
      <c r="C40" t="s">
        <v>99</v>
      </c>
      <c r="D40" t="s">
        <v>84</v>
      </c>
      <c r="E40" s="34" t="s">
        <v>48</v>
      </c>
      <c r="F40" t="s">
        <v>37</v>
      </c>
      <c r="G40" t="s">
        <v>104</v>
      </c>
      <c r="H40" t="s">
        <v>27</v>
      </c>
      <c r="I40" t="s">
        <v>28</v>
      </c>
      <c r="J40">
        <v>405</v>
      </c>
      <c r="K40" t="s">
        <v>29</v>
      </c>
      <c r="L40">
        <v>5</v>
      </c>
      <c r="M40" s="28">
        <v>0</v>
      </c>
      <c r="N40" s="36">
        <f t="shared" si="1"/>
        <v>0</v>
      </c>
      <c r="O40" s="21">
        <v>0</v>
      </c>
      <c r="P40" t="s">
        <v>30</v>
      </c>
      <c r="Q40" t="s">
        <v>31</v>
      </c>
      <c r="R40" s="1">
        <v>46031</v>
      </c>
      <c r="S40" t="s">
        <v>32</v>
      </c>
      <c r="T40" s="2"/>
      <c r="U40" s="2"/>
    </row>
    <row r="41" spans="1:21" ht="15.75" x14ac:dyDescent="0.25">
      <c r="A41" t="s">
        <v>20</v>
      </c>
      <c r="B41" s="34" t="s">
        <v>105</v>
      </c>
      <c r="C41" s="34" t="s">
        <v>106</v>
      </c>
      <c r="D41" s="34" t="s">
        <v>84</v>
      </c>
      <c r="E41" s="34" t="s">
        <v>48</v>
      </c>
      <c r="F41" s="34" t="s">
        <v>59</v>
      </c>
      <c r="G41" s="34" t="s">
        <v>107</v>
      </c>
      <c r="H41" s="34" t="s">
        <v>27</v>
      </c>
      <c r="I41" s="34" t="s">
        <v>65</v>
      </c>
      <c r="J41" s="34">
        <v>133</v>
      </c>
      <c r="K41" s="34" t="s">
        <v>29</v>
      </c>
      <c r="L41" s="34">
        <v>5</v>
      </c>
      <c r="M41" s="35">
        <v>49750</v>
      </c>
      <c r="N41" s="36">
        <f t="shared" si="1"/>
        <v>9950</v>
      </c>
      <c r="O41" s="21">
        <v>53.494623655913976</v>
      </c>
      <c r="P41" t="s">
        <v>30</v>
      </c>
      <c r="Q41" t="s">
        <v>31</v>
      </c>
      <c r="R41" s="1">
        <v>46059</v>
      </c>
      <c r="S41" t="s">
        <v>32</v>
      </c>
      <c r="T41" s="2"/>
      <c r="U41" s="2"/>
    </row>
    <row r="42" spans="1:21" ht="15.75" x14ac:dyDescent="0.25">
      <c r="A42" t="s">
        <v>20</v>
      </c>
      <c r="B42" s="34" t="s">
        <v>105</v>
      </c>
      <c r="C42" s="34" t="s">
        <v>106</v>
      </c>
      <c r="D42" s="34" t="s">
        <v>84</v>
      </c>
      <c r="E42" s="34" t="s">
        <v>48</v>
      </c>
      <c r="F42" s="34" t="s">
        <v>59</v>
      </c>
      <c r="G42" s="34" t="s">
        <v>108</v>
      </c>
      <c r="H42" s="34" t="s">
        <v>27</v>
      </c>
      <c r="I42" s="34" t="s">
        <v>65</v>
      </c>
      <c r="J42" s="34">
        <v>133</v>
      </c>
      <c r="K42" s="34" t="s">
        <v>7</v>
      </c>
      <c r="L42" s="34">
        <v>1</v>
      </c>
      <c r="M42" s="35">
        <v>35000</v>
      </c>
      <c r="N42" s="36">
        <f t="shared" si="1"/>
        <v>35000</v>
      </c>
      <c r="O42" s="21">
        <v>37.634408602150536</v>
      </c>
      <c r="P42" t="s">
        <v>30</v>
      </c>
      <c r="Q42" t="s">
        <v>31</v>
      </c>
      <c r="R42" s="1">
        <v>46059</v>
      </c>
      <c r="S42" t="s">
        <v>32</v>
      </c>
      <c r="T42" s="2"/>
      <c r="U42" s="2"/>
    </row>
    <row r="43" spans="1:21" ht="15.75" x14ac:dyDescent="0.25">
      <c r="A43" t="s">
        <v>20</v>
      </c>
      <c r="B43" s="34" t="s">
        <v>109</v>
      </c>
      <c r="C43" s="34" t="s">
        <v>110</v>
      </c>
      <c r="D43" s="34" t="s">
        <v>84</v>
      </c>
      <c r="E43" s="34" t="s">
        <v>48</v>
      </c>
      <c r="F43" s="34" t="s">
        <v>59</v>
      </c>
      <c r="G43" s="34" t="s">
        <v>111</v>
      </c>
      <c r="H43" s="34" t="s">
        <v>27</v>
      </c>
      <c r="I43" s="34" t="s">
        <v>65</v>
      </c>
      <c r="J43" s="34">
        <v>134</v>
      </c>
      <c r="K43" s="34" t="s">
        <v>29</v>
      </c>
      <c r="L43" s="34">
        <v>5</v>
      </c>
      <c r="M43" s="35">
        <v>20000</v>
      </c>
      <c r="N43" s="36">
        <f t="shared" si="1"/>
        <v>4000</v>
      </c>
      <c r="O43" s="21">
        <v>21.50537634408602</v>
      </c>
      <c r="P43" t="s">
        <v>30</v>
      </c>
      <c r="Q43" t="s">
        <v>31</v>
      </c>
      <c r="R43" s="1">
        <v>46087</v>
      </c>
      <c r="S43" t="s">
        <v>32</v>
      </c>
      <c r="T43" s="2"/>
      <c r="U43" s="2"/>
    </row>
    <row r="44" spans="1:21" ht="15.75" x14ac:dyDescent="0.25">
      <c r="A44" t="s">
        <v>20</v>
      </c>
      <c r="B44" s="34" t="s">
        <v>109</v>
      </c>
      <c r="C44" s="34" t="s">
        <v>110</v>
      </c>
      <c r="D44" s="34" t="s">
        <v>84</v>
      </c>
      <c r="E44" s="34" t="s">
        <v>48</v>
      </c>
      <c r="F44" s="34" t="s">
        <v>59</v>
      </c>
      <c r="G44" s="34" t="s">
        <v>112</v>
      </c>
      <c r="H44" s="34" t="s">
        <v>27</v>
      </c>
      <c r="I44" s="34" t="s">
        <v>65</v>
      </c>
      <c r="J44" s="34">
        <v>134</v>
      </c>
      <c r="K44" s="34" t="s">
        <v>29</v>
      </c>
      <c r="L44" s="34">
        <v>5</v>
      </c>
      <c r="M44" s="35">
        <v>20000</v>
      </c>
      <c r="N44" s="36">
        <f t="shared" si="1"/>
        <v>4000</v>
      </c>
      <c r="O44" s="21">
        <v>21.50537634408602</v>
      </c>
      <c r="P44" t="s">
        <v>30</v>
      </c>
      <c r="Q44" t="s">
        <v>31</v>
      </c>
      <c r="R44" s="1">
        <v>46087</v>
      </c>
      <c r="S44" t="s">
        <v>32</v>
      </c>
      <c r="T44" s="2"/>
      <c r="U44" s="2"/>
    </row>
    <row r="45" spans="1:21" ht="15.75" x14ac:dyDescent="0.25">
      <c r="A45" t="s">
        <v>20</v>
      </c>
      <c r="B45" s="34" t="s">
        <v>113</v>
      </c>
      <c r="C45" s="34" t="s">
        <v>114</v>
      </c>
      <c r="D45" s="34" t="s">
        <v>84</v>
      </c>
      <c r="E45" s="34" t="s">
        <v>89</v>
      </c>
      <c r="F45" s="34" t="s">
        <v>90</v>
      </c>
      <c r="G45" s="34" t="s">
        <v>94</v>
      </c>
      <c r="H45" s="34" t="s">
        <v>27</v>
      </c>
      <c r="I45" s="34" t="s">
        <v>65</v>
      </c>
      <c r="J45" s="34">
        <v>135</v>
      </c>
      <c r="K45" s="34" t="s">
        <v>29</v>
      </c>
      <c r="L45" s="34">
        <v>60</v>
      </c>
      <c r="M45" s="35">
        <v>312000</v>
      </c>
      <c r="N45" s="36">
        <f t="shared" si="1"/>
        <v>5200</v>
      </c>
      <c r="O45" s="21">
        <v>335.48387096774195</v>
      </c>
      <c r="P45" t="s">
        <v>30</v>
      </c>
      <c r="Q45" t="s">
        <v>31</v>
      </c>
      <c r="R45" s="1">
        <v>46172</v>
      </c>
      <c r="S45" t="s">
        <v>32</v>
      </c>
      <c r="T45" s="2"/>
      <c r="U45" s="2"/>
    </row>
    <row r="46" spans="1:21" ht="15.75" x14ac:dyDescent="0.25">
      <c r="A46" t="s">
        <v>20</v>
      </c>
      <c r="B46" s="34" t="s">
        <v>113</v>
      </c>
      <c r="C46" s="34" t="s">
        <v>114</v>
      </c>
      <c r="D46" s="34" t="s">
        <v>84</v>
      </c>
      <c r="E46" s="34" t="s">
        <v>89</v>
      </c>
      <c r="F46" s="34" t="s">
        <v>90</v>
      </c>
      <c r="G46" s="34" t="s">
        <v>91</v>
      </c>
      <c r="H46" s="34" t="s">
        <v>27</v>
      </c>
      <c r="I46" s="34" t="s">
        <v>65</v>
      </c>
      <c r="J46" s="34">
        <v>135</v>
      </c>
      <c r="K46" s="34" t="s">
        <v>29</v>
      </c>
      <c r="L46" s="34">
        <v>40</v>
      </c>
      <c r="M46" s="35">
        <v>292000</v>
      </c>
      <c r="N46" s="36">
        <f t="shared" si="1"/>
        <v>7300</v>
      </c>
      <c r="O46" s="21">
        <v>313.97849462365593</v>
      </c>
      <c r="P46" t="s">
        <v>30</v>
      </c>
      <c r="Q46" t="s">
        <v>31</v>
      </c>
      <c r="R46" s="1">
        <v>46172</v>
      </c>
      <c r="S46" t="s">
        <v>32</v>
      </c>
      <c r="T46" s="2"/>
      <c r="U46" s="2"/>
    </row>
    <row r="47" spans="1:21" ht="15.75" x14ac:dyDescent="0.25">
      <c r="A47" t="s">
        <v>20</v>
      </c>
      <c r="B47" s="34" t="s">
        <v>113</v>
      </c>
      <c r="C47" s="34" t="s">
        <v>114</v>
      </c>
      <c r="D47" s="34" t="s">
        <v>84</v>
      </c>
      <c r="E47" s="34" t="s">
        <v>89</v>
      </c>
      <c r="F47" s="34" t="s">
        <v>90</v>
      </c>
      <c r="G47" s="34" t="s">
        <v>93</v>
      </c>
      <c r="H47" s="34" t="s">
        <v>27</v>
      </c>
      <c r="I47" s="34" t="s">
        <v>65</v>
      </c>
      <c r="J47" s="34">
        <v>135</v>
      </c>
      <c r="K47" s="34" t="s">
        <v>29</v>
      </c>
      <c r="L47" s="34">
        <v>40</v>
      </c>
      <c r="M47" s="35">
        <v>188000</v>
      </c>
      <c r="N47" s="36">
        <f t="shared" si="1"/>
        <v>4700</v>
      </c>
      <c r="O47" s="21">
        <v>202.15053763440861</v>
      </c>
      <c r="P47" t="s">
        <v>30</v>
      </c>
      <c r="Q47" t="s">
        <v>31</v>
      </c>
      <c r="R47" s="1">
        <v>46172</v>
      </c>
      <c r="S47" t="s">
        <v>32</v>
      </c>
      <c r="T47" s="2"/>
      <c r="U47" s="2"/>
    </row>
    <row r="48" spans="1:21" ht="15.75" x14ac:dyDescent="0.25">
      <c r="A48" t="s">
        <v>20</v>
      </c>
      <c r="B48" s="34" t="s">
        <v>113</v>
      </c>
      <c r="C48" s="34" t="s">
        <v>114</v>
      </c>
      <c r="D48" s="34" t="s">
        <v>84</v>
      </c>
      <c r="E48" s="34" t="s">
        <v>89</v>
      </c>
      <c r="F48" s="34" t="s">
        <v>90</v>
      </c>
      <c r="G48" s="34" t="s">
        <v>115</v>
      </c>
      <c r="H48" s="34" t="s">
        <v>27</v>
      </c>
      <c r="I48" s="34" t="s">
        <v>65</v>
      </c>
      <c r="J48" s="34">
        <v>135</v>
      </c>
      <c r="K48" s="34" t="s">
        <v>29</v>
      </c>
      <c r="L48" s="34">
        <v>300</v>
      </c>
      <c r="M48" s="35">
        <v>2670000</v>
      </c>
      <c r="N48" s="36">
        <f t="shared" si="1"/>
        <v>8900</v>
      </c>
      <c r="O48" s="21">
        <v>2870.9677419354839</v>
      </c>
      <c r="P48" t="s">
        <v>30</v>
      </c>
      <c r="Q48" t="s">
        <v>31</v>
      </c>
      <c r="R48" s="1">
        <v>46172</v>
      </c>
      <c r="S48" t="s">
        <v>32</v>
      </c>
      <c r="T48" s="2"/>
      <c r="U48" s="2"/>
    </row>
    <row r="49" spans="1:21" ht="15.75" x14ac:dyDescent="0.25">
      <c r="A49" t="s">
        <v>20</v>
      </c>
      <c r="B49" s="34" t="s">
        <v>113</v>
      </c>
      <c r="C49" s="34" t="s">
        <v>114</v>
      </c>
      <c r="D49" s="34" t="s">
        <v>84</v>
      </c>
      <c r="E49" s="34" t="s">
        <v>89</v>
      </c>
      <c r="F49" s="34" t="s">
        <v>90</v>
      </c>
      <c r="G49" s="34" t="s">
        <v>116</v>
      </c>
      <c r="H49" s="34" t="s">
        <v>27</v>
      </c>
      <c r="I49" s="34" t="s">
        <v>65</v>
      </c>
      <c r="J49" s="34">
        <v>135</v>
      </c>
      <c r="K49" s="34" t="s">
        <v>7</v>
      </c>
      <c r="L49" s="34">
        <v>15</v>
      </c>
      <c r="M49" s="35">
        <v>420000</v>
      </c>
      <c r="N49" s="36">
        <f t="shared" si="1"/>
        <v>28000</v>
      </c>
      <c r="O49" s="21">
        <v>451.61290322580646</v>
      </c>
      <c r="P49" t="s">
        <v>30</v>
      </c>
      <c r="Q49" t="s">
        <v>31</v>
      </c>
      <c r="R49" s="1">
        <v>46172</v>
      </c>
      <c r="S49" t="s">
        <v>32</v>
      </c>
      <c r="T49" s="2"/>
      <c r="U49" s="2"/>
    </row>
    <row r="50" spans="1:21" ht="15.75" x14ac:dyDescent="0.25">
      <c r="A50" t="s">
        <v>20</v>
      </c>
      <c r="B50" s="34" t="s">
        <v>117</v>
      </c>
      <c r="C50" s="34" t="s">
        <v>118</v>
      </c>
      <c r="D50" s="34" t="s">
        <v>84</v>
      </c>
      <c r="E50" s="34" t="s">
        <v>89</v>
      </c>
      <c r="F50" s="34" t="s">
        <v>90</v>
      </c>
      <c r="G50" s="34" t="s">
        <v>91</v>
      </c>
      <c r="H50" s="34" t="s">
        <v>27</v>
      </c>
      <c r="I50" s="34" t="s">
        <v>65</v>
      </c>
      <c r="J50" s="34">
        <v>136</v>
      </c>
      <c r="K50" s="34" t="s">
        <v>29</v>
      </c>
      <c r="L50" s="34">
        <v>20</v>
      </c>
      <c r="M50" s="35">
        <v>146000</v>
      </c>
      <c r="N50" s="36">
        <f t="shared" si="1"/>
        <v>7300</v>
      </c>
      <c r="O50" s="21">
        <v>156.98924731182797</v>
      </c>
      <c r="P50" t="s">
        <v>30</v>
      </c>
      <c r="Q50" t="s">
        <v>31</v>
      </c>
      <c r="R50" s="1">
        <v>46172</v>
      </c>
      <c r="S50" t="s">
        <v>32</v>
      </c>
      <c r="T50" s="2"/>
      <c r="U50" s="2"/>
    </row>
    <row r="51" spans="1:21" ht="15.75" x14ac:dyDescent="0.25">
      <c r="A51" t="s">
        <v>20</v>
      </c>
      <c r="B51" s="34" t="s">
        <v>117</v>
      </c>
      <c r="C51" s="34" t="s">
        <v>118</v>
      </c>
      <c r="D51" s="34" t="s">
        <v>84</v>
      </c>
      <c r="E51" s="34" t="s">
        <v>89</v>
      </c>
      <c r="F51" s="34" t="s">
        <v>90</v>
      </c>
      <c r="G51" s="34" t="s">
        <v>119</v>
      </c>
      <c r="H51" s="34" t="s">
        <v>27</v>
      </c>
      <c r="I51" s="34" t="s">
        <v>65</v>
      </c>
      <c r="J51" s="34">
        <v>136</v>
      </c>
      <c r="K51" s="34" t="s">
        <v>29</v>
      </c>
      <c r="L51" s="34">
        <v>20</v>
      </c>
      <c r="M51" s="35">
        <v>94000</v>
      </c>
      <c r="N51" s="36">
        <f t="shared" si="1"/>
        <v>4700</v>
      </c>
      <c r="O51" s="21">
        <v>101.0752688172043</v>
      </c>
      <c r="P51" t="s">
        <v>30</v>
      </c>
      <c r="Q51" t="s">
        <v>31</v>
      </c>
      <c r="R51" s="1">
        <v>46172</v>
      </c>
      <c r="S51" t="s">
        <v>32</v>
      </c>
      <c r="T51" s="2"/>
      <c r="U51" s="2"/>
    </row>
    <row r="52" spans="1:21" ht="15.75" x14ac:dyDescent="0.25">
      <c r="A52" t="s">
        <v>20</v>
      </c>
      <c r="B52" s="34" t="s">
        <v>120</v>
      </c>
      <c r="C52" s="34" t="s">
        <v>121</v>
      </c>
      <c r="D52" s="34" t="s">
        <v>122</v>
      </c>
      <c r="E52" s="34" t="s">
        <v>48</v>
      </c>
      <c r="F52" s="34" t="s">
        <v>55</v>
      </c>
      <c r="G52" s="34" t="s">
        <v>123</v>
      </c>
      <c r="H52" s="34" t="s">
        <v>27</v>
      </c>
      <c r="I52" s="34" t="s">
        <v>28</v>
      </c>
      <c r="J52" s="34">
        <v>406</v>
      </c>
      <c r="K52" s="34" t="s">
        <v>124</v>
      </c>
      <c r="L52" s="34">
        <v>20</v>
      </c>
      <c r="M52" s="35">
        <v>0</v>
      </c>
      <c r="N52" s="36">
        <f t="shared" si="1"/>
        <v>0</v>
      </c>
      <c r="O52" s="21">
        <v>0</v>
      </c>
      <c r="P52" t="s">
        <v>30</v>
      </c>
      <c r="Q52" t="s">
        <v>31</v>
      </c>
      <c r="R52" s="1">
        <v>46032</v>
      </c>
      <c r="S52" t="s">
        <v>32</v>
      </c>
      <c r="T52" s="2" t="s">
        <v>125</v>
      </c>
      <c r="U52" s="3">
        <v>45894</v>
      </c>
    </row>
    <row r="53" spans="1:21" ht="15.75" x14ac:dyDescent="0.25">
      <c r="A53" t="s">
        <v>20</v>
      </c>
      <c r="B53" s="34" t="s">
        <v>120</v>
      </c>
      <c r="C53" s="34" t="s">
        <v>121</v>
      </c>
      <c r="D53" s="34" t="s">
        <v>122</v>
      </c>
      <c r="E53" s="34" t="s">
        <v>48</v>
      </c>
      <c r="F53" s="34" t="s">
        <v>55</v>
      </c>
      <c r="G53" s="34" t="s">
        <v>126</v>
      </c>
      <c r="H53" s="34" t="s">
        <v>27</v>
      </c>
      <c r="I53" s="34" t="s">
        <v>28</v>
      </c>
      <c r="J53" s="34">
        <v>407</v>
      </c>
      <c r="K53" s="34" t="s">
        <v>29</v>
      </c>
      <c r="L53" s="34">
        <v>5</v>
      </c>
      <c r="M53" s="35">
        <v>0</v>
      </c>
      <c r="N53" s="36">
        <f t="shared" si="1"/>
        <v>0</v>
      </c>
      <c r="O53" s="21">
        <v>0</v>
      </c>
      <c r="P53" t="s">
        <v>30</v>
      </c>
      <c r="Q53" t="s">
        <v>31</v>
      </c>
      <c r="R53" s="1">
        <v>46032</v>
      </c>
      <c r="S53" t="s">
        <v>32</v>
      </c>
      <c r="T53" s="2" t="s">
        <v>127</v>
      </c>
      <c r="U53" s="3">
        <v>45931</v>
      </c>
    </row>
    <row r="54" spans="1:21" ht="15.75" x14ac:dyDescent="0.25">
      <c r="A54" t="s">
        <v>20</v>
      </c>
      <c r="B54" s="34" t="s">
        <v>120</v>
      </c>
      <c r="C54" s="34" t="s">
        <v>121</v>
      </c>
      <c r="D54" s="34" t="s">
        <v>122</v>
      </c>
      <c r="E54" s="34" t="s">
        <v>48</v>
      </c>
      <c r="F54" s="34" t="s">
        <v>55</v>
      </c>
      <c r="G54" s="34" t="s">
        <v>128</v>
      </c>
      <c r="H54" s="34" t="s">
        <v>27</v>
      </c>
      <c r="I54" s="34" t="s">
        <v>28</v>
      </c>
      <c r="J54" s="34">
        <v>407</v>
      </c>
      <c r="K54" s="34" t="s">
        <v>29</v>
      </c>
      <c r="L54" s="34">
        <v>3</v>
      </c>
      <c r="M54" s="35">
        <v>0</v>
      </c>
      <c r="N54" s="36">
        <f t="shared" si="1"/>
        <v>0</v>
      </c>
      <c r="O54" s="21">
        <v>0</v>
      </c>
      <c r="P54" t="s">
        <v>30</v>
      </c>
      <c r="Q54" t="s">
        <v>31</v>
      </c>
      <c r="R54" s="1">
        <v>46032</v>
      </c>
      <c r="S54" t="s">
        <v>32</v>
      </c>
      <c r="T54" s="2" t="s">
        <v>127</v>
      </c>
      <c r="U54" s="3">
        <v>45931</v>
      </c>
    </row>
    <row r="55" spans="1:21" ht="15.75" x14ac:dyDescent="0.25">
      <c r="A55" t="s">
        <v>20</v>
      </c>
      <c r="B55" s="34" t="s">
        <v>120</v>
      </c>
      <c r="C55" s="34" t="s">
        <v>121</v>
      </c>
      <c r="D55" s="34" t="s">
        <v>122</v>
      </c>
      <c r="E55" s="34" t="s">
        <v>48</v>
      </c>
      <c r="F55" s="34" t="s">
        <v>55</v>
      </c>
      <c r="G55" s="34" t="s">
        <v>129</v>
      </c>
      <c r="H55" s="34" t="s">
        <v>27</v>
      </c>
      <c r="I55" s="34" t="s">
        <v>28</v>
      </c>
      <c r="J55" s="34">
        <v>408</v>
      </c>
      <c r="K55" s="34" t="s">
        <v>29</v>
      </c>
      <c r="L55" s="34">
        <v>10</v>
      </c>
      <c r="M55" s="35">
        <v>0</v>
      </c>
      <c r="N55" s="36">
        <f t="shared" si="1"/>
        <v>0</v>
      </c>
      <c r="O55" s="21">
        <v>0</v>
      </c>
      <c r="P55" t="s">
        <v>30</v>
      </c>
      <c r="Q55" t="s">
        <v>31</v>
      </c>
      <c r="R55" s="1">
        <v>46045</v>
      </c>
      <c r="S55" t="s">
        <v>32</v>
      </c>
      <c r="T55" s="2" t="s">
        <v>130</v>
      </c>
      <c r="U55" s="3">
        <v>45985</v>
      </c>
    </row>
    <row r="56" spans="1:21" ht="15.75" x14ac:dyDescent="0.25">
      <c r="A56" t="s">
        <v>20</v>
      </c>
      <c r="B56" s="34" t="s">
        <v>120</v>
      </c>
      <c r="C56" s="34" t="s">
        <v>121</v>
      </c>
      <c r="D56" s="34" t="s">
        <v>122</v>
      </c>
      <c r="E56" s="34" t="s">
        <v>48</v>
      </c>
      <c r="F56" s="34" t="s">
        <v>55</v>
      </c>
      <c r="G56" s="34" t="s">
        <v>131</v>
      </c>
      <c r="H56" s="34" t="s">
        <v>27</v>
      </c>
      <c r="I56" s="34" t="s">
        <v>28</v>
      </c>
      <c r="J56" s="34">
        <v>408</v>
      </c>
      <c r="K56" s="34" t="s">
        <v>29</v>
      </c>
      <c r="L56" s="34">
        <v>10</v>
      </c>
      <c r="M56" s="45">
        <v>0</v>
      </c>
      <c r="N56" s="36">
        <f t="shared" si="1"/>
        <v>0</v>
      </c>
      <c r="O56" s="21">
        <v>0</v>
      </c>
      <c r="P56" t="s">
        <v>30</v>
      </c>
      <c r="Q56" t="s">
        <v>31</v>
      </c>
      <c r="R56" s="1">
        <v>46045</v>
      </c>
      <c r="S56" t="s">
        <v>32</v>
      </c>
      <c r="T56" s="2" t="s">
        <v>130</v>
      </c>
      <c r="U56" s="3">
        <v>45985</v>
      </c>
    </row>
    <row r="57" spans="1:21" ht="15.75" x14ac:dyDescent="0.25">
      <c r="A57" t="s">
        <v>20</v>
      </c>
      <c r="B57" s="34" t="s">
        <v>120</v>
      </c>
      <c r="C57" s="34" t="s">
        <v>121</v>
      </c>
      <c r="D57" s="34" t="s">
        <v>122</v>
      </c>
      <c r="E57" s="34" t="s">
        <v>48</v>
      </c>
      <c r="F57" s="34" t="s">
        <v>55</v>
      </c>
      <c r="G57" s="34" t="s">
        <v>132</v>
      </c>
      <c r="H57" s="34" t="s">
        <v>27</v>
      </c>
      <c r="I57" s="34" t="s">
        <v>28</v>
      </c>
      <c r="J57" s="34">
        <v>409</v>
      </c>
      <c r="K57" s="34" t="s">
        <v>124</v>
      </c>
      <c r="L57" s="34">
        <v>5</v>
      </c>
      <c r="M57" s="45">
        <v>0</v>
      </c>
      <c r="N57" s="36">
        <f t="shared" si="1"/>
        <v>0</v>
      </c>
      <c r="O57" s="21">
        <v>0</v>
      </c>
      <c r="P57" t="s">
        <v>30</v>
      </c>
      <c r="Q57" t="s">
        <v>31</v>
      </c>
      <c r="R57" s="1">
        <v>46032</v>
      </c>
      <c r="S57" t="s">
        <v>32</v>
      </c>
      <c r="T57" s="2" t="s">
        <v>133</v>
      </c>
      <c r="U57" s="3">
        <v>45897</v>
      </c>
    </row>
    <row r="58" spans="1:21" ht="15.75" x14ac:dyDescent="0.25">
      <c r="A58" t="s">
        <v>20</v>
      </c>
      <c r="B58" s="34" t="s">
        <v>120</v>
      </c>
      <c r="C58" s="34" t="s">
        <v>121</v>
      </c>
      <c r="D58" s="34" t="s">
        <v>122</v>
      </c>
      <c r="E58" s="34" t="s">
        <v>48</v>
      </c>
      <c r="F58" s="34" t="s">
        <v>55</v>
      </c>
      <c r="G58" s="34" t="s">
        <v>134</v>
      </c>
      <c r="H58" s="34" t="s">
        <v>27</v>
      </c>
      <c r="I58" s="34" t="s">
        <v>28</v>
      </c>
      <c r="J58" s="34">
        <v>409</v>
      </c>
      <c r="K58" s="34" t="s">
        <v>124</v>
      </c>
      <c r="L58" s="34">
        <v>5</v>
      </c>
      <c r="M58" s="45">
        <v>0</v>
      </c>
      <c r="N58" s="36">
        <f t="shared" si="1"/>
        <v>0</v>
      </c>
      <c r="O58" s="21">
        <v>0</v>
      </c>
      <c r="P58" t="s">
        <v>30</v>
      </c>
      <c r="Q58" t="s">
        <v>31</v>
      </c>
      <c r="R58" s="1">
        <v>46032</v>
      </c>
      <c r="S58" t="s">
        <v>32</v>
      </c>
      <c r="T58" s="2" t="s">
        <v>133</v>
      </c>
      <c r="U58" s="3">
        <v>45897</v>
      </c>
    </row>
    <row r="59" spans="1:21" ht="15.75" x14ac:dyDescent="0.25">
      <c r="A59" t="s">
        <v>20</v>
      </c>
      <c r="B59" s="34" t="s">
        <v>135</v>
      </c>
      <c r="C59" s="34" t="s">
        <v>136</v>
      </c>
      <c r="D59" s="34" t="s">
        <v>122</v>
      </c>
      <c r="E59" s="34" t="s">
        <v>41</v>
      </c>
      <c r="F59" s="34" t="s">
        <v>37</v>
      </c>
      <c r="G59" s="34" t="s">
        <v>137</v>
      </c>
      <c r="H59" s="34" t="s">
        <v>27</v>
      </c>
      <c r="I59" s="34" t="s">
        <v>28</v>
      </c>
      <c r="J59" s="34">
        <v>410</v>
      </c>
      <c r="K59" s="34" t="s">
        <v>29</v>
      </c>
      <c r="L59" s="34">
        <v>20</v>
      </c>
      <c r="M59" s="35">
        <v>130000</v>
      </c>
      <c r="N59" s="36">
        <f t="shared" si="1"/>
        <v>6500</v>
      </c>
      <c r="O59" s="21">
        <v>139.78494623655914</v>
      </c>
      <c r="P59" t="s">
        <v>30</v>
      </c>
      <c r="Q59" t="s">
        <v>31</v>
      </c>
      <c r="R59" s="1">
        <v>46031</v>
      </c>
      <c r="S59" t="s">
        <v>32</v>
      </c>
      <c r="T59" s="2"/>
      <c r="U59" s="2"/>
    </row>
    <row r="60" spans="1:21" ht="15.75" x14ac:dyDescent="0.25">
      <c r="A60" t="s">
        <v>20</v>
      </c>
      <c r="B60" t="s">
        <v>52</v>
      </c>
      <c r="C60" t="s">
        <v>53</v>
      </c>
      <c r="D60" t="s">
        <v>122</v>
      </c>
      <c r="E60" s="34" t="s">
        <v>48</v>
      </c>
      <c r="F60" t="s">
        <v>59</v>
      </c>
      <c r="G60" t="s">
        <v>60</v>
      </c>
      <c r="H60" t="s">
        <v>27</v>
      </c>
      <c r="I60" t="s">
        <v>28</v>
      </c>
      <c r="J60">
        <v>437</v>
      </c>
      <c r="K60" t="s">
        <v>7</v>
      </c>
      <c r="L60">
        <v>25</v>
      </c>
      <c r="M60" s="28">
        <v>0</v>
      </c>
      <c r="N60" s="36">
        <f t="shared" si="1"/>
        <v>0</v>
      </c>
      <c r="O60" s="21">
        <v>0</v>
      </c>
      <c r="P60" t="s">
        <v>30</v>
      </c>
      <c r="Q60" t="s">
        <v>31</v>
      </c>
      <c r="R60" s="1">
        <v>46120</v>
      </c>
      <c r="S60" t="s">
        <v>32</v>
      </c>
      <c r="T60" s="2" t="s">
        <v>138</v>
      </c>
      <c r="U60" s="3">
        <v>46030</v>
      </c>
    </row>
    <row r="61" spans="1:21" ht="15.75" x14ac:dyDescent="0.25">
      <c r="A61" t="s">
        <v>20</v>
      </c>
      <c r="B61" s="34" t="s">
        <v>139</v>
      </c>
      <c r="C61" s="34" t="s">
        <v>140</v>
      </c>
      <c r="D61" s="34" t="s">
        <v>122</v>
      </c>
      <c r="E61" s="34" t="s">
        <v>48</v>
      </c>
      <c r="F61" s="34" t="s">
        <v>59</v>
      </c>
      <c r="G61" s="34" t="s">
        <v>141</v>
      </c>
      <c r="H61" s="34" t="s">
        <v>27</v>
      </c>
      <c r="I61" s="34" t="s">
        <v>65</v>
      </c>
      <c r="J61" s="34">
        <v>138</v>
      </c>
      <c r="K61" s="34" t="s">
        <v>29</v>
      </c>
      <c r="L61" s="34">
        <v>60</v>
      </c>
      <c r="M61" s="35">
        <v>228309</v>
      </c>
      <c r="N61" s="36">
        <f t="shared" si="1"/>
        <v>3805.15</v>
      </c>
      <c r="O61" s="21">
        <v>245.49354838709678</v>
      </c>
      <c r="P61" t="s">
        <v>30</v>
      </c>
      <c r="Q61" t="s">
        <v>31</v>
      </c>
      <c r="R61" s="1">
        <v>46150</v>
      </c>
      <c r="S61" t="s">
        <v>32</v>
      </c>
      <c r="T61" s="2"/>
      <c r="U61" s="2"/>
    </row>
    <row r="62" spans="1:21" ht="15.75" x14ac:dyDescent="0.25">
      <c r="A62" t="s">
        <v>20</v>
      </c>
      <c r="B62" s="34" t="s">
        <v>52</v>
      </c>
      <c r="C62" s="39" t="s">
        <v>53</v>
      </c>
      <c r="D62" s="34" t="s">
        <v>122</v>
      </c>
      <c r="E62" s="34" t="s">
        <v>48</v>
      </c>
      <c r="F62" s="34" t="s">
        <v>59</v>
      </c>
      <c r="G62" s="34" t="s">
        <v>60</v>
      </c>
      <c r="H62" s="34" t="s">
        <v>27</v>
      </c>
      <c r="I62" s="34" t="s">
        <v>65</v>
      </c>
      <c r="J62" s="34">
        <v>139</v>
      </c>
      <c r="K62" s="34" t="s">
        <v>7</v>
      </c>
      <c r="L62" s="34">
        <v>25</v>
      </c>
      <c r="M62" s="35">
        <v>875000</v>
      </c>
      <c r="N62" s="36">
        <f t="shared" si="1"/>
        <v>35000</v>
      </c>
      <c r="O62" s="21">
        <v>940.86021505376345</v>
      </c>
      <c r="P62" t="s">
        <v>30</v>
      </c>
      <c r="Q62" t="s">
        <v>31</v>
      </c>
      <c r="R62" s="1">
        <v>46120</v>
      </c>
      <c r="S62" t="s">
        <v>32</v>
      </c>
      <c r="T62" s="2"/>
      <c r="U62" s="2"/>
    </row>
    <row r="63" spans="1:21" ht="15.75" x14ac:dyDescent="0.25">
      <c r="A63" t="s">
        <v>20</v>
      </c>
      <c r="B63" s="34" t="s">
        <v>142</v>
      </c>
      <c r="C63" s="39" t="s">
        <v>143</v>
      </c>
      <c r="D63" s="34" t="s">
        <v>144</v>
      </c>
      <c r="E63" s="34" t="s">
        <v>48</v>
      </c>
      <c r="F63" s="34" t="s">
        <v>55</v>
      </c>
      <c r="G63" s="34" t="s">
        <v>100</v>
      </c>
      <c r="H63" s="34" t="s">
        <v>57</v>
      </c>
      <c r="I63" s="34" t="s">
        <v>28</v>
      </c>
      <c r="J63" s="34">
        <v>411</v>
      </c>
      <c r="K63" s="34" t="s">
        <v>29</v>
      </c>
      <c r="L63" s="34">
        <v>20</v>
      </c>
      <c r="M63" s="45">
        <v>89689</v>
      </c>
      <c r="N63" s="36">
        <f t="shared" si="1"/>
        <v>4484.45</v>
      </c>
      <c r="O63" s="21">
        <v>96.439784946236557</v>
      </c>
      <c r="P63" t="s">
        <v>30</v>
      </c>
      <c r="Q63" t="s">
        <v>31</v>
      </c>
      <c r="R63" s="1">
        <v>46031</v>
      </c>
      <c r="S63" t="s">
        <v>32</v>
      </c>
      <c r="T63" s="2"/>
      <c r="U63" s="2"/>
    </row>
    <row r="64" spans="1:21" ht="15.75" x14ac:dyDescent="0.25">
      <c r="A64" t="s">
        <v>20</v>
      </c>
      <c r="B64" s="34" t="s">
        <v>142</v>
      </c>
      <c r="C64" s="34" t="s">
        <v>143</v>
      </c>
      <c r="D64" s="34" t="s">
        <v>144</v>
      </c>
      <c r="E64" s="34" t="s">
        <v>48</v>
      </c>
      <c r="F64" s="34" t="s">
        <v>55</v>
      </c>
      <c r="G64" s="34" t="s">
        <v>102</v>
      </c>
      <c r="H64" s="34" t="s">
        <v>57</v>
      </c>
      <c r="I64" s="34" t="s">
        <v>28</v>
      </c>
      <c r="J64" s="34">
        <v>411</v>
      </c>
      <c r="K64" s="34" t="s">
        <v>29</v>
      </c>
      <c r="L64" s="34">
        <v>20</v>
      </c>
      <c r="M64" s="45">
        <v>89689</v>
      </c>
      <c r="N64" s="36">
        <f t="shared" si="1"/>
        <v>4484.45</v>
      </c>
      <c r="O64" s="21">
        <v>96.439784946236557</v>
      </c>
      <c r="P64" t="s">
        <v>30</v>
      </c>
      <c r="Q64" t="s">
        <v>31</v>
      </c>
      <c r="R64" s="1">
        <v>46031</v>
      </c>
      <c r="S64" t="s">
        <v>32</v>
      </c>
      <c r="T64" s="2"/>
      <c r="U64" s="2"/>
    </row>
    <row r="65" spans="1:21" ht="15.75" x14ac:dyDescent="0.25">
      <c r="A65" t="s">
        <v>20</v>
      </c>
      <c r="B65" s="34" t="s">
        <v>142</v>
      </c>
      <c r="C65" s="34" t="s">
        <v>143</v>
      </c>
      <c r="D65" s="34" t="s">
        <v>144</v>
      </c>
      <c r="E65" s="34" t="s">
        <v>48</v>
      </c>
      <c r="F65" s="34" t="s">
        <v>55</v>
      </c>
      <c r="G65" s="34" t="s">
        <v>101</v>
      </c>
      <c r="H65" s="34" t="s">
        <v>57</v>
      </c>
      <c r="I65" s="34" t="s">
        <v>28</v>
      </c>
      <c r="J65" s="34">
        <v>411</v>
      </c>
      <c r="K65" s="34" t="s">
        <v>29</v>
      </c>
      <c r="L65" s="34">
        <v>20</v>
      </c>
      <c r="M65" s="45">
        <v>89689</v>
      </c>
      <c r="N65" s="36">
        <f t="shared" si="1"/>
        <v>4484.45</v>
      </c>
      <c r="O65" s="21">
        <v>96.439784946236557</v>
      </c>
      <c r="P65" t="s">
        <v>30</v>
      </c>
      <c r="Q65" t="s">
        <v>31</v>
      </c>
      <c r="R65" s="1">
        <v>46031</v>
      </c>
      <c r="S65" t="s">
        <v>32</v>
      </c>
      <c r="T65" s="2"/>
      <c r="U65" s="2"/>
    </row>
    <row r="66" spans="1:21" ht="15.75" x14ac:dyDescent="0.25">
      <c r="A66" t="s">
        <v>20</v>
      </c>
      <c r="B66" s="34" t="s">
        <v>142</v>
      </c>
      <c r="C66" s="34" t="s">
        <v>143</v>
      </c>
      <c r="D66" s="34" t="s">
        <v>144</v>
      </c>
      <c r="E66" s="34" t="s">
        <v>48</v>
      </c>
      <c r="F66" s="34" t="s">
        <v>55</v>
      </c>
      <c r="G66" s="34" t="s">
        <v>42</v>
      </c>
      <c r="H66" s="34" t="s">
        <v>57</v>
      </c>
      <c r="I66" s="34" t="s">
        <v>28</v>
      </c>
      <c r="J66" s="34">
        <v>411</v>
      </c>
      <c r="K66" s="34" t="s">
        <v>29</v>
      </c>
      <c r="L66" s="34">
        <v>40</v>
      </c>
      <c r="M66" s="45">
        <v>172203</v>
      </c>
      <c r="N66" s="36">
        <f t="shared" si="1"/>
        <v>4305.0749999999998</v>
      </c>
      <c r="O66" s="21">
        <v>185.16451612903225</v>
      </c>
      <c r="P66" t="s">
        <v>30</v>
      </c>
      <c r="Q66" t="s">
        <v>31</v>
      </c>
      <c r="R66" s="1">
        <v>46031</v>
      </c>
      <c r="S66" t="s">
        <v>32</v>
      </c>
      <c r="T66" s="2"/>
      <c r="U66" s="2"/>
    </row>
    <row r="67" spans="1:21" ht="15.75" x14ac:dyDescent="0.25">
      <c r="A67" t="s">
        <v>20</v>
      </c>
      <c r="B67" s="34" t="s">
        <v>142</v>
      </c>
      <c r="C67" s="34" t="s">
        <v>143</v>
      </c>
      <c r="D67" s="34" t="s">
        <v>144</v>
      </c>
      <c r="E67" s="34" t="s">
        <v>48</v>
      </c>
      <c r="F67" s="34" t="s">
        <v>55</v>
      </c>
      <c r="G67" s="34" t="s">
        <v>145</v>
      </c>
      <c r="H67" s="34" t="s">
        <v>57</v>
      </c>
      <c r="I67" s="34" t="s">
        <v>28</v>
      </c>
      <c r="J67" s="34">
        <v>411</v>
      </c>
      <c r="K67" s="34" t="s">
        <v>7</v>
      </c>
      <c r="L67" s="34">
        <v>3</v>
      </c>
      <c r="M67" s="45">
        <v>121080</v>
      </c>
      <c r="N67" s="36">
        <f t="shared" si="1"/>
        <v>40360</v>
      </c>
      <c r="O67" s="21">
        <v>130.19354838709677</v>
      </c>
      <c r="P67" t="s">
        <v>30</v>
      </c>
      <c r="Q67" t="s">
        <v>31</v>
      </c>
      <c r="R67" s="1">
        <v>46031</v>
      </c>
      <c r="S67" t="s">
        <v>32</v>
      </c>
      <c r="T67" s="2"/>
      <c r="U67" s="2"/>
    </row>
    <row r="68" spans="1:21" ht="15.75" x14ac:dyDescent="0.25">
      <c r="A68" t="s">
        <v>20</v>
      </c>
      <c r="B68" s="34" t="s">
        <v>146</v>
      </c>
      <c r="C68" s="34" t="s">
        <v>147</v>
      </c>
      <c r="D68" s="34" t="s">
        <v>144</v>
      </c>
      <c r="E68" s="34" t="s">
        <v>148</v>
      </c>
      <c r="F68" s="34" t="s">
        <v>49</v>
      </c>
      <c r="G68" s="34" t="s">
        <v>149</v>
      </c>
      <c r="H68" s="34" t="s">
        <v>27</v>
      </c>
      <c r="I68" s="34" t="s">
        <v>28</v>
      </c>
      <c r="J68" s="34">
        <v>412</v>
      </c>
      <c r="K68" s="34" t="s">
        <v>29</v>
      </c>
      <c r="L68" s="34">
        <v>20</v>
      </c>
      <c r="M68" s="35">
        <v>200000</v>
      </c>
      <c r="N68" s="36">
        <f t="shared" si="1"/>
        <v>10000</v>
      </c>
      <c r="O68" s="21">
        <v>215.05376344086022</v>
      </c>
      <c r="P68" t="s">
        <v>30</v>
      </c>
      <c r="Q68" t="s">
        <v>31</v>
      </c>
      <c r="R68" s="1">
        <v>46031</v>
      </c>
      <c r="S68" t="s">
        <v>32</v>
      </c>
      <c r="T68" s="2"/>
      <c r="U68" s="2"/>
    </row>
    <row r="69" spans="1:21" ht="15.75" x14ac:dyDescent="0.25">
      <c r="A69" t="s">
        <v>20</v>
      </c>
      <c r="B69" s="34" t="s">
        <v>146</v>
      </c>
      <c r="C69" s="34" t="s">
        <v>147</v>
      </c>
      <c r="D69" s="34" t="s">
        <v>144</v>
      </c>
      <c r="E69" s="34" t="s">
        <v>148</v>
      </c>
      <c r="F69" s="34" t="s">
        <v>49</v>
      </c>
      <c r="G69" s="34" t="s">
        <v>150</v>
      </c>
      <c r="H69" s="34" t="s">
        <v>27</v>
      </c>
      <c r="I69" s="34" t="s">
        <v>28</v>
      </c>
      <c r="J69" s="34">
        <v>412</v>
      </c>
      <c r="K69" s="34" t="s">
        <v>29</v>
      </c>
      <c r="L69" s="34">
        <v>20</v>
      </c>
      <c r="M69" s="35">
        <v>100000</v>
      </c>
      <c r="N69" s="36">
        <f t="shared" si="1"/>
        <v>5000</v>
      </c>
      <c r="O69" s="21">
        <v>107.52688172043011</v>
      </c>
      <c r="P69" t="s">
        <v>30</v>
      </c>
      <c r="Q69" t="s">
        <v>31</v>
      </c>
      <c r="R69" s="1">
        <v>46031</v>
      </c>
      <c r="S69" t="s">
        <v>32</v>
      </c>
      <c r="T69" s="2"/>
      <c r="U69" s="2"/>
    </row>
    <row r="70" spans="1:21" ht="15.75" x14ac:dyDescent="0.25">
      <c r="A70" t="s">
        <v>20</v>
      </c>
      <c r="B70" s="34" t="s">
        <v>146</v>
      </c>
      <c r="C70" s="34" t="s">
        <v>147</v>
      </c>
      <c r="D70" s="34" t="s">
        <v>144</v>
      </c>
      <c r="E70" s="34" t="s">
        <v>148</v>
      </c>
      <c r="F70" s="34" t="s">
        <v>49</v>
      </c>
      <c r="G70" s="34" t="s">
        <v>151</v>
      </c>
      <c r="H70" s="34" t="s">
        <v>27</v>
      </c>
      <c r="I70" s="34" t="s">
        <v>28</v>
      </c>
      <c r="J70" s="34">
        <v>412</v>
      </c>
      <c r="K70" s="34" t="s">
        <v>29</v>
      </c>
      <c r="L70" s="34">
        <v>20</v>
      </c>
      <c r="M70" s="35">
        <v>100000</v>
      </c>
      <c r="N70" s="36">
        <f t="shared" si="1"/>
        <v>5000</v>
      </c>
      <c r="O70" s="21">
        <v>107.52688172043011</v>
      </c>
      <c r="P70" t="s">
        <v>30</v>
      </c>
      <c r="Q70" t="s">
        <v>31</v>
      </c>
      <c r="R70" s="1">
        <v>46031</v>
      </c>
      <c r="S70" t="s">
        <v>32</v>
      </c>
      <c r="T70" s="2"/>
      <c r="U70" s="2"/>
    </row>
    <row r="71" spans="1:21" ht="15.75" x14ac:dyDescent="0.25">
      <c r="A71" t="s">
        <v>20</v>
      </c>
      <c r="B71" s="34" t="s">
        <v>152</v>
      </c>
      <c r="C71" s="38" t="s">
        <v>153</v>
      </c>
      <c r="D71" s="34" t="s">
        <v>144</v>
      </c>
      <c r="E71" s="34" t="s">
        <v>41</v>
      </c>
      <c r="F71" s="34" t="s">
        <v>37</v>
      </c>
      <c r="G71" s="34" t="s">
        <v>154</v>
      </c>
      <c r="H71" s="34" t="s">
        <v>27</v>
      </c>
      <c r="I71" s="34" t="s">
        <v>65</v>
      </c>
      <c r="J71" s="34">
        <v>141</v>
      </c>
      <c r="K71" s="34" t="s">
        <v>29</v>
      </c>
      <c r="L71" s="34">
        <v>40</v>
      </c>
      <c r="M71" s="35">
        <v>320000</v>
      </c>
      <c r="N71" s="36">
        <f t="shared" si="1"/>
        <v>8000</v>
      </c>
      <c r="O71" s="21">
        <v>344.08602150537632</v>
      </c>
      <c r="P71" t="s">
        <v>30</v>
      </c>
      <c r="Q71" t="s">
        <v>31</v>
      </c>
      <c r="R71" s="1">
        <v>46091</v>
      </c>
      <c r="S71" t="s">
        <v>32</v>
      </c>
      <c r="T71" s="2"/>
      <c r="U71" s="2"/>
    </row>
    <row r="72" spans="1:21" ht="15.75" x14ac:dyDescent="0.25">
      <c r="A72" t="s">
        <v>20</v>
      </c>
      <c r="B72" s="34" t="s">
        <v>155</v>
      </c>
      <c r="C72" s="34" t="s">
        <v>156</v>
      </c>
      <c r="D72" s="34" t="s">
        <v>157</v>
      </c>
      <c r="E72" s="34" t="s">
        <v>158</v>
      </c>
      <c r="F72" s="34" t="s">
        <v>25</v>
      </c>
      <c r="G72" s="34" t="s">
        <v>159</v>
      </c>
      <c r="H72" s="34" t="s">
        <v>27</v>
      </c>
      <c r="I72" s="34" t="s">
        <v>28</v>
      </c>
      <c r="J72" s="34">
        <v>413</v>
      </c>
      <c r="K72" s="34" t="s">
        <v>7</v>
      </c>
      <c r="L72" s="34">
        <v>100</v>
      </c>
      <c r="M72" s="35">
        <v>0</v>
      </c>
      <c r="N72" s="36">
        <f t="shared" si="1"/>
        <v>0</v>
      </c>
      <c r="O72" s="21">
        <v>885.3763440860215</v>
      </c>
      <c r="P72" t="s">
        <v>30</v>
      </c>
      <c r="Q72" t="s">
        <v>31</v>
      </c>
      <c r="R72" s="1">
        <v>46049</v>
      </c>
      <c r="S72" t="s">
        <v>32</v>
      </c>
      <c r="T72" s="2"/>
      <c r="U72" s="2"/>
    </row>
    <row r="73" spans="1:21" ht="15.75" x14ac:dyDescent="0.25">
      <c r="A73" t="s">
        <v>20</v>
      </c>
      <c r="B73" t="s">
        <v>160</v>
      </c>
      <c r="C73" t="s">
        <v>161</v>
      </c>
      <c r="D73" t="s">
        <v>162</v>
      </c>
      <c r="E73" t="s">
        <v>36</v>
      </c>
      <c r="F73" t="s">
        <v>25</v>
      </c>
      <c r="G73" t="s">
        <v>163</v>
      </c>
      <c r="H73" s="34" t="s">
        <v>27</v>
      </c>
      <c r="I73" s="34" t="s">
        <v>28</v>
      </c>
      <c r="J73">
        <v>414</v>
      </c>
      <c r="K73" t="s">
        <v>29</v>
      </c>
      <c r="L73">
        <v>20</v>
      </c>
      <c r="M73" s="28">
        <v>0</v>
      </c>
      <c r="N73" s="36">
        <f t="shared" si="1"/>
        <v>0</v>
      </c>
      <c r="O73" s="21">
        <v>0</v>
      </c>
      <c r="P73" t="s">
        <v>30</v>
      </c>
      <c r="Q73" t="s">
        <v>31</v>
      </c>
      <c r="R73" s="1">
        <v>46044</v>
      </c>
      <c r="S73" t="s">
        <v>32</v>
      </c>
      <c r="T73" s="2" t="s">
        <v>164</v>
      </c>
      <c r="U73" s="3">
        <v>45909</v>
      </c>
    </row>
    <row r="74" spans="1:21" ht="15.75" x14ac:dyDescent="0.25">
      <c r="A74" t="s">
        <v>20</v>
      </c>
      <c r="B74" t="s">
        <v>160</v>
      </c>
      <c r="C74" t="s">
        <v>161</v>
      </c>
      <c r="D74" t="s">
        <v>162</v>
      </c>
      <c r="E74" t="s">
        <v>36</v>
      </c>
      <c r="F74" t="s">
        <v>25</v>
      </c>
      <c r="G74" t="s">
        <v>165</v>
      </c>
      <c r="H74" s="34" t="s">
        <v>27</v>
      </c>
      <c r="I74" s="34" t="s">
        <v>28</v>
      </c>
      <c r="J74">
        <v>414</v>
      </c>
      <c r="K74" t="s">
        <v>29</v>
      </c>
      <c r="L74">
        <v>20</v>
      </c>
      <c r="M74" s="28">
        <v>0</v>
      </c>
      <c r="N74" s="36">
        <f t="shared" si="1"/>
        <v>0</v>
      </c>
      <c r="O74" s="21">
        <v>0</v>
      </c>
      <c r="P74" t="s">
        <v>30</v>
      </c>
      <c r="Q74" t="s">
        <v>31</v>
      </c>
      <c r="R74" s="1">
        <v>46044</v>
      </c>
      <c r="S74" t="s">
        <v>32</v>
      </c>
      <c r="T74" s="2" t="s">
        <v>164</v>
      </c>
      <c r="U74" s="3">
        <v>45909</v>
      </c>
    </row>
    <row r="75" spans="1:21" ht="15.75" x14ac:dyDescent="0.25">
      <c r="A75" t="s">
        <v>20</v>
      </c>
      <c r="B75" t="s">
        <v>160</v>
      </c>
      <c r="C75" t="s">
        <v>161</v>
      </c>
      <c r="D75" t="s">
        <v>162</v>
      </c>
      <c r="E75" t="s">
        <v>36</v>
      </c>
      <c r="F75" t="s">
        <v>25</v>
      </c>
      <c r="G75" t="s">
        <v>166</v>
      </c>
      <c r="H75" s="34" t="s">
        <v>27</v>
      </c>
      <c r="I75" s="34" t="s">
        <v>28</v>
      </c>
      <c r="J75">
        <v>414</v>
      </c>
      <c r="K75" t="s">
        <v>29</v>
      </c>
      <c r="L75">
        <v>20</v>
      </c>
      <c r="M75" s="28">
        <v>0</v>
      </c>
      <c r="N75" s="36">
        <f t="shared" si="1"/>
        <v>0</v>
      </c>
      <c r="O75" s="21">
        <v>0</v>
      </c>
      <c r="P75" t="s">
        <v>30</v>
      </c>
      <c r="Q75" t="s">
        <v>31</v>
      </c>
      <c r="R75" s="1">
        <v>46044</v>
      </c>
      <c r="S75" t="s">
        <v>32</v>
      </c>
      <c r="T75" s="2" t="s">
        <v>164</v>
      </c>
      <c r="U75" s="3">
        <v>45909</v>
      </c>
    </row>
    <row r="76" spans="1:21" ht="15.75" x14ac:dyDescent="0.25">
      <c r="A76" t="s">
        <v>20</v>
      </c>
      <c r="B76" t="s">
        <v>160</v>
      </c>
      <c r="C76" t="s">
        <v>161</v>
      </c>
      <c r="D76" t="s">
        <v>162</v>
      </c>
      <c r="E76" t="s">
        <v>36</v>
      </c>
      <c r="F76" t="s">
        <v>25</v>
      </c>
      <c r="G76" t="s">
        <v>167</v>
      </c>
      <c r="H76" s="34" t="s">
        <v>27</v>
      </c>
      <c r="I76" s="34" t="s">
        <v>28</v>
      </c>
      <c r="J76">
        <v>415</v>
      </c>
      <c r="K76" t="s">
        <v>29</v>
      </c>
      <c r="L76">
        <v>5</v>
      </c>
      <c r="M76" s="28">
        <v>0</v>
      </c>
      <c r="N76" s="36">
        <f t="shared" si="1"/>
        <v>0</v>
      </c>
      <c r="O76" s="21">
        <v>0</v>
      </c>
      <c r="P76" t="s">
        <v>30</v>
      </c>
      <c r="Q76" t="s">
        <v>31</v>
      </c>
      <c r="R76" s="1">
        <v>46044</v>
      </c>
      <c r="S76" t="s">
        <v>32</v>
      </c>
      <c r="T76" s="2" t="s">
        <v>168</v>
      </c>
      <c r="U76" s="3">
        <v>45924</v>
      </c>
    </row>
    <row r="77" spans="1:21" ht="15.75" x14ac:dyDescent="0.25">
      <c r="A77" t="s">
        <v>20</v>
      </c>
      <c r="B77" t="s">
        <v>160</v>
      </c>
      <c r="C77" t="s">
        <v>161</v>
      </c>
      <c r="D77" t="s">
        <v>162</v>
      </c>
      <c r="E77" t="s">
        <v>36</v>
      </c>
      <c r="F77" t="s">
        <v>25</v>
      </c>
      <c r="G77" t="s">
        <v>169</v>
      </c>
      <c r="H77" s="34" t="s">
        <v>27</v>
      </c>
      <c r="I77" s="34" t="s">
        <v>28</v>
      </c>
      <c r="J77">
        <v>415</v>
      </c>
      <c r="K77" t="s">
        <v>29</v>
      </c>
      <c r="L77">
        <v>5</v>
      </c>
      <c r="M77" s="28">
        <v>0</v>
      </c>
      <c r="N77" s="36">
        <f t="shared" ref="N77:N140" si="2">M77/L77</f>
        <v>0</v>
      </c>
      <c r="O77" s="21">
        <v>0</v>
      </c>
      <c r="P77" t="s">
        <v>30</v>
      </c>
      <c r="Q77" t="s">
        <v>31</v>
      </c>
      <c r="R77" s="1">
        <v>46044</v>
      </c>
      <c r="S77" t="s">
        <v>32</v>
      </c>
      <c r="T77" s="2" t="s">
        <v>168</v>
      </c>
      <c r="U77" s="3">
        <v>45924</v>
      </c>
    </row>
    <row r="78" spans="1:21" ht="15.75" x14ac:dyDescent="0.25">
      <c r="A78" t="s">
        <v>20</v>
      </c>
      <c r="B78" t="s">
        <v>160</v>
      </c>
      <c r="C78" t="s">
        <v>161</v>
      </c>
      <c r="D78" t="s">
        <v>162</v>
      </c>
      <c r="E78" t="s">
        <v>36</v>
      </c>
      <c r="F78" t="s">
        <v>25</v>
      </c>
      <c r="G78" t="s">
        <v>170</v>
      </c>
      <c r="H78" s="34" t="s">
        <v>27</v>
      </c>
      <c r="I78" s="34" t="s">
        <v>28</v>
      </c>
      <c r="J78">
        <v>415</v>
      </c>
      <c r="K78" t="s">
        <v>29</v>
      </c>
      <c r="L78">
        <v>5</v>
      </c>
      <c r="M78" s="28">
        <v>0</v>
      </c>
      <c r="N78" s="36">
        <f t="shared" si="2"/>
        <v>0</v>
      </c>
      <c r="O78" s="21">
        <v>0</v>
      </c>
      <c r="P78" t="s">
        <v>30</v>
      </c>
      <c r="Q78" t="s">
        <v>31</v>
      </c>
      <c r="R78" s="1">
        <v>46044</v>
      </c>
      <c r="S78" t="s">
        <v>32</v>
      </c>
      <c r="T78" s="2" t="s">
        <v>168</v>
      </c>
      <c r="U78" s="3">
        <v>45924</v>
      </c>
    </row>
    <row r="79" spans="1:21" ht="15.75" x14ac:dyDescent="0.25">
      <c r="A79" t="s">
        <v>20</v>
      </c>
      <c r="B79" t="s">
        <v>160</v>
      </c>
      <c r="C79" t="s">
        <v>161</v>
      </c>
      <c r="D79" t="s">
        <v>162</v>
      </c>
      <c r="E79" t="s">
        <v>36</v>
      </c>
      <c r="F79" t="s">
        <v>25</v>
      </c>
      <c r="G79" t="s">
        <v>129</v>
      </c>
      <c r="H79" s="34" t="s">
        <v>27</v>
      </c>
      <c r="I79" s="34" t="s">
        <v>28</v>
      </c>
      <c r="J79">
        <v>416</v>
      </c>
      <c r="K79" t="s">
        <v>29</v>
      </c>
      <c r="L79">
        <v>60</v>
      </c>
      <c r="M79" s="28">
        <v>0</v>
      </c>
      <c r="N79" s="36">
        <f t="shared" si="2"/>
        <v>0</v>
      </c>
      <c r="O79" s="21">
        <v>0</v>
      </c>
      <c r="P79" t="s">
        <v>30</v>
      </c>
      <c r="Q79" t="s">
        <v>31</v>
      </c>
      <c r="R79" s="1">
        <v>46044</v>
      </c>
      <c r="S79" t="s">
        <v>32</v>
      </c>
      <c r="T79" s="2" t="s">
        <v>171</v>
      </c>
      <c r="U79" s="3">
        <v>45954</v>
      </c>
    </row>
    <row r="80" spans="1:21" ht="15.75" x14ac:dyDescent="0.25">
      <c r="A80" t="s">
        <v>20</v>
      </c>
      <c r="B80" t="s">
        <v>160</v>
      </c>
      <c r="C80" t="s">
        <v>161</v>
      </c>
      <c r="D80" t="s">
        <v>162</v>
      </c>
      <c r="E80" t="s">
        <v>36</v>
      </c>
      <c r="F80" t="s">
        <v>25</v>
      </c>
      <c r="G80" t="s">
        <v>172</v>
      </c>
      <c r="H80" s="34" t="s">
        <v>27</v>
      </c>
      <c r="I80" s="34" t="s">
        <v>28</v>
      </c>
      <c r="J80">
        <v>416</v>
      </c>
      <c r="K80" t="s">
        <v>29</v>
      </c>
      <c r="L80">
        <v>10</v>
      </c>
      <c r="M80" s="28">
        <v>0</v>
      </c>
      <c r="N80" s="36">
        <f t="shared" si="2"/>
        <v>0</v>
      </c>
      <c r="O80" s="21">
        <v>0</v>
      </c>
      <c r="P80" t="s">
        <v>30</v>
      </c>
      <c r="Q80" t="s">
        <v>31</v>
      </c>
      <c r="R80" s="1">
        <v>46044</v>
      </c>
      <c r="S80" t="s">
        <v>32</v>
      </c>
      <c r="T80" s="2" t="s">
        <v>171</v>
      </c>
      <c r="U80" s="3">
        <v>45954</v>
      </c>
    </row>
    <row r="81" spans="1:21" ht="15.75" x14ac:dyDescent="0.25">
      <c r="A81" t="s">
        <v>20</v>
      </c>
      <c r="B81" t="s">
        <v>160</v>
      </c>
      <c r="C81" t="s">
        <v>161</v>
      </c>
      <c r="D81" t="s">
        <v>162</v>
      </c>
      <c r="E81" t="s">
        <v>36</v>
      </c>
      <c r="F81" t="s">
        <v>25</v>
      </c>
      <c r="G81" t="s">
        <v>173</v>
      </c>
      <c r="H81" s="34" t="s">
        <v>27</v>
      </c>
      <c r="I81" s="34" t="s">
        <v>28</v>
      </c>
      <c r="J81">
        <v>416</v>
      </c>
      <c r="K81" t="s">
        <v>29</v>
      </c>
      <c r="L81">
        <v>20</v>
      </c>
      <c r="M81" s="28">
        <v>0</v>
      </c>
      <c r="N81" s="36">
        <f t="shared" si="2"/>
        <v>0</v>
      </c>
      <c r="O81" s="21">
        <v>0</v>
      </c>
      <c r="P81" t="s">
        <v>30</v>
      </c>
      <c r="Q81" t="s">
        <v>31</v>
      </c>
      <c r="R81" s="1">
        <v>46044</v>
      </c>
      <c r="S81" t="s">
        <v>32</v>
      </c>
      <c r="T81" s="2" t="s">
        <v>171</v>
      </c>
      <c r="U81" s="3">
        <v>45954</v>
      </c>
    </row>
    <row r="82" spans="1:21" ht="15.75" x14ac:dyDescent="0.25">
      <c r="A82" t="s">
        <v>20</v>
      </c>
      <c r="B82" t="s">
        <v>174</v>
      </c>
      <c r="C82" t="s">
        <v>175</v>
      </c>
      <c r="D82" t="s">
        <v>162</v>
      </c>
      <c r="E82" s="38" t="s">
        <v>24</v>
      </c>
      <c r="F82" t="s">
        <v>25</v>
      </c>
      <c r="G82" t="s">
        <v>103</v>
      </c>
      <c r="H82" s="34" t="s">
        <v>27</v>
      </c>
      <c r="I82" s="34" t="s">
        <v>28</v>
      </c>
      <c r="J82">
        <v>417</v>
      </c>
      <c r="K82" t="s">
        <v>29</v>
      </c>
      <c r="L82">
        <v>10</v>
      </c>
      <c r="M82" s="28">
        <v>0</v>
      </c>
      <c r="N82" s="36">
        <f t="shared" si="2"/>
        <v>0</v>
      </c>
      <c r="O82" s="21">
        <v>0</v>
      </c>
      <c r="P82" t="s">
        <v>30</v>
      </c>
      <c r="Q82" t="s">
        <v>31</v>
      </c>
      <c r="R82" s="1">
        <v>46038</v>
      </c>
      <c r="S82" t="s">
        <v>32</v>
      </c>
      <c r="T82" s="2" t="s">
        <v>176</v>
      </c>
      <c r="U82" s="3">
        <v>45974</v>
      </c>
    </row>
    <row r="83" spans="1:21" ht="15.75" x14ac:dyDescent="0.25">
      <c r="A83" t="s">
        <v>20</v>
      </c>
      <c r="B83" t="s">
        <v>177</v>
      </c>
      <c r="C83" t="s">
        <v>178</v>
      </c>
      <c r="D83" t="s">
        <v>162</v>
      </c>
      <c r="E83" t="s">
        <v>41</v>
      </c>
      <c r="F83" t="s">
        <v>37</v>
      </c>
      <c r="G83" t="s">
        <v>159</v>
      </c>
      <c r="H83" s="34" t="s">
        <v>27</v>
      </c>
      <c r="I83" s="34" t="s">
        <v>28</v>
      </c>
      <c r="J83">
        <v>418</v>
      </c>
      <c r="K83" t="s">
        <v>29</v>
      </c>
      <c r="L83">
        <v>40</v>
      </c>
      <c r="M83" s="28">
        <v>0</v>
      </c>
      <c r="N83" s="36">
        <f t="shared" si="2"/>
        <v>0</v>
      </c>
      <c r="O83" s="21">
        <v>0</v>
      </c>
      <c r="P83" t="s">
        <v>30</v>
      </c>
      <c r="Q83" t="s">
        <v>31</v>
      </c>
      <c r="R83" s="1">
        <v>46037</v>
      </c>
      <c r="S83" t="s">
        <v>32</v>
      </c>
      <c r="T83" s="2" t="s">
        <v>179</v>
      </c>
      <c r="U83" s="3">
        <v>45948</v>
      </c>
    </row>
    <row r="84" spans="1:21" ht="15.75" x14ac:dyDescent="0.25">
      <c r="A84" t="s">
        <v>20</v>
      </c>
      <c r="B84" t="s">
        <v>177</v>
      </c>
      <c r="C84" t="s">
        <v>178</v>
      </c>
      <c r="D84" t="s">
        <v>162</v>
      </c>
      <c r="E84" t="s">
        <v>41</v>
      </c>
      <c r="F84" t="s">
        <v>37</v>
      </c>
      <c r="G84" t="s">
        <v>180</v>
      </c>
      <c r="H84" s="34" t="s">
        <v>27</v>
      </c>
      <c r="I84" s="34" t="s">
        <v>28</v>
      </c>
      <c r="J84">
        <v>418</v>
      </c>
      <c r="K84" t="s">
        <v>29</v>
      </c>
      <c r="L84">
        <v>10</v>
      </c>
      <c r="M84" s="28">
        <v>0</v>
      </c>
      <c r="N84" s="36">
        <f t="shared" si="2"/>
        <v>0</v>
      </c>
      <c r="O84" s="21">
        <v>0</v>
      </c>
      <c r="P84" t="s">
        <v>30</v>
      </c>
      <c r="Q84" t="s">
        <v>31</v>
      </c>
      <c r="R84" s="1">
        <v>46037</v>
      </c>
      <c r="S84" t="s">
        <v>32</v>
      </c>
      <c r="T84" s="2" t="s">
        <v>179</v>
      </c>
      <c r="U84" s="3">
        <v>45948</v>
      </c>
    </row>
    <row r="85" spans="1:21" ht="15.75" x14ac:dyDescent="0.25">
      <c r="A85" t="s">
        <v>20</v>
      </c>
      <c r="B85" t="s">
        <v>98</v>
      </c>
      <c r="C85" t="s">
        <v>99</v>
      </c>
      <c r="D85" t="s">
        <v>162</v>
      </c>
      <c r="E85" t="s">
        <v>48</v>
      </c>
      <c r="F85" t="s">
        <v>37</v>
      </c>
      <c r="G85" t="s">
        <v>181</v>
      </c>
      <c r="H85" s="34" t="s">
        <v>27</v>
      </c>
      <c r="I85" s="34" t="s">
        <v>28</v>
      </c>
      <c r="J85">
        <v>419</v>
      </c>
      <c r="K85" t="s">
        <v>29</v>
      </c>
      <c r="L85">
        <v>20</v>
      </c>
      <c r="M85" s="28">
        <v>0</v>
      </c>
      <c r="N85" s="36">
        <f t="shared" si="2"/>
        <v>0</v>
      </c>
      <c r="O85" s="21">
        <v>0</v>
      </c>
      <c r="P85" t="s">
        <v>30</v>
      </c>
      <c r="Q85" t="s">
        <v>31</v>
      </c>
      <c r="R85" s="1">
        <v>46043</v>
      </c>
      <c r="S85" t="s">
        <v>32</v>
      </c>
      <c r="T85" s="2" t="s">
        <v>182</v>
      </c>
      <c r="U85" s="3">
        <v>45952</v>
      </c>
    </row>
    <row r="86" spans="1:21" ht="15.75" x14ac:dyDescent="0.25">
      <c r="A86" t="s">
        <v>20</v>
      </c>
      <c r="B86" t="s">
        <v>98</v>
      </c>
      <c r="C86" t="s">
        <v>99</v>
      </c>
      <c r="D86" t="s">
        <v>162</v>
      </c>
      <c r="E86" t="s">
        <v>48</v>
      </c>
      <c r="F86" t="s">
        <v>37</v>
      </c>
      <c r="G86" t="s">
        <v>101</v>
      </c>
      <c r="H86" s="34" t="s">
        <v>27</v>
      </c>
      <c r="I86" s="34" t="s">
        <v>28</v>
      </c>
      <c r="J86">
        <v>419</v>
      </c>
      <c r="K86" t="s">
        <v>29</v>
      </c>
      <c r="L86">
        <v>20</v>
      </c>
      <c r="M86" s="28">
        <v>0</v>
      </c>
      <c r="N86" s="36">
        <f t="shared" si="2"/>
        <v>0</v>
      </c>
      <c r="O86" s="21">
        <v>0</v>
      </c>
      <c r="P86" t="s">
        <v>30</v>
      </c>
      <c r="Q86" t="s">
        <v>31</v>
      </c>
      <c r="R86" s="1">
        <v>46043</v>
      </c>
      <c r="S86" t="s">
        <v>32</v>
      </c>
      <c r="T86" s="2" t="s">
        <v>182</v>
      </c>
      <c r="U86" s="3">
        <v>45952</v>
      </c>
    </row>
    <row r="87" spans="1:21" ht="15.75" x14ac:dyDescent="0.25">
      <c r="A87" t="s">
        <v>20</v>
      </c>
      <c r="B87" t="s">
        <v>98</v>
      </c>
      <c r="C87" t="s">
        <v>99</v>
      </c>
      <c r="D87" t="s">
        <v>162</v>
      </c>
      <c r="E87" t="s">
        <v>48</v>
      </c>
      <c r="F87" t="s">
        <v>37</v>
      </c>
      <c r="G87" t="s">
        <v>100</v>
      </c>
      <c r="H87" s="34" t="s">
        <v>27</v>
      </c>
      <c r="I87" s="34" t="s">
        <v>28</v>
      </c>
      <c r="J87">
        <v>419</v>
      </c>
      <c r="K87" t="s">
        <v>29</v>
      </c>
      <c r="L87">
        <v>20</v>
      </c>
      <c r="M87" s="28">
        <v>0</v>
      </c>
      <c r="N87" s="36">
        <f t="shared" si="2"/>
        <v>0</v>
      </c>
      <c r="O87" s="21">
        <v>0</v>
      </c>
      <c r="P87" t="s">
        <v>30</v>
      </c>
      <c r="Q87" t="s">
        <v>31</v>
      </c>
      <c r="R87" s="1">
        <v>46043</v>
      </c>
      <c r="S87" t="s">
        <v>32</v>
      </c>
      <c r="T87" s="2" t="s">
        <v>182</v>
      </c>
      <c r="U87" s="3">
        <v>45952</v>
      </c>
    </row>
    <row r="88" spans="1:21" ht="15.75" x14ac:dyDescent="0.25">
      <c r="A88" t="s">
        <v>20</v>
      </c>
      <c r="B88" t="s">
        <v>183</v>
      </c>
      <c r="C88" t="s">
        <v>184</v>
      </c>
      <c r="D88" t="s">
        <v>162</v>
      </c>
      <c r="E88" t="s">
        <v>48</v>
      </c>
      <c r="F88" t="s">
        <v>59</v>
      </c>
      <c r="G88" t="s">
        <v>45</v>
      </c>
      <c r="H88" s="34" t="s">
        <v>27</v>
      </c>
      <c r="I88" s="34" t="s">
        <v>28</v>
      </c>
      <c r="J88">
        <v>420</v>
      </c>
      <c r="K88" t="s">
        <v>29</v>
      </c>
      <c r="L88">
        <v>20</v>
      </c>
      <c r="M88" s="28">
        <v>0</v>
      </c>
      <c r="N88" s="36">
        <f t="shared" si="2"/>
        <v>0</v>
      </c>
      <c r="O88" s="21">
        <v>0</v>
      </c>
      <c r="P88" t="s">
        <v>30</v>
      </c>
      <c r="Q88" t="s">
        <v>31</v>
      </c>
      <c r="R88" s="1">
        <v>46037</v>
      </c>
      <c r="S88" t="s">
        <v>32</v>
      </c>
      <c r="T88" s="2" t="s">
        <v>185</v>
      </c>
      <c r="U88" s="3">
        <v>45933</v>
      </c>
    </row>
    <row r="89" spans="1:21" ht="15.75" x14ac:dyDescent="0.25">
      <c r="A89" t="s">
        <v>20</v>
      </c>
      <c r="B89" t="s">
        <v>183</v>
      </c>
      <c r="C89" t="s">
        <v>184</v>
      </c>
      <c r="D89" t="s">
        <v>162</v>
      </c>
      <c r="E89" t="s">
        <v>48</v>
      </c>
      <c r="F89" t="s">
        <v>59</v>
      </c>
      <c r="G89" t="s">
        <v>186</v>
      </c>
      <c r="H89" s="34" t="s">
        <v>27</v>
      </c>
      <c r="I89" s="34" t="s">
        <v>28</v>
      </c>
      <c r="J89">
        <v>420</v>
      </c>
      <c r="K89" t="s">
        <v>29</v>
      </c>
      <c r="L89">
        <v>5</v>
      </c>
      <c r="M89" s="28">
        <v>0</v>
      </c>
      <c r="N89" s="36">
        <f t="shared" si="2"/>
        <v>0</v>
      </c>
      <c r="O89" s="21">
        <v>0</v>
      </c>
      <c r="P89" t="s">
        <v>30</v>
      </c>
      <c r="Q89" t="s">
        <v>31</v>
      </c>
      <c r="R89" s="1">
        <v>46037</v>
      </c>
      <c r="S89" t="s">
        <v>32</v>
      </c>
      <c r="T89" s="2" t="s">
        <v>185</v>
      </c>
      <c r="U89" s="3">
        <v>45933</v>
      </c>
    </row>
    <row r="90" spans="1:21" ht="15.75" x14ac:dyDescent="0.25">
      <c r="A90" t="s">
        <v>20</v>
      </c>
      <c r="B90" t="s">
        <v>183</v>
      </c>
      <c r="C90" t="s">
        <v>184</v>
      </c>
      <c r="D90" t="s">
        <v>162</v>
      </c>
      <c r="E90" t="s">
        <v>48</v>
      </c>
      <c r="F90" t="s">
        <v>59</v>
      </c>
      <c r="G90" t="s">
        <v>123</v>
      </c>
      <c r="H90" s="34" t="s">
        <v>27</v>
      </c>
      <c r="I90" s="34" t="s">
        <v>28</v>
      </c>
      <c r="J90">
        <v>420</v>
      </c>
      <c r="K90" t="s">
        <v>29</v>
      </c>
      <c r="L90">
        <v>40</v>
      </c>
      <c r="M90" s="28">
        <v>0</v>
      </c>
      <c r="N90" s="36">
        <f t="shared" si="2"/>
        <v>0</v>
      </c>
      <c r="O90" s="21">
        <v>0</v>
      </c>
      <c r="P90" t="s">
        <v>30</v>
      </c>
      <c r="Q90" t="s">
        <v>31</v>
      </c>
      <c r="R90" s="1">
        <v>46037</v>
      </c>
      <c r="S90" t="s">
        <v>32</v>
      </c>
      <c r="T90" s="2" t="s">
        <v>185</v>
      </c>
      <c r="U90" s="3">
        <v>45933</v>
      </c>
    </row>
    <row r="91" spans="1:21" ht="15.75" x14ac:dyDescent="0.25">
      <c r="A91" t="s">
        <v>20</v>
      </c>
      <c r="B91" t="s">
        <v>187</v>
      </c>
      <c r="C91" t="s">
        <v>188</v>
      </c>
      <c r="D91" t="s">
        <v>162</v>
      </c>
      <c r="E91" t="s">
        <v>48</v>
      </c>
      <c r="F91" t="s">
        <v>59</v>
      </c>
      <c r="G91" t="s">
        <v>100</v>
      </c>
      <c r="H91" s="34" t="s">
        <v>27</v>
      </c>
      <c r="I91" s="34" t="s">
        <v>28</v>
      </c>
      <c r="J91">
        <v>421</v>
      </c>
      <c r="K91" t="s">
        <v>29</v>
      </c>
      <c r="L91">
        <v>20</v>
      </c>
      <c r="M91" s="28">
        <v>0</v>
      </c>
      <c r="N91" s="36">
        <f t="shared" si="2"/>
        <v>0</v>
      </c>
      <c r="O91" s="21">
        <v>0</v>
      </c>
      <c r="P91" t="s">
        <v>30</v>
      </c>
      <c r="Q91" t="s">
        <v>31</v>
      </c>
      <c r="R91" s="1">
        <v>46037</v>
      </c>
      <c r="S91" t="s">
        <v>32</v>
      </c>
      <c r="T91" s="2" t="s">
        <v>189</v>
      </c>
      <c r="U91" s="3">
        <v>45974</v>
      </c>
    </row>
    <row r="92" spans="1:21" ht="15.75" x14ac:dyDescent="0.25">
      <c r="A92" t="s">
        <v>20</v>
      </c>
      <c r="B92" t="s">
        <v>187</v>
      </c>
      <c r="C92" t="s">
        <v>188</v>
      </c>
      <c r="D92" t="s">
        <v>162</v>
      </c>
      <c r="E92" t="s">
        <v>48</v>
      </c>
      <c r="F92" t="s">
        <v>59</v>
      </c>
      <c r="G92" t="s">
        <v>180</v>
      </c>
      <c r="H92" s="34" t="s">
        <v>27</v>
      </c>
      <c r="I92" s="34" t="s">
        <v>28</v>
      </c>
      <c r="J92">
        <v>421</v>
      </c>
      <c r="K92" t="s">
        <v>29</v>
      </c>
      <c r="L92">
        <v>10</v>
      </c>
      <c r="M92" s="28">
        <v>0</v>
      </c>
      <c r="N92" s="36">
        <f t="shared" si="2"/>
        <v>0</v>
      </c>
      <c r="O92" s="21">
        <v>0</v>
      </c>
      <c r="P92" t="s">
        <v>30</v>
      </c>
      <c r="Q92" t="s">
        <v>31</v>
      </c>
      <c r="R92" s="1">
        <v>46037</v>
      </c>
      <c r="S92" t="s">
        <v>32</v>
      </c>
      <c r="T92" s="2" t="s">
        <v>189</v>
      </c>
      <c r="U92" s="3">
        <v>45974</v>
      </c>
    </row>
    <row r="93" spans="1:21" ht="15.75" x14ac:dyDescent="0.25">
      <c r="A93" t="s">
        <v>20</v>
      </c>
      <c r="B93" t="s">
        <v>190</v>
      </c>
      <c r="C93" t="s">
        <v>191</v>
      </c>
      <c r="D93" t="s">
        <v>162</v>
      </c>
      <c r="E93" t="s">
        <v>48</v>
      </c>
      <c r="F93" t="s">
        <v>59</v>
      </c>
      <c r="G93" t="s">
        <v>126</v>
      </c>
      <c r="H93" s="34" t="s">
        <v>27</v>
      </c>
      <c r="I93" s="34" t="s">
        <v>28</v>
      </c>
      <c r="J93">
        <v>422</v>
      </c>
      <c r="K93" t="s">
        <v>29</v>
      </c>
      <c r="L93">
        <v>5</v>
      </c>
      <c r="M93" s="28">
        <v>0</v>
      </c>
      <c r="N93" s="36">
        <f t="shared" si="2"/>
        <v>0</v>
      </c>
      <c r="O93" s="21">
        <v>0</v>
      </c>
      <c r="P93" t="s">
        <v>30</v>
      </c>
      <c r="Q93" t="s">
        <v>31</v>
      </c>
      <c r="R93" s="1">
        <v>46041</v>
      </c>
      <c r="S93" t="s">
        <v>32</v>
      </c>
      <c r="T93" s="2" t="s">
        <v>192</v>
      </c>
      <c r="U93" s="3">
        <v>45980</v>
      </c>
    </row>
    <row r="94" spans="1:21" ht="15.75" x14ac:dyDescent="0.25">
      <c r="A94" t="s">
        <v>20</v>
      </c>
      <c r="B94" t="s">
        <v>190</v>
      </c>
      <c r="C94" t="s">
        <v>191</v>
      </c>
      <c r="D94" t="s">
        <v>162</v>
      </c>
      <c r="E94" t="s">
        <v>48</v>
      </c>
      <c r="F94" t="s">
        <v>59</v>
      </c>
      <c r="G94" t="s">
        <v>193</v>
      </c>
      <c r="H94" s="34" t="s">
        <v>27</v>
      </c>
      <c r="I94" s="34" t="s">
        <v>28</v>
      </c>
      <c r="J94">
        <v>422</v>
      </c>
      <c r="K94" t="s">
        <v>29</v>
      </c>
      <c r="L94">
        <v>5</v>
      </c>
      <c r="M94" s="28">
        <v>0</v>
      </c>
      <c r="N94" s="36">
        <f t="shared" si="2"/>
        <v>0</v>
      </c>
      <c r="O94" s="21">
        <v>0</v>
      </c>
      <c r="P94" t="s">
        <v>30</v>
      </c>
      <c r="Q94" t="s">
        <v>31</v>
      </c>
      <c r="R94" s="1">
        <v>46041</v>
      </c>
      <c r="S94" t="s">
        <v>32</v>
      </c>
      <c r="T94" s="2" t="s">
        <v>192</v>
      </c>
      <c r="U94" s="3">
        <v>45980</v>
      </c>
    </row>
    <row r="95" spans="1:21" ht="15.75" x14ac:dyDescent="0.25">
      <c r="A95" t="s">
        <v>20</v>
      </c>
      <c r="B95" t="s">
        <v>194</v>
      </c>
      <c r="C95" t="s">
        <v>195</v>
      </c>
      <c r="D95" t="s">
        <v>162</v>
      </c>
      <c r="E95" t="s">
        <v>196</v>
      </c>
      <c r="F95" t="s">
        <v>55</v>
      </c>
      <c r="G95" t="s">
        <v>197</v>
      </c>
      <c r="H95" s="34" t="s">
        <v>27</v>
      </c>
      <c r="I95" s="34" t="s">
        <v>28</v>
      </c>
      <c r="J95">
        <v>423</v>
      </c>
      <c r="K95" t="s">
        <v>29</v>
      </c>
      <c r="L95">
        <v>500</v>
      </c>
      <c r="M95" s="46">
        <v>0</v>
      </c>
      <c r="N95" s="36">
        <f t="shared" si="2"/>
        <v>0</v>
      </c>
      <c r="O95" s="21">
        <v>0</v>
      </c>
      <c r="P95" t="s">
        <v>30</v>
      </c>
      <c r="Q95" t="s">
        <v>31</v>
      </c>
      <c r="R95" s="1">
        <v>46052</v>
      </c>
      <c r="S95" t="s">
        <v>32</v>
      </c>
      <c r="T95" s="2" t="s">
        <v>185</v>
      </c>
      <c r="U95" s="3">
        <v>45933</v>
      </c>
    </row>
    <row r="96" spans="1:21" ht="15.75" x14ac:dyDescent="0.25">
      <c r="A96" t="s">
        <v>20</v>
      </c>
      <c r="B96" t="s">
        <v>52</v>
      </c>
      <c r="C96" t="s">
        <v>53</v>
      </c>
      <c r="D96" t="s">
        <v>162</v>
      </c>
      <c r="E96" t="s">
        <v>48</v>
      </c>
      <c r="F96" t="s">
        <v>55</v>
      </c>
      <c r="G96" t="s">
        <v>198</v>
      </c>
      <c r="H96" t="s">
        <v>27</v>
      </c>
      <c r="I96" s="34" t="s">
        <v>28</v>
      </c>
      <c r="J96">
        <v>436</v>
      </c>
      <c r="K96" t="s">
        <v>7</v>
      </c>
      <c r="L96">
        <v>45</v>
      </c>
      <c r="M96" s="46">
        <v>0</v>
      </c>
      <c r="N96" s="36">
        <f t="shared" si="2"/>
        <v>0</v>
      </c>
      <c r="O96" s="21">
        <v>0</v>
      </c>
      <c r="P96" t="s">
        <v>30</v>
      </c>
      <c r="Q96" t="s">
        <v>31</v>
      </c>
      <c r="R96" s="1">
        <v>46121</v>
      </c>
      <c r="S96" t="s">
        <v>32</v>
      </c>
      <c r="T96" s="2" t="s">
        <v>199</v>
      </c>
      <c r="U96" s="3">
        <v>46034</v>
      </c>
    </row>
    <row r="97" spans="1:21" ht="15.75" x14ac:dyDescent="0.25">
      <c r="A97" t="s">
        <v>20</v>
      </c>
      <c r="B97" t="s">
        <v>200</v>
      </c>
      <c r="C97" t="s">
        <v>201</v>
      </c>
      <c r="D97" t="s">
        <v>162</v>
      </c>
      <c r="E97" t="s">
        <v>41</v>
      </c>
      <c r="F97" t="s">
        <v>37</v>
      </c>
      <c r="G97" t="s">
        <v>202</v>
      </c>
      <c r="H97" t="s">
        <v>27</v>
      </c>
      <c r="I97" s="34" t="s">
        <v>65</v>
      </c>
      <c r="J97">
        <v>142</v>
      </c>
      <c r="K97" t="s">
        <v>124</v>
      </c>
      <c r="L97">
        <v>200</v>
      </c>
      <c r="M97" s="28">
        <v>900000</v>
      </c>
      <c r="N97" s="36">
        <f t="shared" si="2"/>
        <v>4500</v>
      </c>
      <c r="O97" s="21">
        <v>967.74193548387098</v>
      </c>
      <c r="P97" t="s">
        <v>30</v>
      </c>
      <c r="Q97" t="s">
        <v>31</v>
      </c>
      <c r="R97" s="1">
        <v>46123</v>
      </c>
      <c r="S97" t="s">
        <v>32</v>
      </c>
      <c r="T97" s="2"/>
      <c r="U97" s="2"/>
    </row>
    <row r="98" spans="1:21" ht="15.75" x14ac:dyDescent="0.25">
      <c r="A98" t="s">
        <v>20</v>
      </c>
      <c r="B98" t="s">
        <v>52</v>
      </c>
      <c r="C98" t="s">
        <v>53</v>
      </c>
      <c r="D98" t="s">
        <v>162</v>
      </c>
      <c r="E98" t="s">
        <v>48</v>
      </c>
      <c r="F98" t="s">
        <v>55</v>
      </c>
      <c r="G98" t="s">
        <v>198</v>
      </c>
      <c r="H98" t="s">
        <v>27</v>
      </c>
      <c r="I98" s="34" t="s">
        <v>65</v>
      </c>
      <c r="J98">
        <v>143</v>
      </c>
      <c r="K98" t="s">
        <v>7</v>
      </c>
      <c r="L98">
        <v>45</v>
      </c>
      <c r="M98" s="46">
        <v>1575000</v>
      </c>
      <c r="N98" s="36">
        <f t="shared" si="2"/>
        <v>35000</v>
      </c>
      <c r="O98" s="21">
        <v>1693.5483870967741</v>
      </c>
      <c r="P98" t="s">
        <v>30</v>
      </c>
      <c r="Q98" t="s">
        <v>31</v>
      </c>
      <c r="R98" s="1">
        <v>46121</v>
      </c>
      <c r="S98" t="s">
        <v>32</v>
      </c>
      <c r="T98" s="2"/>
      <c r="U98" s="2"/>
    </row>
    <row r="99" spans="1:21" ht="15.75" x14ac:dyDescent="0.25">
      <c r="A99" t="s">
        <v>20</v>
      </c>
      <c r="B99" t="s">
        <v>203</v>
      </c>
      <c r="C99" t="s">
        <v>204</v>
      </c>
      <c r="D99" t="s">
        <v>205</v>
      </c>
      <c r="E99" t="s">
        <v>41</v>
      </c>
      <c r="F99" t="s">
        <v>37</v>
      </c>
      <c r="G99" t="s">
        <v>206</v>
      </c>
      <c r="H99" s="34" t="s">
        <v>27</v>
      </c>
      <c r="I99" t="s">
        <v>28</v>
      </c>
      <c r="J99">
        <v>424</v>
      </c>
      <c r="K99" t="s">
        <v>7</v>
      </c>
      <c r="L99">
        <v>10</v>
      </c>
      <c r="M99" s="28">
        <v>0</v>
      </c>
      <c r="N99" s="36">
        <f t="shared" si="2"/>
        <v>0</v>
      </c>
      <c r="O99" s="21">
        <v>0</v>
      </c>
      <c r="P99" t="s">
        <v>30</v>
      </c>
      <c r="Q99" t="s">
        <v>31</v>
      </c>
      <c r="R99" s="1">
        <v>46037</v>
      </c>
      <c r="S99" t="s">
        <v>32</v>
      </c>
      <c r="T99" s="2" t="s">
        <v>207</v>
      </c>
      <c r="U99" s="3">
        <v>45988</v>
      </c>
    </row>
    <row r="100" spans="1:21" ht="15.75" x14ac:dyDescent="0.25">
      <c r="A100" t="s">
        <v>20</v>
      </c>
      <c r="B100" t="s">
        <v>208</v>
      </c>
      <c r="C100" t="s">
        <v>209</v>
      </c>
      <c r="D100" t="s">
        <v>205</v>
      </c>
      <c r="E100" s="38" t="s">
        <v>24</v>
      </c>
      <c r="F100" t="s">
        <v>55</v>
      </c>
      <c r="G100" t="s">
        <v>26</v>
      </c>
      <c r="H100" s="34" t="s">
        <v>27</v>
      </c>
      <c r="I100" t="s">
        <v>28</v>
      </c>
      <c r="J100">
        <v>425</v>
      </c>
      <c r="K100" t="s">
        <v>29</v>
      </c>
      <c r="L100">
        <v>180</v>
      </c>
      <c r="M100" s="46">
        <v>0</v>
      </c>
      <c r="N100" s="36">
        <f t="shared" si="2"/>
        <v>0</v>
      </c>
      <c r="O100" s="21">
        <v>0</v>
      </c>
      <c r="P100" t="s">
        <v>30</v>
      </c>
      <c r="Q100" t="s">
        <v>31</v>
      </c>
      <c r="R100" s="1">
        <v>46037</v>
      </c>
      <c r="S100" t="s">
        <v>32</v>
      </c>
      <c r="T100" s="2" t="s">
        <v>210</v>
      </c>
      <c r="U100" s="3">
        <v>45730</v>
      </c>
    </row>
    <row r="101" spans="1:21" ht="15.75" x14ac:dyDescent="0.25">
      <c r="A101" t="s">
        <v>20</v>
      </c>
      <c r="B101" t="s">
        <v>211</v>
      </c>
      <c r="C101" t="s">
        <v>212</v>
      </c>
      <c r="D101" t="s">
        <v>205</v>
      </c>
      <c r="E101" t="s">
        <v>48</v>
      </c>
      <c r="F101" t="s">
        <v>59</v>
      </c>
      <c r="G101" t="s">
        <v>213</v>
      </c>
      <c r="H101" t="s">
        <v>27</v>
      </c>
      <c r="I101" t="s">
        <v>28</v>
      </c>
      <c r="J101">
        <v>426</v>
      </c>
      <c r="K101" t="s">
        <v>29</v>
      </c>
      <c r="L101">
        <v>5</v>
      </c>
      <c r="M101" s="28">
        <v>40125</v>
      </c>
      <c r="N101" s="36">
        <f t="shared" si="2"/>
        <v>8025</v>
      </c>
      <c r="O101" s="21">
        <v>43.145161290322584</v>
      </c>
      <c r="P101" t="s">
        <v>30</v>
      </c>
      <c r="Q101" t="s">
        <v>31</v>
      </c>
      <c r="R101" s="1">
        <v>46035</v>
      </c>
      <c r="S101" t="s">
        <v>32</v>
      </c>
      <c r="T101" s="2"/>
      <c r="U101" s="2"/>
    </row>
    <row r="102" spans="1:21" ht="15.75" x14ac:dyDescent="0.25">
      <c r="A102" t="s">
        <v>20</v>
      </c>
      <c r="B102" t="s">
        <v>211</v>
      </c>
      <c r="C102" t="s">
        <v>212</v>
      </c>
      <c r="D102" t="s">
        <v>205</v>
      </c>
      <c r="E102" t="s">
        <v>48</v>
      </c>
      <c r="F102" t="s">
        <v>59</v>
      </c>
      <c r="G102" t="s">
        <v>214</v>
      </c>
      <c r="H102" t="s">
        <v>27</v>
      </c>
      <c r="I102" t="s">
        <v>28</v>
      </c>
      <c r="J102">
        <v>426</v>
      </c>
      <c r="K102" t="s">
        <v>29</v>
      </c>
      <c r="L102">
        <v>1</v>
      </c>
      <c r="M102" s="28">
        <v>8025</v>
      </c>
      <c r="N102" s="36">
        <f t="shared" si="2"/>
        <v>8025</v>
      </c>
      <c r="O102" s="21">
        <v>8.629032258064516</v>
      </c>
      <c r="P102" t="s">
        <v>30</v>
      </c>
      <c r="Q102" t="s">
        <v>31</v>
      </c>
      <c r="R102" s="1">
        <v>46035</v>
      </c>
      <c r="S102" t="s">
        <v>32</v>
      </c>
      <c r="T102" s="2"/>
      <c r="U102" s="2"/>
    </row>
    <row r="103" spans="1:21" ht="15.75" x14ac:dyDescent="0.25">
      <c r="A103" t="s">
        <v>20</v>
      </c>
      <c r="B103" t="s">
        <v>39</v>
      </c>
      <c r="C103" t="s">
        <v>40</v>
      </c>
      <c r="D103" t="s">
        <v>205</v>
      </c>
      <c r="E103" t="s">
        <v>41</v>
      </c>
      <c r="F103" t="s">
        <v>37</v>
      </c>
      <c r="G103" t="s">
        <v>215</v>
      </c>
      <c r="H103" t="s">
        <v>27</v>
      </c>
      <c r="I103" t="s">
        <v>28</v>
      </c>
      <c r="J103">
        <v>427</v>
      </c>
      <c r="K103" t="s">
        <v>124</v>
      </c>
      <c r="L103">
        <v>40</v>
      </c>
      <c r="M103" s="28">
        <v>100000</v>
      </c>
      <c r="N103" s="36">
        <f t="shared" si="2"/>
        <v>2500</v>
      </c>
      <c r="O103" s="21">
        <v>107.52688172043011</v>
      </c>
      <c r="P103" t="s">
        <v>30</v>
      </c>
      <c r="Q103" t="s">
        <v>31</v>
      </c>
      <c r="R103" s="1">
        <v>46035</v>
      </c>
      <c r="S103" t="s">
        <v>32</v>
      </c>
      <c r="T103" s="2"/>
      <c r="U103" s="2"/>
    </row>
    <row r="104" spans="1:21" ht="15.75" x14ac:dyDescent="0.25">
      <c r="A104" t="s">
        <v>20</v>
      </c>
      <c r="B104" t="s">
        <v>39</v>
      </c>
      <c r="C104" t="s">
        <v>40</v>
      </c>
      <c r="D104" t="s">
        <v>205</v>
      </c>
      <c r="E104" t="s">
        <v>41</v>
      </c>
      <c r="F104" t="s">
        <v>37</v>
      </c>
      <c r="G104" t="s">
        <v>216</v>
      </c>
      <c r="H104" t="s">
        <v>27</v>
      </c>
      <c r="I104" t="s">
        <v>28</v>
      </c>
      <c r="J104">
        <v>427</v>
      </c>
      <c r="K104" t="s">
        <v>124</v>
      </c>
      <c r="L104">
        <v>20</v>
      </c>
      <c r="M104" s="28">
        <v>160000</v>
      </c>
      <c r="N104" s="36">
        <f t="shared" si="2"/>
        <v>8000</v>
      </c>
      <c r="O104" s="21">
        <v>172.04301075268816</v>
      </c>
      <c r="P104" t="s">
        <v>30</v>
      </c>
      <c r="Q104" t="s">
        <v>31</v>
      </c>
      <c r="R104" s="1">
        <v>46035</v>
      </c>
      <c r="S104" t="s">
        <v>32</v>
      </c>
      <c r="T104" s="2"/>
      <c r="U104" s="2"/>
    </row>
    <row r="105" spans="1:21" ht="15.75" x14ac:dyDescent="0.25">
      <c r="A105" t="s">
        <v>20</v>
      </c>
      <c r="B105" t="s">
        <v>21</v>
      </c>
      <c r="C105" t="s">
        <v>22</v>
      </c>
      <c r="D105" t="s">
        <v>217</v>
      </c>
      <c r="E105" s="38" t="s">
        <v>24</v>
      </c>
      <c r="F105" t="s">
        <v>218</v>
      </c>
      <c r="G105" t="s">
        <v>219</v>
      </c>
      <c r="H105" t="s">
        <v>86</v>
      </c>
      <c r="I105" t="s">
        <v>28</v>
      </c>
      <c r="J105">
        <v>428</v>
      </c>
      <c r="K105" t="s">
        <v>7</v>
      </c>
      <c r="L105">
        <v>9</v>
      </c>
      <c r="M105" s="28">
        <v>0</v>
      </c>
      <c r="N105" s="36">
        <f t="shared" si="2"/>
        <v>0</v>
      </c>
      <c r="O105" s="21">
        <v>546.23763440860216</v>
      </c>
      <c r="P105" t="s">
        <v>30</v>
      </c>
      <c r="Q105" t="s">
        <v>31</v>
      </c>
      <c r="R105" s="1">
        <v>46036</v>
      </c>
      <c r="S105" t="s">
        <v>32</v>
      </c>
      <c r="T105" s="2"/>
      <c r="U105" s="2"/>
    </row>
    <row r="106" spans="1:21" ht="15.75" x14ac:dyDescent="0.25">
      <c r="A106" t="s">
        <v>20</v>
      </c>
      <c r="B106" t="s">
        <v>21</v>
      </c>
      <c r="C106" t="s">
        <v>22</v>
      </c>
      <c r="D106" t="s">
        <v>217</v>
      </c>
      <c r="E106" s="38" t="s">
        <v>24</v>
      </c>
      <c r="F106" t="s">
        <v>218</v>
      </c>
      <c r="G106" t="s">
        <v>220</v>
      </c>
      <c r="H106" t="s">
        <v>86</v>
      </c>
      <c r="I106" t="s">
        <v>28</v>
      </c>
      <c r="J106">
        <v>429</v>
      </c>
      <c r="K106" t="s">
        <v>7</v>
      </c>
      <c r="L106">
        <v>4</v>
      </c>
      <c r="M106" s="28">
        <v>0</v>
      </c>
      <c r="N106" s="36">
        <f t="shared" si="2"/>
        <v>0</v>
      </c>
      <c r="O106" s="21">
        <v>242.7720430107527</v>
      </c>
      <c r="P106" t="s">
        <v>30</v>
      </c>
      <c r="Q106" t="s">
        <v>31</v>
      </c>
      <c r="R106" s="1">
        <v>46036</v>
      </c>
      <c r="S106" t="s">
        <v>32</v>
      </c>
      <c r="T106" s="2"/>
      <c r="U106" s="2"/>
    </row>
    <row r="107" spans="1:21" ht="15.75" x14ac:dyDescent="0.25">
      <c r="A107" t="s">
        <v>20</v>
      </c>
      <c r="B107" t="s">
        <v>21</v>
      </c>
      <c r="C107" t="s">
        <v>22</v>
      </c>
      <c r="D107" t="s">
        <v>217</v>
      </c>
      <c r="E107" s="38" t="s">
        <v>24</v>
      </c>
      <c r="F107" t="s">
        <v>218</v>
      </c>
      <c r="G107" t="s">
        <v>221</v>
      </c>
      <c r="H107" t="s">
        <v>86</v>
      </c>
      <c r="I107" t="s">
        <v>28</v>
      </c>
      <c r="J107">
        <v>430</v>
      </c>
      <c r="K107" t="s">
        <v>7</v>
      </c>
      <c r="L107">
        <v>8</v>
      </c>
      <c r="M107" s="28">
        <v>0</v>
      </c>
      <c r="N107" s="36">
        <f t="shared" si="2"/>
        <v>0</v>
      </c>
      <c r="O107" s="21">
        <v>485.54408602150539</v>
      </c>
      <c r="P107" t="s">
        <v>30</v>
      </c>
      <c r="Q107" t="s">
        <v>31</v>
      </c>
      <c r="R107" s="1">
        <v>46036</v>
      </c>
      <c r="S107" t="s">
        <v>32</v>
      </c>
      <c r="T107" s="2"/>
      <c r="U107" s="2"/>
    </row>
    <row r="108" spans="1:21" ht="15.75" x14ac:dyDescent="0.25">
      <c r="A108" t="s">
        <v>20</v>
      </c>
      <c r="B108" t="s">
        <v>222</v>
      </c>
      <c r="C108" t="s">
        <v>223</v>
      </c>
      <c r="D108" t="s">
        <v>217</v>
      </c>
      <c r="E108" t="s">
        <v>48</v>
      </c>
      <c r="F108" s="34" t="s">
        <v>55</v>
      </c>
      <c r="G108" t="s">
        <v>224</v>
      </c>
      <c r="H108" t="s">
        <v>57</v>
      </c>
      <c r="I108" t="s">
        <v>28</v>
      </c>
      <c r="J108">
        <v>431</v>
      </c>
      <c r="K108" t="s">
        <v>29</v>
      </c>
      <c r="L108">
        <v>5</v>
      </c>
      <c r="M108" s="46">
        <v>30935</v>
      </c>
      <c r="N108" s="36">
        <f t="shared" si="2"/>
        <v>6187</v>
      </c>
      <c r="O108" s="21">
        <v>33.263440860215056</v>
      </c>
      <c r="P108" t="s">
        <v>30</v>
      </c>
      <c r="Q108" t="s">
        <v>31</v>
      </c>
      <c r="R108" s="1">
        <v>46036</v>
      </c>
      <c r="S108" t="s">
        <v>32</v>
      </c>
      <c r="T108" s="2"/>
      <c r="U108" s="2"/>
    </row>
    <row r="109" spans="1:21" ht="15.75" x14ac:dyDescent="0.25">
      <c r="A109" t="s">
        <v>20</v>
      </c>
      <c r="B109" t="s">
        <v>225</v>
      </c>
      <c r="C109" t="s">
        <v>226</v>
      </c>
      <c r="D109" t="s">
        <v>217</v>
      </c>
      <c r="E109" t="s">
        <v>48</v>
      </c>
      <c r="F109" t="s">
        <v>55</v>
      </c>
      <c r="G109" t="s">
        <v>227</v>
      </c>
      <c r="H109" t="s">
        <v>27</v>
      </c>
      <c r="I109" t="s">
        <v>28</v>
      </c>
      <c r="J109">
        <v>432</v>
      </c>
      <c r="K109" t="s">
        <v>29</v>
      </c>
      <c r="L109">
        <v>2</v>
      </c>
      <c r="M109" s="46">
        <v>30660</v>
      </c>
      <c r="N109" s="36">
        <f t="shared" si="2"/>
        <v>15330</v>
      </c>
      <c r="O109" s="21">
        <v>32.967741935483872</v>
      </c>
      <c r="P109" t="s">
        <v>30</v>
      </c>
      <c r="Q109" t="s">
        <v>31</v>
      </c>
      <c r="R109" s="1">
        <v>46126</v>
      </c>
      <c r="S109" t="s">
        <v>32</v>
      </c>
      <c r="T109" s="2"/>
      <c r="U109" s="2"/>
    </row>
    <row r="110" spans="1:21" ht="15.75" x14ac:dyDescent="0.25">
      <c r="A110" t="s">
        <v>20</v>
      </c>
      <c r="B110" t="s">
        <v>225</v>
      </c>
      <c r="C110" t="s">
        <v>226</v>
      </c>
      <c r="D110" t="s">
        <v>217</v>
      </c>
      <c r="E110" t="s">
        <v>48</v>
      </c>
      <c r="F110" t="s">
        <v>55</v>
      </c>
      <c r="G110" t="s">
        <v>228</v>
      </c>
      <c r="H110" t="s">
        <v>27</v>
      </c>
      <c r="I110" t="s">
        <v>28</v>
      </c>
      <c r="J110">
        <v>432</v>
      </c>
      <c r="K110" t="s">
        <v>29</v>
      </c>
      <c r="L110">
        <v>5</v>
      </c>
      <c r="M110" s="46">
        <v>22050</v>
      </c>
      <c r="N110" s="36">
        <f t="shared" si="2"/>
        <v>4410</v>
      </c>
      <c r="O110" s="21">
        <v>23.70967741935484</v>
      </c>
      <c r="P110" t="s">
        <v>30</v>
      </c>
      <c r="Q110" t="s">
        <v>31</v>
      </c>
      <c r="R110" s="1">
        <v>46126</v>
      </c>
      <c r="S110" t="s">
        <v>32</v>
      </c>
      <c r="T110" s="2"/>
      <c r="U110" s="2"/>
    </row>
    <row r="111" spans="1:21" ht="15.75" x14ac:dyDescent="0.25">
      <c r="A111" t="s">
        <v>20</v>
      </c>
      <c r="B111" t="s">
        <v>225</v>
      </c>
      <c r="C111" t="s">
        <v>226</v>
      </c>
      <c r="D111" t="s">
        <v>217</v>
      </c>
      <c r="E111" t="s">
        <v>48</v>
      </c>
      <c r="F111" t="s">
        <v>55</v>
      </c>
      <c r="G111" t="s">
        <v>229</v>
      </c>
      <c r="H111" t="s">
        <v>27</v>
      </c>
      <c r="I111" t="s">
        <v>28</v>
      </c>
      <c r="J111">
        <v>432</v>
      </c>
      <c r="K111" t="s">
        <v>29</v>
      </c>
      <c r="L111">
        <v>5</v>
      </c>
      <c r="M111" s="46">
        <v>22050</v>
      </c>
      <c r="N111" s="36">
        <f t="shared" si="2"/>
        <v>4410</v>
      </c>
      <c r="O111" s="21">
        <v>23.70967741935484</v>
      </c>
      <c r="P111" t="s">
        <v>30</v>
      </c>
      <c r="Q111" t="s">
        <v>31</v>
      </c>
      <c r="R111" s="1">
        <v>46126</v>
      </c>
      <c r="S111" t="s">
        <v>32</v>
      </c>
      <c r="T111" s="2"/>
      <c r="U111" s="2"/>
    </row>
    <row r="112" spans="1:21" ht="15.75" x14ac:dyDescent="0.25">
      <c r="A112" t="s">
        <v>20</v>
      </c>
      <c r="B112" t="s">
        <v>225</v>
      </c>
      <c r="C112" t="s">
        <v>226</v>
      </c>
      <c r="D112" t="s">
        <v>217</v>
      </c>
      <c r="E112" t="s">
        <v>48</v>
      </c>
      <c r="F112" t="s">
        <v>55</v>
      </c>
      <c r="G112" t="s">
        <v>230</v>
      </c>
      <c r="H112" t="s">
        <v>27</v>
      </c>
      <c r="I112" t="s">
        <v>28</v>
      </c>
      <c r="J112">
        <v>432</v>
      </c>
      <c r="K112" t="s">
        <v>29</v>
      </c>
      <c r="L112">
        <v>15</v>
      </c>
      <c r="M112" s="46">
        <v>87150</v>
      </c>
      <c r="N112" s="36">
        <f t="shared" si="2"/>
        <v>5810</v>
      </c>
      <c r="O112" s="21">
        <v>93.709677419354833</v>
      </c>
      <c r="P112" t="s">
        <v>30</v>
      </c>
      <c r="Q112" t="s">
        <v>31</v>
      </c>
      <c r="R112" s="1">
        <v>46126</v>
      </c>
      <c r="S112" t="s">
        <v>32</v>
      </c>
      <c r="T112" s="2"/>
      <c r="U112" s="2"/>
    </row>
    <row r="113" spans="1:21" ht="15.75" x14ac:dyDescent="0.25">
      <c r="A113" t="s">
        <v>20</v>
      </c>
      <c r="B113" t="s">
        <v>225</v>
      </c>
      <c r="C113" t="s">
        <v>226</v>
      </c>
      <c r="D113" t="s">
        <v>217</v>
      </c>
      <c r="E113" t="s">
        <v>48</v>
      </c>
      <c r="F113" t="s">
        <v>55</v>
      </c>
      <c r="G113" t="s">
        <v>131</v>
      </c>
      <c r="H113" t="s">
        <v>27</v>
      </c>
      <c r="I113" t="s">
        <v>28</v>
      </c>
      <c r="J113">
        <v>432</v>
      </c>
      <c r="K113" t="s">
        <v>29</v>
      </c>
      <c r="L113">
        <v>30</v>
      </c>
      <c r="M113" s="46">
        <v>132300</v>
      </c>
      <c r="N113" s="36">
        <f t="shared" si="2"/>
        <v>4410</v>
      </c>
      <c r="O113" s="21">
        <v>142.25806451612902</v>
      </c>
      <c r="P113" t="s">
        <v>30</v>
      </c>
      <c r="Q113" t="s">
        <v>31</v>
      </c>
      <c r="R113" s="1">
        <v>46126</v>
      </c>
      <c r="S113" t="s">
        <v>32</v>
      </c>
      <c r="T113" s="2"/>
      <c r="U113" s="2"/>
    </row>
    <row r="114" spans="1:21" ht="15.75" x14ac:dyDescent="0.25">
      <c r="A114" t="s">
        <v>20</v>
      </c>
      <c r="B114" t="s">
        <v>225</v>
      </c>
      <c r="C114" t="s">
        <v>226</v>
      </c>
      <c r="D114" t="s">
        <v>217</v>
      </c>
      <c r="E114" t="s">
        <v>48</v>
      </c>
      <c r="F114" t="s">
        <v>55</v>
      </c>
      <c r="G114" t="s">
        <v>231</v>
      </c>
      <c r="H114" t="s">
        <v>27</v>
      </c>
      <c r="I114" t="s">
        <v>28</v>
      </c>
      <c r="J114">
        <v>432</v>
      </c>
      <c r="K114" t="s">
        <v>29</v>
      </c>
      <c r="L114">
        <v>8</v>
      </c>
      <c r="M114" s="46">
        <v>46480</v>
      </c>
      <c r="N114" s="36">
        <f t="shared" si="2"/>
        <v>5810</v>
      </c>
      <c r="O114" s="21">
        <v>49.978494623655912</v>
      </c>
      <c r="P114" t="s">
        <v>30</v>
      </c>
      <c r="Q114" t="s">
        <v>31</v>
      </c>
      <c r="R114" s="1">
        <v>46126</v>
      </c>
      <c r="S114" t="s">
        <v>32</v>
      </c>
      <c r="T114" s="2"/>
      <c r="U114" s="2"/>
    </row>
    <row r="115" spans="1:21" ht="15.75" x14ac:dyDescent="0.25">
      <c r="A115" t="s">
        <v>20</v>
      </c>
      <c r="B115" t="s">
        <v>225</v>
      </c>
      <c r="C115" t="s">
        <v>226</v>
      </c>
      <c r="D115" t="s">
        <v>217</v>
      </c>
      <c r="E115" t="s">
        <v>48</v>
      </c>
      <c r="F115" t="s">
        <v>55</v>
      </c>
      <c r="G115" t="s">
        <v>129</v>
      </c>
      <c r="H115" t="s">
        <v>27</v>
      </c>
      <c r="I115" t="s">
        <v>28</v>
      </c>
      <c r="J115">
        <v>432</v>
      </c>
      <c r="K115" t="s">
        <v>29</v>
      </c>
      <c r="L115">
        <v>40</v>
      </c>
      <c r="M115" s="46">
        <v>176400</v>
      </c>
      <c r="N115" s="36">
        <f t="shared" si="2"/>
        <v>4410</v>
      </c>
      <c r="O115" s="21">
        <v>189.67741935483872</v>
      </c>
      <c r="P115" t="s">
        <v>30</v>
      </c>
      <c r="Q115" t="s">
        <v>31</v>
      </c>
      <c r="R115" s="1">
        <v>46126</v>
      </c>
      <c r="S115" t="s">
        <v>32</v>
      </c>
      <c r="T115" s="2"/>
      <c r="U115" s="2"/>
    </row>
    <row r="116" spans="1:21" ht="15.75" x14ac:dyDescent="0.25">
      <c r="A116" t="s">
        <v>20</v>
      </c>
      <c r="B116" t="s">
        <v>225</v>
      </c>
      <c r="C116" t="s">
        <v>226</v>
      </c>
      <c r="D116" t="s">
        <v>217</v>
      </c>
      <c r="E116" t="s">
        <v>48</v>
      </c>
      <c r="F116" t="s">
        <v>55</v>
      </c>
      <c r="G116" t="s">
        <v>100</v>
      </c>
      <c r="H116" t="s">
        <v>27</v>
      </c>
      <c r="I116" t="s">
        <v>28</v>
      </c>
      <c r="J116">
        <v>432</v>
      </c>
      <c r="K116" t="s">
        <v>29</v>
      </c>
      <c r="L116">
        <v>20</v>
      </c>
      <c r="M116" s="46">
        <v>82600</v>
      </c>
      <c r="N116" s="36">
        <f t="shared" si="2"/>
        <v>4130</v>
      </c>
      <c r="O116" s="21">
        <v>88.817204301075265</v>
      </c>
      <c r="P116" t="s">
        <v>30</v>
      </c>
      <c r="Q116" t="s">
        <v>31</v>
      </c>
      <c r="R116" s="1">
        <v>46126</v>
      </c>
      <c r="S116" t="s">
        <v>32</v>
      </c>
      <c r="T116" s="2"/>
      <c r="U116" s="2"/>
    </row>
    <row r="117" spans="1:21" ht="15.75" x14ac:dyDescent="0.25">
      <c r="A117" t="s">
        <v>20</v>
      </c>
      <c r="B117" t="s">
        <v>225</v>
      </c>
      <c r="C117" t="s">
        <v>226</v>
      </c>
      <c r="D117" t="s">
        <v>217</v>
      </c>
      <c r="E117" t="s">
        <v>48</v>
      </c>
      <c r="F117" t="s">
        <v>55</v>
      </c>
      <c r="G117" t="s">
        <v>232</v>
      </c>
      <c r="H117" t="s">
        <v>27</v>
      </c>
      <c r="I117" t="s">
        <v>28</v>
      </c>
      <c r="J117">
        <v>432</v>
      </c>
      <c r="K117" t="s">
        <v>29</v>
      </c>
      <c r="L117">
        <v>1</v>
      </c>
      <c r="M117" s="46">
        <v>6020</v>
      </c>
      <c r="N117" s="36">
        <f t="shared" si="2"/>
        <v>6020</v>
      </c>
      <c r="O117" s="21">
        <v>6.4731182795698921</v>
      </c>
      <c r="P117" t="s">
        <v>30</v>
      </c>
      <c r="Q117" t="s">
        <v>31</v>
      </c>
      <c r="R117" s="1">
        <v>46126</v>
      </c>
      <c r="S117" t="s">
        <v>32</v>
      </c>
      <c r="T117" s="2"/>
      <c r="U117" s="2"/>
    </row>
    <row r="118" spans="1:21" ht="15.75" x14ac:dyDescent="0.25">
      <c r="A118" t="s">
        <v>20</v>
      </c>
      <c r="B118" t="s">
        <v>225</v>
      </c>
      <c r="C118" t="s">
        <v>226</v>
      </c>
      <c r="D118" t="s">
        <v>217</v>
      </c>
      <c r="E118" t="s">
        <v>48</v>
      </c>
      <c r="F118" t="s">
        <v>55</v>
      </c>
      <c r="G118" t="s">
        <v>233</v>
      </c>
      <c r="H118" t="s">
        <v>27</v>
      </c>
      <c r="I118" t="s">
        <v>28</v>
      </c>
      <c r="J118">
        <v>432</v>
      </c>
      <c r="K118" t="s">
        <v>29</v>
      </c>
      <c r="L118">
        <v>1</v>
      </c>
      <c r="M118" s="46">
        <v>5810</v>
      </c>
      <c r="N118" s="36">
        <f t="shared" si="2"/>
        <v>5810</v>
      </c>
      <c r="O118" s="21">
        <v>6.247311827956989</v>
      </c>
      <c r="P118" t="s">
        <v>30</v>
      </c>
      <c r="Q118" t="s">
        <v>31</v>
      </c>
      <c r="R118" s="1">
        <v>46126</v>
      </c>
      <c r="S118" t="s">
        <v>32</v>
      </c>
      <c r="T118" s="2"/>
      <c r="U118" s="2"/>
    </row>
    <row r="119" spans="1:21" ht="15.75" x14ac:dyDescent="0.25">
      <c r="A119" t="s">
        <v>20</v>
      </c>
      <c r="B119" t="s">
        <v>225</v>
      </c>
      <c r="C119" t="s">
        <v>226</v>
      </c>
      <c r="D119" t="s">
        <v>217</v>
      </c>
      <c r="E119" t="s">
        <v>48</v>
      </c>
      <c r="F119" t="s">
        <v>55</v>
      </c>
      <c r="G119" t="s">
        <v>76</v>
      </c>
      <c r="H119" t="s">
        <v>27</v>
      </c>
      <c r="I119" t="s">
        <v>28</v>
      </c>
      <c r="J119">
        <v>433</v>
      </c>
      <c r="K119" t="s">
        <v>29</v>
      </c>
      <c r="L119">
        <v>5</v>
      </c>
      <c r="M119" s="46">
        <v>30275</v>
      </c>
      <c r="N119" s="36">
        <f t="shared" si="2"/>
        <v>6055</v>
      </c>
      <c r="O119" s="21">
        <v>32.553763440860216</v>
      </c>
      <c r="P119" t="s">
        <v>30</v>
      </c>
      <c r="Q119" t="s">
        <v>31</v>
      </c>
      <c r="R119" s="1">
        <v>46126</v>
      </c>
      <c r="S119" t="s">
        <v>32</v>
      </c>
      <c r="T119" s="2"/>
      <c r="U119" s="2"/>
    </row>
    <row r="120" spans="1:21" ht="15.75" x14ac:dyDescent="0.25">
      <c r="A120" t="s">
        <v>20</v>
      </c>
      <c r="B120" t="s">
        <v>225</v>
      </c>
      <c r="C120" t="s">
        <v>226</v>
      </c>
      <c r="D120" t="s">
        <v>217</v>
      </c>
      <c r="E120" t="s">
        <v>48</v>
      </c>
      <c r="F120" t="s">
        <v>55</v>
      </c>
      <c r="G120" t="s">
        <v>126</v>
      </c>
      <c r="H120" t="s">
        <v>27</v>
      </c>
      <c r="I120" t="s">
        <v>28</v>
      </c>
      <c r="J120">
        <v>433</v>
      </c>
      <c r="K120" t="s">
        <v>29</v>
      </c>
      <c r="L120">
        <v>15</v>
      </c>
      <c r="M120" s="46">
        <v>198450</v>
      </c>
      <c r="N120" s="36">
        <f t="shared" si="2"/>
        <v>13230</v>
      </c>
      <c r="O120" s="21">
        <v>213.38709677419354</v>
      </c>
      <c r="P120" t="s">
        <v>30</v>
      </c>
      <c r="Q120" t="s">
        <v>31</v>
      </c>
      <c r="R120" s="1">
        <v>46126</v>
      </c>
      <c r="S120" t="s">
        <v>32</v>
      </c>
      <c r="T120" s="2"/>
      <c r="U120" s="2"/>
    </row>
    <row r="121" spans="1:21" ht="15.75" x14ac:dyDescent="0.25">
      <c r="A121" t="s">
        <v>20</v>
      </c>
      <c r="B121" t="s">
        <v>225</v>
      </c>
      <c r="C121" t="s">
        <v>226</v>
      </c>
      <c r="D121" t="s">
        <v>217</v>
      </c>
      <c r="E121" t="s">
        <v>48</v>
      </c>
      <c r="F121" t="s">
        <v>55</v>
      </c>
      <c r="G121" t="s">
        <v>234</v>
      </c>
      <c r="H121" t="s">
        <v>27</v>
      </c>
      <c r="I121" t="s">
        <v>28</v>
      </c>
      <c r="J121">
        <v>433</v>
      </c>
      <c r="K121" t="s">
        <v>29</v>
      </c>
      <c r="L121">
        <v>4</v>
      </c>
      <c r="M121" s="46">
        <v>34160</v>
      </c>
      <c r="N121" s="36">
        <f t="shared" si="2"/>
        <v>8540</v>
      </c>
      <c r="O121" s="21">
        <v>36.731182795698928</v>
      </c>
      <c r="P121" t="s">
        <v>30</v>
      </c>
      <c r="Q121" t="s">
        <v>31</v>
      </c>
      <c r="R121" s="1">
        <v>46126</v>
      </c>
      <c r="S121" t="s">
        <v>32</v>
      </c>
      <c r="T121" s="2"/>
      <c r="U121" s="2"/>
    </row>
    <row r="122" spans="1:21" ht="15.75" x14ac:dyDescent="0.25">
      <c r="A122" t="s">
        <v>20</v>
      </c>
      <c r="B122" t="s">
        <v>225</v>
      </c>
      <c r="C122" t="s">
        <v>226</v>
      </c>
      <c r="D122" t="s">
        <v>217</v>
      </c>
      <c r="E122" t="s">
        <v>48</v>
      </c>
      <c r="F122" t="s">
        <v>55</v>
      </c>
      <c r="G122" t="s">
        <v>193</v>
      </c>
      <c r="H122" t="s">
        <v>27</v>
      </c>
      <c r="I122" t="s">
        <v>28</v>
      </c>
      <c r="J122">
        <v>433</v>
      </c>
      <c r="K122" t="s">
        <v>29</v>
      </c>
      <c r="L122">
        <v>10</v>
      </c>
      <c r="M122" s="46">
        <v>80500</v>
      </c>
      <c r="N122" s="36">
        <f t="shared" si="2"/>
        <v>8050</v>
      </c>
      <c r="O122" s="21">
        <v>86.55913978494624</v>
      </c>
      <c r="P122" t="s">
        <v>30</v>
      </c>
      <c r="Q122" t="s">
        <v>31</v>
      </c>
      <c r="R122" s="1">
        <v>46126</v>
      </c>
      <c r="S122" t="s">
        <v>32</v>
      </c>
      <c r="T122" s="2"/>
      <c r="U122" s="2"/>
    </row>
    <row r="123" spans="1:21" ht="15.75" x14ac:dyDescent="0.25">
      <c r="A123" t="s">
        <v>20</v>
      </c>
      <c r="B123" t="s">
        <v>225</v>
      </c>
      <c r="C123" t="s">
        <v>226</v>
      </c>
      <c r="D123" t="s">
        <v>217</v>
      </c>
      <c r="E123" t="s">
        <v>48</v>
      </c>
      <c r="F123" t="s">
        <v>55</v>
      </c>
      <c r="G123" t="s">
        <v>169</v>
      </c>
      <c r="H123" t="s">
        <v>27</v>
      </c>
      <c r="I123" t="s">
        <v>28</v>
      </c>
      <c r="J123">
        <v>433</v>
      </c>
      <c r="K123" t="s">
        <v>29</v>
      </c>
      <c r="L123">
        <v>3</v>
      </c>
      <c r="M123" s="46">
        <v>17430</v>
      </c>
      <c r="N123" s="36">
        <f t="shared" si="2"/>
        <v>5810</v>
      </c>
      <c r="O123" s="21">
        <v>18.741935483870968</v>
      </c>
      <c r="P123" t="s">
        <v>30</v>
      </c>
      <c r="Q123" t="s">
        <v>31</v>
      </c>
      <c r="R123" s="1">
        <v>46126</v>
      </c>
      <c r="S123" t="s">
        <v>32</v>
      </c>
      <c r="T123" s="2"/>
      <c r="U123" s="2"/>
    </row>
    <row r="124" spans="1:21" ht="15.75" x14ac:dyDescent="0.25">
      <c r="A124" t="s">
        <v>20</v>
      </c>
      <c r="B124" t="s">
        <v>225</v>
      </c>
      <c r="C124" t="s">
        <v>226</v>
      </c>
      <c r="D124" t="s">
        <v>217</v>
      </c>
      <c r="E124" t="s">
        <v>48</v>
      </c>
      <c r="F124" t="s">
        <v>55</v>
      </c>
      <c r="G124" t="s">
        <v>230</v>
      </c>
      <c r="H124" t="s">
        <v>27</v>
      </c>
      <c r="I124" t="s">
        <v>28</v>
      </c>
      <c r="J124">
        <v>433</v>
      </c>
      <c r="K124" t="s">
        <v>29</v>
      </c>
      <c r="L124">
        <v>15</v>
      </c>
      <c r="M124" s="46">
        <v>87150</v>
      </c>
      <c r="N124" s="36">
        <f t="shared" si="2"/>
        <v>5810</v>
      </c>
      <c r="O124" s="21">
        <v>93.709677419354833</v>
      </c>
      <c r="P124" t="s">
        <v>30</v>
      </c>
      <c r="Q124" t="s">
        <v>31</v>
      </c>
      <c r="R124" s="1">
        <v>46126</v>
      </c>
      <c r="S124" t="s">
        <v>32</v>
      </c>
      <c r="T124" s="2"/>
      <c r="U124" s="2"/>
    </row>
    <row r="125" spans="1:21" ht="15.75" x14ac:dyDescent="0.25">
      <c r="A125" t="s">
        <v>20</v>
      </c>
      <c r="B125" t="s">
        <v>225</v>
      </c>
      <c r="C125" t="s">
        <v>226</v>
      </c>
      <c r="D125" t="s">
        <v>217</v>
      </c>
      <c r="E125" t="s">
        <v>48</v>
      </c>
      <c r="F125" t="s">
        <v>55</v>
      </c>
      <c r="G125" t="s">
        <v>231</v>
      </c>
      <c r="H125" t="s">
        <v>27</v>
      </c>
      <c r="I125" t="s">
        <v>28</v>
      </c>
      <c r="J125">
        <v>433</v>
      </c>
      <c r="K125" t="s">
        <v>29</v>
      </c>
      <c r="L125">
        <v>27</v>
      </c>
      <c r="M125" s="46">
        <v>156870</v>
      </c>
      <c r="N125" s="36">
        <f t="shared" si="2"/>
        <v>5810</v>
      </c>
      <c r="O125" s="21">
        <v>168.67741935483872</v>
      </c>
      <c r="P125" t="s">
        <v>30</v>
      </c>
      <c r="Q125" t="s">
        <v>31</v>
      </c>
      <c r="R125" s="1">
        <v>46126</v>
      </c>
      <c r="S125" t="s">
        <v>32</v>
      </c>
      <c r="T125" s="2"/>
      <c r="U125" s="2"/>
    </row>
    <row r="126" spans="1:21" ht="15.75" x14ac:dyDescent="0.25">
      <c r="A126" t="s">
        <v>20</v>
      </c>
      <c r="B126" t="s">
        <v>225</v>
      </c>
      <c r="C126" t="s">
        <v>226</v>
      </c>
      <c r="D126" t="s">
        <v>217</v>
      </c>
      <c r="E126" t="s">
        <v>48</v>
      </c>
      <c r="F126" t="s">
        <v>55</v>
      </c>
      <c r="G126" t="s">
        <v>129</v>
      </c>
      <c r="H126" t="s">
        <v>27</v>
      </c>
      <c r="I126" t="s">
        <v>28</v>
      </c>
      <c r="J126">
        <v>433</v>
      </c>
      <c r="K126" t="s">
        <v>29</v>
      </c>
      <c r="L126">
        <v>60</v>
      </c>
      <c r="M126" s="46">
        <v>264600</v>
      </c>
      <c r="N126" s="36">
        <f t="shared" si="2"/>
        <v>4410</v>
      </c>
      <c r="O126" s="21">
        <v>284.51612903225805</v>
      </c>
      <c r="P126" t="s">
        <v>30</v>
      </c>
      <c r="Q126" t="s">
        <v>31</v>
      </c>
      <c r="R126" s="1">
        <v>46126</v>
      </c>
      <c r="S126" t="s">
        <v>32</v>
      </c>
      <c r="T126" s="2"/>
      <c r="U126" s="2"/>
    </row>
    <row r="127" spans="1:21" ht="15.75" x14ac:dyDescent="0.25">
      <c r="A127" t="s">
        <v>20</v>
      </c>
      <c r="B127" t="s">
        <v>225</v>
      </c>
      <c r="C127" t="s">
        <v>226</v>
      </c>
      <c r="D127" t="s">
        <v>217</v>
      </c>
      <c r="E127" t="s">
        <v>48</v>
      </c>
      <c r="F127" t="s">
        <v>55</v>
      </c>
      <c r="G127" t="s">
        <v>100</v>
      </c>
      <c r="H127" t="s">
        <v>27</v>
      </c>
      <c r="I127" t="s">
        <v>28</v>
      </c>
      <c r="J127">
        <v>433</v>
      </c>
      <c r="K127" t="s">
        <v>29</v>
      </c>
      <c r="L127">
        <v>40</v>
      </c>
      <c r="M127" s="46">
        <v>165200</v>
      </c>
      <c r="N127" s="36">
        <f t="shared" si="2"/>
        <v>4130</v>
      </c>
      <c r="O127" s="21">
        <v>177.63440860215053</v>
      </c>
      <c r="P127" t="s">
        <v>30</v>
      </c>
      <c r="Q127" t="s">
        <v>31</v>
      </c>
      <c r="R127" s="1">
        <v>46126</v>
      </c>
      <c r="S127" t="s">
        <v>32</v>
      </c>
      <c r="T127" s="2"/>
      <c r="U127" s="2"/>
    </row>
    <row r="128" spans="1:21" ht="15.75" x14ac:dyDescent="0.25">
      <c r="A128" t="s">
        <v>20</v>
      </c>
      <c r="B128" t="s">
        <v>225</v>
      </c>
      <c r="C128" t="s">
        <v>226</v>
      </c>
      <c r="D128" t="s">
        <v>217</v>
      </c>
      <c r="E128" t="s">
        <v>48</v>
      </c>
      <c r="F128" t="s">
        <v>55</v>
      </c>
      <c r="G128" t="s">
        <v>232</v>
      </c>
      <c r="H128" t="s">
        <v>27</v>
      </c>
      <c r="I128" t="s">
        <v>28</v>
      </c>
      <c r="J128">
        <v>433</v>
      </c>
      <c r="K128" t="s">
        <v>29</v>
      </c>
      <c r="L128">
        <v>8</v>
      </c>
      <c r="M128" s="46">
        <v>48160</v>
      </c>
      <c r="N128" s="36">
        <f t="shared" si="2"/>
        <v>6020</v>
      </c>
      <c r="O128" s="21">
        <v>51.784946236559136</v>
      </c>
      <c r="P128" t="s">
        <v>30</v>
      </c>
      <c r="Q128" t="s">
        <v>31</v>
      </c>
      <c r="R128" s="1">
        <v>46126</v>
      </c>
      <c r="S128" t="s">
        <v>32</v>
      </c>
      <c r="T128" s="2"/>
      <c r="U128" s="2"/>
    </row>
    <row r="129" spans="1:21" ht="15.75" x14ac:dyDescent="0.25">
      <c r="A129" t="s">
        <v>20</v>
      </c>
      <c r="B129" t="s">
        <v>225</v>
      </c>
      <c r="C129" t="s">
        <v>226</v>
      </c>
      <c r="D129" t="s">
        <v>217</v>
      </c>
      <c r="E129" t="s">
        <v>48</v>
      </c>
      <c r="F129" t="s">
        <v>55</v>
      </c>
      <c r="G129" t="s">
        <v>235</v>
      </c>
      <c r="H129" t="s">
        <v>27</v>
      </c>
      <c r="I129" t="s">
        <v>28</v>
      </c>
      <c r="J129">
        <v>433</v>
      </c>
      <c r="K129" t="s">
        <v>29</v>
      </c>
      <c r="L129">
        <v>20</v>
      </c>
      <c r="M129" s="46">
        <v>86800</v>
      </c>
      <c r="N129" s="36">
        <f t="shared" si="2"/>
        <v>4340</v>
      </c>
      <c r="O129" s="21">
        <v>93.333333333333329</v>
      </c>
      <c r="P129" t="s">
        <v>30</v>
      </c>
      <c r="Q129" t="s">
        <v>31</v>
      </c>
      <c r="R129" s="1">
        <v>46126</v>
      </c>
      <c r="S129" t="s">
        <v>32</v>
      </c>
      <c r="T129" s="2"/>
      <c r="U129" s="2"/>
    </row>
    <row r="130" spans="1:21" ht="15.75" x14ac:dyDescent="0.25">
      <c r="A130" t="s">
        <v>20</v>
      </c>
      <c r="B130" t="s">
        <v>225</v>
      </c>
      <c r="C130" t="s">
        <v>226</v>
      </c>
      <c r="D130" t="s">
        <v>217</v>
      </c>
      <c r="E130" t="s">
        <v>48</v>
      </c>
      <c r="F130" t="s">
        <v>55</v>
      </c>
      <c r="G130" t="s">
        <v>131</v>
      </c>
      <c r="H130" t="s">
        <v>27</v>
      </c>
      <c r="I130" t="s">
        <v>28</v>
      </c>
      <c r="J130">
        <v>433</v>
      </c>
      <c r="K130" t="s">
        <v>29</v>
      </c>
      <c r="L130">
        <v>20</v>
      </c>
      <c r="M130" s="46">
        <v>88200</v>
      </c>
      <c r="N130" s="36">
        <f t="shared" si="2"/>
        <v>4410</v>
      </c>
      <c r="O130" s="21">
        <v>94.838709677419359</v>
      </c>
      <c r="P130" t="s">
        <v>30</v>
      </c>
      <c r="Q130" t="s">
        <v>31</v>
      </c>
      <c r="R130" s="1">
        <v>46126</v>
      </c>
      <c r="S130" t="s">
        <v>32</v>
      </c>
      <c r="T130" s="2"/>
      <c r="U130" s="2"/>
    </row>
    <row r="131" spans="1:21" ht="15.75" x14ac:dyDescent="0.25">
      <c r="A131" t="s">
        <v>20</v>
      </c>
      <c r="B131" t="s">
        <v>236</v>
      </c>
      <c r="C131" t="s">
        <v>237</v>
      </c>
      <c r="D131" t="s">
        <v>217</v>
      </c>
      <c r="E131" t="s">
        <v>238</v>
      </c>
      <c r="F131" t="s">
        <v>55</v>
      </c>
      <c r="G131" t="s">
        <v>239</v>
      </c>
      <c r="H131" t="s">
        <v>57</v>
      </c>
      <c r="I131" t="s">
        <v>65</v>
      </c>
      <c r="J131">
        <v>145</v>
      </c>
      <c r="K131" t="s">
        <v>7</v>
      </c>
      <c r="L131">
        <v>70</v>
      </c>
      <c r="M131" s="46">
        <v>1190000</v>
      </c>
      <c r="N131" s="36">
        <f t="shared" si="2"/>
        <v>17000</v>
      </c>
      <c r="O131" s="21">
        <v>1279.5698924731182</v>
      </c>
      <c r="P131" t="s">
        <v>30</v>
      </c>
      <c r="Q131" t="s">
        <v>31</v>
      </c>
      <c r="R131" s="1">
        <v>46216</v>
      </c>
      <c r="S131" t="s">
        <v>32</v>
      </c>
      <c r="T131" s="2"/>
      <c r="U131" s="2"/>
    </row>
    <row r="132" spans="1:21" ht="15.75" x14ac:dyDescent="0.25">
      <c r="A132" t="s">
        <v>20</v>
      </c>
      <c r="B132" t="s">
        <v>236</v>
      </c>
      <c r="C132" t="s">
        <v>237</v>
      </c>
      <c r="D132" t="s">
        <v>217</v>
      </c>
      <c r="E132" t="s">
        <v>238</v>
      </c>
      <c r="F132" t="s">
        <v>55</v>
      </c>
      <c r="G132" t="s">
        <v>240</v>
      </c>
      <c r="H132" t="s">
        <v>57</v>
      </c>
      <c r="I132" t="s">
        <v>65</v>
      </c>
      <c r="J132">
        <v>146</v>
      </c>
      <c r="K132" t="s">
        <v>29</v>
      </c>
      <c r="L132">
        <v>1000</v>
      </c>
      <c r="M132" s="46">
        <v>2483000</v>
      </c>
      <c r="N132" s="36">
        <f t="shared" si="2"/>
        <v>2483</v>
      </c>
      <c r="O132" s="21">
        <v>2669.8924731182797</v>
      </c>
      <c r="P132" t="s">
        <v>30</v>
      </c>
      <c r="Q132" t="s">
        <v>31</v>
      </c>
      <c r="R132" s="1">
        <v>46216</v>
      </c>
      <c r="S132" t="s">
        <v>32</v>
      </c>
      <c r="T132" s="2"/>
      <c r="U132" s="2"/>
    </row>
    <row r="133" spans="1:21" ht="15.75" x14ac:dyDescent="0.25">
      <c r="A133" t="s">
        <v>20</v>
      </c>
      <c r="B133" t="s">
        <v>241</v>
      </c>
      <c r="C133" t="s">
        <v>242</v>
      </c>
      <c r="D133" t="s">
        <v>217</v>
      </c>
      <c r="E133" t="s">
        <v>36</v>
      </c>
      <c r="F133" t="s">
        <v>37</v>
      </c>
      <c r="G133" t="s">
        <v>243</v>
      </c>
      <c r="H133" t="s">
        <v>27</v>
      </c>
      <c r="I133" t="s">
        <v>65</v>
      </c>
      <c r="J133">
        <v>147</v>
      </c>
      <c r="K133" t="s">
        <v>29</v>
      </c>
      <c r="L133">
        <v>100</v>
      </c>
      <c r="M133" s="28">
        <v>800000</v>
      </c>
      <c r="N133" s="36">
        <f t="shared" si="2"/>
        <v>8000</v>
      </c>
      <c r="O133" s="21">
        <v>860.21505376344089</v>
      </c>
      <c r="P133" t="s">
        <v>30</v>
      </c>
      <c r="Q133" t="s">
        <v>31</v>
      </c>
      <c r="R133" s="1">
        <v>46164</v>
      </c>
      <c r="S133" t="s">
        <v>32</v>
      </c>
      <c r="T133" s="2"/>
      <c r="U133" s="2"/>
    </row>
    <row r="134" spans="1:21" ht="15.75" x14ac:dyDescent="0.25">
      <c r="A134" t="s">
        <v>20</v>
      </c>
      <c r="B134" t="s">
        <v>241</v>
      </c>
      <c r="C134" t="s">
        <v>242</v>
      </c>
      <c r="D134" t="s">
        <v>217</v>
      </c>
      <c r="E134" t="s">
        <v>36</v>
      </c>
      <c r="F134" t="s">
        <v>37</v>
      </c>
      <c r="G134" t="s">
        <v>244</v>
      </c>
      <c r="H134" t="s">
        <v>27</v>
      </c>
      <c r="I134" t="s">
        <v>65</v>
      </c>
      <c r="J134">
        <v>147</v>
      </c>
      <c r="K134" t="s">
        <v>29</v>
      </c>
      <c r="L134">
        <v>100</v>
      </c>
      <c r="M134" s="28">
        <v>500000</v>
      </c>
      <c r="N134" s="36">
        <f t="shared" si="2"/>
        <v>5000</v>
      </c>
      <c r="O134" s="21">
        <v>537.63440860215053</v>
      </c>
      <c r="P134" t="s">
        <v>30</v>
      </c>
      <c r="Q134" t="s">
        <v>31</v>
      </c>
      <c r="R134" s="1">
        <v>46164</v>
      </c>
      <c r="S134" t="s">
        <v>32</v>
      </c>
      <c r="T134" s="2"/>
      <c r="U134" s="2"/>
    </row>
    <row r="135" spans="1:21" ht="15.75" x14ac:dyDescent="0.25">
      <c r="A135" t="s">
        <v>20</v>
      </c>
      <c r="B135" t="s">
        <v>241</v>
      </c>
      <c r="C135" t="s">
        <v>242</v>
      </c>
      <c r="D135" t="s">
        <v>217</v>
      </c>
      <c r="E135" t="s">
        <v>36</v>
      </c>
      <c r="F135" t="s">
        <v>37</v>
      </c>
      <c r="G135" t="s">
        <v>245</v>
      </c>
      <c r="H135" t="s">
        <v>27</v>
      </c>
      <c r="I135" t="s">
        <v>65</v>
      </c>
      <c r="J135">
        <v>147</v>
      </c>
      <c r="K135" t="s">
        <v>29</v>
      </c>
      <c r="L135">
        <v>100</v>
      </c>
      <c r="M135" s="28">
        <v>700000</v>
      </c>
      <c r="N135" s="36">
        <f t="shared" si="2"/>
        <v>7000</v>
      </c>
      <c r="O135" s="21">
        <v>752.68817204301081</v>
      </c>
      <c r="P135" t="s">
        <v>30</v>
      </c>
      <c r="Q135" t="s">
        <v>31</v>
      </c>
      <c r="R135" s="1">
        <v>46164</v>
      </c>
      <c r="S135" t="s">
        <v>32</v>
      </c>
      <c r="T135" s="2"/>
      <c r="U135" s="2"/>
    </row>
    <row r="136" spans="1:21" ht="15.75" x14ac:dyDescent="0.25">
      <c r="A136" t="s">
        <v>20</v>
      </c>
      <c r="B136" t="s">
        <v>241</v>
      </c>
      <c r="C136" t="s">
        <v>242</v>
      </c>
      <c r="D136" t="s">
        <v>217</v>
      </c>
      <c r="E136" t="s">
        <v>36</v>
      </c>
      <c r="F136" t="s">
        <v>37</v>
      </c>
      <c r="G136" t="s">
        <v>246</v>
      </c>
      <c r="H136" t="s">
        <v>27</v>
      </c>
      <c r="I136" t="s">
        <v>65</v>
      </c>
      <c r="J136">
        <v>147</v>
      </c>
      <c r="K136" t="s">
        <v>29</v>
      </c>
      <c r="L136">
        <v>200</v>
      </c>
      <c r="M136" s="28">
        <v>1515000</v>
      </c>
      <c r="N136" s="36">
        <f t="shared" si="2"/>
        <v>7575</v>
      </c>
      <c r="O136" s="21">
        <v>1827.9569892473119</v>
      </c>
      <c r="P136" t="s">
        <v>30</v>
      </c>
      <c r="Q136" t="s">
        <v>31</v>
      </c>
      <c r="R136" s="1">
        <v>46164</v>
      </c>
      <c r="S136" t="s">
        <v>32</v>
      </c>
      <c r="T136" s="2"/>
      <c r="U136" s="2"/>
    </row>
    <row r="137" spans="1:21" ht="15.75" x14ac:dyDescent="0.25">
      <c r="A137" t="s">
        <v>20</v>
      </c>
      <c r="B137" t="s">
        <v>120</v>
      </c>
      <c r="C137" t="s">
        <v>121</v>
      </c>
      <c r="D137" t="s">
        <v>217</v>
      </c>
      <c r="E137" t="s">
        <v>48</v>
      </c>
      <c r="F137" t="s">
        <v>55</v>
      </c>
      <c r="G137" t="s">
        <v>131</v>
      </c>
      <c r="H137" t="s">
        <v>57</v>
      </c>
      <c r="I137" t="s">
        <v>65</v>
      </c>
      <c r="J137">
        <v>148</v>
      </c>
      <c r="K137" t="s">
        <v>29</v>
      </c>
      <c r="L137">
        <v>5</v>
      </c>
      <c r="M137" s="46">
        <v>26571</v>
      </c>
      <c r="N137" s="36">
        <f t="shared" si="2"/>
        <v>5314.2</v>
      </c>
      <c r="O137" s="21">
        <v>28.570967741935483</v>
      </c>
      <c r="P137" t="s">
        <v>30</v>
      </c>
      <c r="Q137" t="s">
        <v>31</v>
      </c>
      <c r="R137" s="1">
        <v>46094</v>
      </c>
      <c r="S137" t="s">
        <v>32</v>
      </c>
      <c r="T137" s="2"/>
      <c r="U137" s="2"/>
    </row>
    <row r="138" spans="1:21" ht="15.75" x14ac:dyDescent="0.25">
      <c r="A138" t="s">
        <v>20</v>
      </c>
      <c r="B138" t="s">
        <v>120</v>
      </c>
      <c r="C138" t="s">
        <v>121</v>
      </c>
      <c r="D138" t="s">
        <v>217</v>
      </c>
      <c r="E138" t="s">
        <v>48</v>
      </c>
      <c r="F138" t="s">
        <v>55</v>
      </c>
      <c r="G138" t="s">
        <v>247</v>
      </c>
      <c r="H138" t="s">
        <v>57</v>
      </c>
      <c r="I138" t="s">
        <v>65</v>
      </c>
      <c r="J138">
        <v>148</v>
      </c>
      <c r="K138" t="s">
        <v>29</v>
      </c>
      <c r="L138">
        <v>5</v>
      </c>
      <c r="M138" s="46">
        <v>53038</v>
      </c>
      <c r="N138" s="36">
        <f t="shared" si="2"/>
        <v>10607.6</v>
      </c>
      <c r="O138" s="21">
        <v>57.030107526881721</v>
      </c>
      <c r="P138" t="s">
        <v>30</v>
      </c>
      <c r="Q138" t="s">
        <v>31</v>
      </c>
      <c r="R138" s="1">
        <v>46094</v>
      </c>
      <c r="S138" t="s">
        <v>32</v>
      </c>
      <c r="T138" s="2"/>
      <c r="U138" s="2"/>
    </row>
    <row r="139" spans="1:21" ht="15.75" x14ac:dyDescent="0.25">
      <c r="A139" t="s">
        <v>20</v>
      </c>
      <c r="B139" t="s">
        <v>120</v>
      </c>
      <c r="C139" t="s">
        <v>121</v>
      </c>
      <c r="D139" t="s">
        <v>217</v>
      </c>
      <c r="E139" t="s">
        <v>48</v>
      </c>
      <c r="F139" t="s">
        <v>55</v>
      </c>
      <c r="G139" t="s">
        <v>167</v>
      </c>
      <c r="H139" t="s">
        <v>57</v>
      </c>
      <c r="I139" t="s">
        <v>65</v>
      </c>
      <c r="J139">
        <v>148</v>
      </c>
      <c r="K139" t="s">
        <v>29</v>
      </c>
      <c r="L139">
        <v>2</v>
      </c>
      <c r="M139" s="46">
        <v>17679</v>
      </c>
      <c r="N139" s="36">
        <f t="shared" si="2"/>
        <v>8839.5</v>
      </c>
      <c r="O139" s="21">
        <v>19.009677419354837</v>
      </c>
      <c r="P139" t="s">
        <v>30</v>
      </c>
      <c r="Q139" t="s">
        <v>31</v>
      </c>
      <c r="R139" s="1">
        <v>46094</v>
      </c>
      <c r="S139" t="s">
        <v>32</v>
      </c>
      <c r="T139" s="2"/>
      <c r="U139" s="2"/>
    </row>
    <row r="140" spans="1:21" ht="15.75" x14ac:dyDescent="0.25">
      <c r="A140" t="s">
        <v>20</v>
      </c>
      <c r="B140" t="s">
        <v>120</v>
      </c>
      <c r="C140" t="s">
        <v>121</v>
      </c>
      <c r="D140" t="s">
        <v>217</v>
      </c>
      <c r="E140" t="s">
        <v>48</v>
      </c>
      <c r="F140" t="s">
        <v>55</v>
      </c>
      <c r="G140" t="s">
        <v>248</v>
      </c>
      <c r="H140" t="s">
        <v>57</v>
      </c>
      <c r="I140" t="s">
        <v>65</v>
      </c>
      <c r="J140">
        <v>148</v>
      </c>
      <c r="K140" t="s">
        <v>7</v>
      </c>
      <c r="L140">
        <v>1</v>
      </c>
      <c r="M140" s="46">
        <v>32707</v>
      </c>
      <c r="N140" s="36">
        <f t="shared" si="2"/>
        <v>32707</v>
      </c>
      <c r="O140" s="21">
        <v>35.168817204301078</v>
      </c>
      <c r="P140" t="s">
        <v>30</v>
      </c>
      <c r="Q140" t="s">
        <v>31</v>
      </c>
      <c r="R140" s="1">
        <v>46094</v>
      </c>
      <c r="S140" t="s">
        <v>32</v>
      </c>
      <c r="T140" s="2"/>
      <c r="U140" s="2"/>
    </row>
    <row r="141" spans="1:21" ht="15.75" x14ac:dyDescent="0.25">
      <c r="A141" t="s">
        <v>20</v>
      </c>
      <c r="B141" t="s">
        <v>249</v>
      </c>
      <c r="C141" t="s">
        <v>250</v>
      </c>
      <c r="D141" t="s">
        <v>217</v>
      </c>
      <c r="E141" t="s">
        <v>41</v>
      </c>
      <c r="F141" t="s">
        <v>37</v>
      </c>
      <c r="G141" t="s">
        <v>251</v>
      </c>
      <c r="H141" t="s">
        <v>27</v>
      </c>
      <c r="I141" t="s">
        <v>65</v>
      </c>
      <c r="J141">
        <v>149</v>
      </c>
      <c r="K141" t="s">
        <v>29</v>
      </c>
      <c r="L141">
        <v>60</v>
      </c>
      <c r="M141" s="28">
        <v>150000</v>
      </c>
      <c r="N141" s="36">
        <f t="shared" ref="N141:N204" si="3">M141/L141</f>
        <v>2500</v>
      </c>
      <c r="O141" s="21">
        <v>161.29032258064515</v>
      </c>
      <c r="P141" t="s">
        <v>30</v>
      </c>
      <c r="Q141" t="s">
        <v>31</v>
      </c>
      <c r="R141" s="1">
        <v>46156</v>
      </c>
      <c r="S141" t="s">
        <v>32</v>
      </c>
      <c r="T141" s="2"/>
      <c r="U141" s="2"/>
    </row>
    <row r="142" spans="1:21" ht="15.75" x14ac:dyDescent="0.25">
      <c r="A142" t="s">
        <v>20</v>
      </c>
      <c r="B142" t="s">
        <v>249</v>
      </c>
      <c r="C142" t="s">
        <v>250</v>
      </c>
      <c r="D142" t="s">
        <v>217</v>
      </c>
      <c r="E142" t="s">
        <v>41</v>
      </c>
      <c r="F142" t="s">
        <v>37</v>
      </c>
      <c r="G142" t="s">
        <v>252</v>
      </c>
      <c r="H142" t="s">
        <v>27</v>
      </c>
      <c r="I142" t="s">
        <v>65</v>
      </c>
      <c r="J142">
        <v>149</v>
      </c>
      <c r="K142" t="s">
        <v>29</v>
      </c>
      <c r="L142">
        <v>60</v>
      </c>
      <c r="M142" s="28">
        <v>150000</v>
      </c>
      <c r="N142" s="36">
        <f t="shared" si="3"/>
        <v>2500</v>
      </c>
      <c r="O142" s="21">
        <v>161.29032258064515</v>
      </c>
      <c r="P142" t="s">
        <v>30</v>
      </c>
      <c r="Q142" t="s">
        <v>31</v>
      </c>
      <c r="R142" s="1">
        <v>46156</v>
      </c>
      <c r="S142" t="s">
        <v>32</v>
      </c>
      <c r="T142" s="2"/>
      <c r="U142" s="2"/>
    </row>
    <row r="143" spans="1:21" ht="15.75" x14ac:dyDescent="0.25">
      <c r="A143" t="s">
        <v>20</v>
      </c>
      <c r="B143" t="s">
        <v>249</v>
      </c>
      <c r="C143" t="s">
        <v>250</v>
      </c>
      <c r="D143" t="s">
        <v>217</v>
      </c>
      <c r="E143" t="s">
        <v>41</v>
      </c>
      <c r="F143" t="s">
        <v>37</v>
      </c>
      <c r="G143" t="s">
        <v>253</v>
      </c>
      <c r="H143" t="s">
        <v>27</v>
      </c>
      <c r="I143" t="s">
        <v>65</v>
      </c>
      <c r="J143">
        <v>149</v>
      </c>
      <c r="K143" t="s">
        <v>29</v>
      </c>
      <c r="L143">
        <v>60</v>
      </c>
      <c r="M143" s="28">
        <v>255000</v>
      </c>
      <c r="N143" s="36">
        <f t="shared" si="3"/>
        <v>4250</v>
      </c>
      <c r="O143" s="21">
        <v>274.19354838709677</v>
      </c>
      <c r="P143" t="s">
        <v>30</v>
      </c>
      <c r="Q143" t="s">
        <v>31</v>
      </c>
      <c r="R143" s="1">
        <v>46156</v>
      </c>
      <c r="S143" t="s">
        <v>32</v>
      </c>
      <c r="T143" s="2"/>
      <c r="U143" s="2"/>
    </row>
    <row r="144" spans="1:21" ht="15.75" x14ac:dyDescent="0.25">
      <c r="A144" t="s">
        <v>20</v>
      </c>
      <c r="B144" t="s">
        <v>249</v>
      </c>
      <c r="C144" t="s">
        <v>250</v>
      </c>
      <c r="D144" t="s">
        <v>217</v>
      </c>
      <c r="E144" t="s">
        <v>41</v>
      </c>
      <c r="F144" t="s">
        <v>37</v>
      </c>
      <c r="G144" t="s">
        <v>254</v>
      </c>
      <c r="H144" t="s">
        <v>27</v>
      </c>
      <c r="I144" t="s">
        <v>65</v>
      </c>
      <c r="J144">
        <v>149</v>
      </c>
      <c r="K144" t="s">
        <v>29</v>
      </c>
      <c r="L144">
        <v>60</v>
      </c>
      <c r="M144" s="28">
        <v>246000</v>
      </c>
      <c r="N144" s="36">
        <f t="shared" si="3"/>
        <v>4100</v>
      </c>
      <c r="O144" s="21">
        <v>264.51612903225805</v>
      </c>
      <c r="P144" t="s">
        <v>30</v>
      </c>
      <c r="Q144" t="s">
        <v>31</v>
      </c>
      <c r="R144" s="1">
        <v>46156</v>
      </c>
      <c r="S144" t="s">
        <v>32</v>
      </c>
      <c r="T144" s="2"/>
      <c r="U144" s="2"/>
    </row>
    <row r="145" spans="1:21" ht="15.75" x14ac:dyDescent="0.25">
      <c r="A145" t="s">
        <v>20</v>
      </c>
      <c r="B145" t="s">
        <v>255</v>
      </c>
      <c r="C145" s="43" t="s">
        <v>256</v>
      </c>
      <c r="D145" s="43" t="s">
        <v>257</v>
      </c>
      <c r="E145" s="43" t="s">
        <v>41</v>
      </c>
      <c r="F145" s="43" t="s">
        <v>25</v>
      </c>
      <c r="G145" s="43" t="s">
        <v>258</v>
      </c>
      <c r="H145" s="43" t="s">
        <v>27</v>
      </c>
      <c r="I145" s="43" t="s">
        <v>28</v>
      </c>
      <c r="J145" s="43">
        <v>434</v>
      </c>
      <c r="K145" s="43" t="s">
        <v>124</v>
      </c>
      <c r="L145" s="43">
        <v>20</v>
      </c>
      <c r="M145" s="28">
        <v>0</v>
      </c>
      <c r="N145" s="36">
        <f t="shared" si="3"/>
        <v>0</v>
      </c>
      <c r="O145" s="21">
        <v>133.33333333333334</v>
      </c>
      <c r="P145" t="s">
        <v>30</v>
      </c>
      <c r="Q145" t="s">
        <v>31</v>
      </c>
      <c r="R145" s="1">
        <v>46067</v>
      </c>
      <c r="S145" t="s">
        <v>32</v>
      </c>
      <c r="T145" s="2"/>
      <c r="U145" s="2"/>
    </row>
    <row r="146" spans="1:21" ht="15.75" x14ac:dyDescent="0.25">
      <c r="A146" t="s">
        <v>20</v>
      </c>
      <c r="B146" t="s">
        <v>255</v>
      </c>
      <c r="C146" s="43" t="s">
        <v>256</v>
      </c>
      <c r="D146" s="43" t="s">
        <v>257</v>
      </c>
      <c r="E146" s="43" t="s">
        <v>41</v>
      </c>
      <c r="F146" s="43" t="s">
        <v>25</v>
      </c>
      <c r="G146" s="43" t="s">
        <v>259</v>
      </c>
      <c r="H146" s="43" t="s">
        <v>27</v>
      </c>
      <c r="I146" s="43" t="s">
        <v>28</v>
      </c>
      <c r="J146" s="43">
        <v>434</v>
      </c>
      <c r="K146" s="43" t="s">
        <v>124</v>
      </c>
      <c r="L146" s="43">
        <v>10</v>
      </c>
      <c r="M146" s="28">
        <v>0</v>
      </c>
      <c r="N146" s="36">
        <f t="shared" si="3"/>
        <v>0</v>
      </c>
      <c r="O146" s="21">
        <v>66.666666666666671</v>
      </c>
      <c r="P146" t="s">
        <v>30</v>
      </c>
      <c r="Q146" t="s">
        <v>31</v>
      </c>
      <c r="R146" s="1">
        <v>46067</v>
      </c>
      <c r="S146" t="s">
        <v>32</v>
      </c>
      <c r="T146" s="2"/>
      <c r="U146" s="2"/>
    </row>
    <row r="147" spans="1:21" ht="15.75" x14ac:dyDescent="0.25">
      <c r="A147" t="s">
        <v>20</v>
      </c>
      <c r="B147" t="s">
        <v>255</v>
      </c>
      <c r="C147" s="43" t="s">
        <v>256</v>
      </c>
      <c r="D147" s="43" t="s">
        <v>257</v>
      </c>
      <c r="E147" s="43" t="s">
        <v>41</v>
      </c>
      <c r="F147" s="43" t="s">
        <v>25</v>
      </c>
      <c r="G147" s="43" t="s">
        <v>165</v>
      </c>
      <c r="H147" s="43" t="s">
        <v>27</v>
      </c>
      <c r="I147" s="43" t="s">
        <v>28</v>
      </c>
      <c r="J147" s="43">
        <v>434</v>
      </c>
      <c r="K147" s="43" t="s">
        <v>124</v>
      </c>
      <c r="L147" s="43">
        <v>20</v>
      </c>
      <c r="M147" s="28">
        <v>0</v>
      </c>
      <c r="N147" s="36">
        <f t="shared" si="3"/>
        <v>0</v>
      </c>
      <c r="O147" s="21">
        <v>111.82795698924731</v>
      </c>
      <c r="P147" t="s">
        <v>30</v>
      </c>
      <c r="Q147" t="s">
        <v>31</v>
      </c>
      <c r="R147" s="1">
        <v>46067</v>
      </c>
      <c r="S147" t="s">
        <v>32</v>
      </c>
      <c r="T147" s="2"/>
      <c r="U147" s="2"/>
    </row>
    <row r="148" spans="1:21" ht="15.75" x14ac:dyDescent="0.25">
      <c r="A148" t="s">
        <v>20</v>
      </c>
      <c r="B148" t="s">
        <v>260</v>
      </c>
      <c r="C148" t="s">
        <v>261</v>
      </c>
      <c r="D148" t="s">
        <v>257</v>
      </c>
      <c r="E148" t="s">
        <v>48</v>
      </c>
      <c r="F148" t="s">
        <v>59</v>
      </c>
      <c r="G148" t="s">
        <v>262</v>
      </c>
      <c r="H148" t="s">
        <v>27</v>
      </c>
      <c r="I148" t="s">
        <v>28</v>
      </c>
      <c r="J148">
        <v>435</v>
      </c>
      <c r="K148" t="s">
        <v>29</v>
      </c>
      <c r="L148">
        <v>30</v>
      </c>
      <c r="M148" s="28">
        <v>396900</v>
      </c>
      <c r="N148" s="36">
        <f t="shared" si="3"/>
        <v>13230</v>
      </c>
      <c r="O148" s="21">
        <v>426.77419354838707</v>
      </c>
      <c r="P148" t="s">
        <v>30</v>
      </c>
      <c r="Q148" t="s">
        <v>31</v>
      </c>
      <c r="R148" s="1">
        <v>46037</v>
      </c>
      <c r="S148" t="s">
        <v>32</v>
      </c>
      <c r="T148" s="2"/>
      <c r="U148" s="2"/>
    </row>
    <row r="149" spans="1:21" ht="15.75" x14ac:dyDescent="0.25">
      <c r="A149" t="s">
        <v>20</v>
      </c>
      <c r="B149" t="s">
        <v>260</v>
      </c>
      <c r="C149" t="s">
        <v>261</v>
      </c>
      <c r="D149" t="s">
        <v>257</v>
      </c>
      <c r="E149" t="s">
        <v>48</v>
      </c>
      <c r="F149" t="s">
        <v>59</v>
      </c>
      <c r="G149" t="s">
        <v>263</v>
      </c>
      <c r="H149" t="s">
        <v>27</v>
      </c>
      <c r="I149" t="s">
        <v>28</v>
      </c>
      <c r="J149">
        <v>435</v>
      </c>
      <c r="K149" t="s">
        <v>29</v>
      </c>
      <c r="L149">
        <v>20</v>
      </c>
      <c r="M149" s="28">
        <v>158760</v>
      </c>
      <c r="N149" s="36">
        <f t="shared" si="3"/>
        <v>7938</v>
      </c>
      <c r="O149" s="21">
        <v>170.70967741935485</v>
      </c>
      <c r="P149" t="s">
        <v>30</v>
      </c>
      <c r="Q149" t="s">
        <v>31</v>
      </c>
      <c r="R149" s="1">
        <v>46037</v>
      </c>
      <c r="S149" t="s">
        <v>32</v>
      </c>
      <c r="T149" s="2"/>
      <c r="U149" s="2"/>
    </row>
    <row r="150" spans="1:21" ht="15.75" x14ac:dyDescent="0.25">
      <c r="A150" t="s">
        <v>20</v>
      </c>
      <c r="B150" t="s">
        <v>264</v>
      </c>
      <c r="C150" t="s">
        <v>265</v>
      </c>
      <c r="D150" t="s">
        <v>257</v>
      </c>
      <c r="E150" t="s">
        <v>48</v>
      </c>
      <c r="F150" t="s">
        <v>25</v>
      </c>
      <c r="G150" t="s">
        <v>263</v>
      </c>
      <c r="H150" t="s">
        <v>27</v>
      </c>
      <c r="I150" t="s">
        <v>28</v>
      </c>
      <c r="J150">
        <v>441</v>
      </c>
      <c r="K150" t="s">
        <v>29</v>
      </c>
      <c r="L150">
        <v>40</v>
      </c>
      <c r="M150" s="28">
        <v>0</v>
      </c>
      <c r="N150" s="36">
        <f t="shared" si="3"/>
        <v>0</v>
      </c>
      <c r="O150" s="21">
        <v>0</v>
      </c>
      <c r="P150" t="s">
        <v>30</v>
      </c>
      <c r="Q150" t="s">
        <v>31</v>
      </c>
      <c r="R150" s="1">
        <v>46127</v>
      </c>
      <c r="S150" t="s">
        <v>32</v>
      </c>
      <c r="T150" s="2" t="s">
        <v>266</v>
      </c>
      <c r="U150" s="3">
        <v>46037</v>
      </c>
    </row>
    <row r="151" spans="1:21" ht="15.75" x14ac:dyDescent="0.25">
      <c r="A151" t="s">
        <v>20</v>
      </c>
      <c r="B151" t="s">
        <v>264</v>
      </c>
      <c r="C151" t="s">
        <v>265</v>
      </c>
      <c r="D151" t="s">
        <v>257</v>
      </c>
      <c r="E151" t="s">
        <v>48</v>
      </c>
      <c r="F151" t="s">
        <v>25</v>
      </c>
      <c r="G151" t="s">
        <v>267</v>
      </c>
      <c r="H151" t="s">
        <v>27</v>
      </c>
      <c r="I151" t="s">
        <v>28</v>
      </c>
      <c r="J151">
        <v>441</v>
      </c>
      <c r="K151" t="s">
        <v>29</v>
      </c>
      <c r="L151">
        <v>5</v>
      </c>
      <c r="M151" s="28">
        <v>0</v>
      </c>
      <c r="N151" s="36">
        <f t="shared" si="3"/>
        <v>0</v>
      </c>
      <c r="O151" s="21">
        <v>0</v>
      </c>
      <c r="P151" t="s">
        <v>30</v>
      </c>
      <c r="Q151" t="s">
        <v>31</v>
      </c>
      <c r="R151" s="1">
        <v>46127</v>
      </c>
      <c r="S151" t="s">
        <v>32</v>
      </c>
      <c r="T151" s="2" t="s">
        <v>266</v>
      </c>
      <c r="U151" s="3">
        <v>46037</v>
      </c>
    </row>
    <row r="152" spans="1:21" ht="15.75" x14ac:dyDescent="0.25">
      <c r="A152" t="s">
        <v>20</v>
      </c>
      <c r="B152" t="s">
        <v>264</v>
      </c>
      <c r="C152" t="s">
        <v>265</v>
      </c>
      <c r="D152" t="s">
        <v>257</v>
      </c>
      <c r="E152" t="s">
        <v>48</v>
      </c>
      <c r="F152" t="s">
        <v>25</v>
      </c>
      <c r="G152" t="s">
        <v>268</v>
      </c>
      <c r="H152" t="s">
        <v>27</v>
      </c>
      <c r="I152" t="s">
        <v>28</v>
      </c>
      <c r="J152">
        <v>441</v>
      </c>
      <c r="K152" t="s">
        <v>29</v>
      </c>
      <c r="L152">
        <v>1</v>
      </c>
      <c r="M152" s="28">
        <v>0</v>
      </c>
      <c r="N152" s="36">
        <f t="shared" si="3"/>
        <v>0</v>
      </c>
      <c r="O152" s="21">
        <v>0</v>
      </c>
      <c r="P152" t="s">
        <v>30</v>
      </c>
      <c r="Q152" t="s">
        <v>31</v>
      </c>
      <c r="R152" s="1">
        <v>46127</v>
      </c>
      <c r="S152" t="s">
        <v>32</v>
      </c>
      <c r="T152" s="2" t="s">
        <v>266</v>
      </c>
      <c r="U152" s="3">
        <v>46037</v>
      </c>
    </row>
    <row r="153" spans="1:21" ht="15.75" x14ac:dyDescent="0.25">
      <c r="A153" t="s">
        <v>20</v>
      </c>
      <c r="B153" t="s">
        <v>264</v>
      </c>
      <c r="C153" t="s">
        <v>265</v>
      </c>
      <c r="D153" t="s">
        <v>257</v>
      </c>
      <c r="E153" t="s">
        <v>48</v>
      </c>
      <c r="F153" t="s">
        <v>25</v>
      </c>
      <c r="G153" t="s">
        <v>263</v>
      </c>
      <c r="H153" t="s">
        <v>27</v>
      </c>
      <c r="I153" t="s">
        <v>28</v>
      </c>
      <c r="J153">
        <v>442</v>
      </c>
      <c r="K153" t="s">
        <v>29</v>
      </c>
      <c r="L153">
        <v>200</v>
      </c>
      <c r="M153" s="28">
        <v>0</v>
      </c>
      <c r="N153" s="36">
        <f t="shared" si="3"/>
        <v>0</v>
      </c>
      <c r="O153" s="21">
        <v>0</v>
      </c>
      <c r="P153" t="s">
        <v>30</v>
      </c>
      <c r="Q153" t="s">
        <v>31</v>
      </c>
      <c r="R153" s="1">
        <v>46127</v>
      </c>
      <c r="S153" t="s">
        <v>32</v>
      </c>
      <c r="T153" s="2" t="s">
        <v>269</v>
      </c>
      <c r="U153" s="3">
        <v>46037</v>
      </c>
    </row>
    <row r="154" spans="1:21" ht="15.75" x14ac:dyDescent="0.25">
      <c r="A154" t="s">
        <v>20</v>
      </c>
      <c r="B154" t="s">
        <v>264</v>
      </c>
      <c r="C154" s="41" t="s">
        <v>265</v>
      </c>
      <c r="D154" s="41" t="s">
        <v>257</v>
      </c>
      <c r="E154" s="41" t="s">
        <v>54</v>
      </c>
      <c r="F154" s="41" t="s">
        <v>25</v>
      </c>
      <c r="G154" s="41" t="s">
        <v>263</v>
      </c>
      <c r="H154" s="41" t="s">
        <v>27</v>
      </c>
      <c r="I154" s="41" t="s">
        <v>65</v>
      </c>
      <c r="J154" s="41">
        <v>150</v>
      </c>
      <c r="K154" s="41" t="s">
        <v>29</v>
      </c>
      <c r="L154" s="41">
        <v>40</v>
      </c>
      <c r="M154" s="42">
        <v>300000</v>
      </c>
      <c r="N154" s="36">
        <f t="shared" si="3"/>
        <v>7500</v>
      </c>
      <c r="O154" s="21">
        <v>322.58064516129031</v>
      </c>
      <c r="P154" t="s">
        <v>30</v>
      </c>
      <c r="Q154" t="s">
        <v>31</v>
      </c>
      <c r="R154" s="1">
        <v>46127</v>
      </c>
      <c r="S154" t="s">
        <v>32</v>
      </c>
      <c r="T154" s="2"/>
      <c r="U154" s="2"/>
    </row>
    <row r="155" spans="1:21" ht="15.75" x14ac:dyDescent="0.25">
      <c r="A155" t="s">
        <v>20</v>
      </c>
      <c r="B155" t="s">
        <v>264</v>
      </c>
      <c r="C155" s="41" t="s">
        <v>265</v>
      </c>
      <c r="D155" s="41" t="s">
        <v>257</v>
      </c>
      <c r="E155" s="41" t="s">
        <v>54</v>
      </c>
      <c r="F155" s="41" t="s">
        <v>25</v>
      </c>
      <c r="G155" s="41" t="s">
        <v>267</v>
      </c>
      <c r="H155" s="41" t="s">
        <v>27</v>
      </c>
      <c r="I155" s="41" t="s">
        <v>65</v>
      </c>
      <c r="J155" s="41">
        <v>150</v>
      </c>
      <c r="K155" s="41" t="s">
        <v>29</v>
      </c>
      <c r="L155" s="41">
        <v>5</v>
      </c>
      <c r="M155" s="42">
        <v>37500</v>
      </c>
      <c r="N155" s="36">
        <f t="shared" si="3"/>
        <v>7500</v>
      </c>
      <c r="O155" s="21">
        <v>40.322580645161288</v>
      </c>
      <c r="P155" t="s">
        <v>30</v>
      </c>
      <c r="Q155" t="s">
        <v>31</v>
      </c>
      <c r="R155" s="1">
        <v>46127</v>
      </c>
      <c r="S155" t="s">
        <v>32</v>
      </c>
      <c r="T155" s="2"/>
      <c r="U155" s="2"/>
    </row>
    <row r="156" spans="1:21" ht="15.75" x14ac:dyDescent="0.25">
      <c r="A156" t="s">
        <v>20</v>
      </c>
      <c r="B156" t="s">
        <v>264</v>
      </c>
      <c r="C156" s="41" t="s">
        <v>265</v>
      </c>
      <c r="D156" s="41" t="s">
        <v>257</v>
      </c>
      <c r="E156" s="41" t="s">
        <v>54</v>
      </c>
      <c r="F156" s="41" t="s">
        <v>25</v>
      </c>
      <c r="G156" s="41" t="s">
        <v>268</v>
      </c>
      <c r="H156" s="41" t="s">
        <v>27</v>
      </c>
      <c r="I156" s="41" t="s">
        <v>65</v>
      </c>
      <c r="J156" s="41">
        <v>150</v>
      </c>
      <c r="K156" s="41" t="s">
        <v>29</v>
      </c>
      <c r="L156" s="41">
        <v>1</v>
      </c>
      <c r="M156" s="42">
        <v>7500</v>
      </c>
      <c r="N156" s="36">
        <f t="shared" si="3"/>
        <v>7500</v>
      </c>
      <c r="O156" s="21">
        <v>8.064516129032258</v>
      </c>
      <c r="P156" t="s">
        <v>30</v>
      </c>
      <c r="Q156" t="s">
        <v>31</v>
      </c>
      <c r="R156" s="1">
        <v>46127</v>
      </c>
      <c r="S156" t="s">
        <v>32</v>
      </c>
      <c r="T156" s="2"/>
      <c r="U156" s="2"/>
    </row>
    <row r="157" spans="1:21" ht="15.75" x14ac:dyDescent="0.25">
      <c r="A157" t="s">
        <v>20</v>
      </c>
      <c r="B157" t="s">
        <v>264</v>
      </c>
      <c r="C157" s="41" t="s">
        <v>265</v>
      </c>
      <c r="D157" s="41" t="s">
        <v>257</v>
      </c>
      <c r="E157" s="41" t="s">
        <v>54</v>
      </c>
      <c r="F157" s="41" t="s">
        <v>25</v>
      </c>
      <c r="G157" s="41" t="s">
        <v>263</v>
      </c>
      <c r="H157" s="41" t="s">
        <v>27</v>
      </c>
      <c r="I157" s="41" t="s">
        <v>65</v>
      </c>
      <c r="J157" s="41">
        <v>151</v>
      </c>
      <c r="K157" s="41" t="s">
        <v>29</v>
      </c>
      <c r="L157" s="41">
        <v>200</v>
      </c>
      <c r="M157" s="42">
        <v>1500000</v>
      </c>
      <c r="N157" s="36">
        <f t="shared" si="3"/>
        <v>7500</v>
      </c>
      <c r="O157" s="21">
        <v>1612.9032258064517</v>
      </c>
      <c r="P157" t="s">
        <v>30</v>
      </c>
      <c r="Q157" t="s">
        <v>31</v>
      </c>
      <c r="R157" s="1">
        <v>46127</v>
      </c>
      <c r="S157" t="s">
        <v>32</v>
      </c>
      <c r="T157" s="2"/>
      <c r="U157" s="2"/>
    </row>
    <row r="158" spans="1:21" ht="15.75" x14ac:dyDescent="0.25">
      <c r="A158" t="s">
        <v>20</v>
      </c>
      <c r="B158" t="s">
        <v>139</v>
      </c>
      <c r="C158" t="s">
        <v>140</v>
      </c>
      <c r="D158" t="s">
        <v>257</v>
      </c>
      <c r="E158" t="s">
        <v>54</v>
      </c>
      <c r="F158" t="s">
        <v>59</v>
      </c>
      <c r="G158" t="s">
        <v>163</v>
      </c>
      <c r="H158" t="s">
        <v>27</v>
      </c>
      <c r="I158" t="s">
        <v>65</v>
      </c>
      <c r="J158">
        <v>152</v>
      </c>
      <c r="K158" t="s">
        <v>124</v>
      </c>
      <c r="L158">
        <v>40</v>
      </c>
      <c r="M158" s="28">
        <v>152206</v>
      </c>
      <c r="N158" s="36">
        <f t="shared" si="3"/>
        <v>3805.15</v>
      </c>
      <c r="O158" s="21">
        <v>163.66236559139784</v>
      </c>
      <c r="P158" t="s">
        <v>30</v>
      </c>
      <c r="Q158" t="s">
        <v>31</v>
      </c>
      <c r="R158" s="1">
        <v>46157</v>
      </c>
      <c r="S158" t="s">
        <v>32</v>
      </c>
      <c r="T158" s="2"/>
      <c r="U158" s="2"/>
    </row>
    <row r="159" spans="1:21" ht="15.75" x14ac:dyDescent="0.25">
      <c r="A159" t="s">
        <v>20</v>
      </c>
      <c r="B159" t="s">
        <v>270</v>
      </c>
      <c r="C159" s="41" t="s">
        <v>271</v>
      </c>
      <c r="D159" s="41" t="s">
        <v>257</v>
      </c>
      <c r="E159" s="41" t="s">
        <v>48</v>
      </c>
      <c r="F159" s="41" t="s">
        <v>25</v>
      </c>
      <c r="G159" s="41" t="s">
        <v>245</v>
      </c>
      <c r="H159" s="41" t="s">
        <v>27</v>
      </c>
      <c r="I159" s="41" t="s">
        <v>65</v>
      </c>
      <c r="J159" s="41">
        <v>153</v>
      </c>
      <c r="K159" s="41" t="s">
        <v>124</v>
      </c>
      <c r="L159" s="41">
        <v>100</v>
      </c>
      <c r="M159" s="42">
        <v>750000</v>
      </c>
      <c r="N159" s="36">
        <f t="shared" si="3"/>
        <v>7500</v>
      </c>
      <c r="O159" s="21">
        <v>806.45161290322585</v>
      </c>
      <c r="P159" t="s">
        <v>30</v>
      </c>
      <c r="Q159" t="s">
        <v>31</v>
      </c>
      <c r="R159" s="1">
        <v>46157</v>
      </c>
      <c r="S159" t="s">
        <v>32</v>
      </c>
      <c r="T159" s="2"/>
      <c r="U159" s="2"/>
    </row>
    <row r="160" spans="1:21" ht="15.75" x14ac:dyDescent="0.25">
      <c r="A160" t="s">
        <v>20</v>
      </c>
      <c r="B160" t="s">
        <v>270</v>
      </c>
      <c r="C160" s="41" t="s">
        <v>271</v>
      </c>
      <c r="D160" s="41" t="s">
        <v>272</v>
      </c>
      <c r="E160" s="41" t="s">
        <v>48</v>
      </c>
      <c r="F160" s="41" t="s">
        <v>25</v>
      </c>
      <c r="G160" s="41" t="s">
        <v>245</v>
      </c>
      <c r="H160" s="41" t="s">
        <v>27</v>
      </c>
      <c r="I160" s="41" t="s">
        <v>28</v>
      </c>
      <c r="J160" s="41">
        <v>443</v>
      </c>
      <c r="K160" s="41" t="s">
        <v>124</v>
      </c>
      <c r="L160" s="41">
        <v>100</v>
      </c>
      <c r="M160" s="42">
        <v>0</v>
      </c>
      <c r="N160" s="36">
        <f t="shared" si="3"/>
        <v>0</v>
      </c>
      <c r="O160" s="21">
        <v>0</v>
      </c>
      <c r="P160" t="s">
        <v>30</v>
      </c>
      <c r="Q160" t="s">
        <v>31</v>
      </c>
      <c r="R160" s="1">
        <v>46157</v>
      </c>
      <c r="S160" t="s">
        <v>32</v>
      </c>
      <c r="T160" s="2" t="s">
        <v>273</v>
      </c>
      <c r="U160" s="3">
        <v>46037</v>
      </c>
    </row>
    <row r="161" spans="1:21" ht="15.75" x14ac:dyDescent="0.25">
      <c r="A161" t="s">
        <v>20</v>
      </c>
      <c r="B161" t="s">
        <v>264</v>
      </c>
      <c r="C161" s="41" t="s">
        <v>265</v>
      </c>
      <c r="D161" s="41" t="s">
        <v>272</v>
      </c>
      <c r="E161" s="41" t="s">
        <v>48</v>
      </c>
      <c r="F161" s="41" t="s">
        <v>25</v>
      </c>
      <c r="G161" s="41" t="s">
        <v>245</v>
      </c>
      <c r="H161" s="41" t="s">
        <v>27</v>
      </c>
      <c r="I161" s="41" t="s">
        <v>28</v>
      </c>
      <c r="J161" s="41">
        <v>444</v>
      </c>
      <c r="K161" s="41" t="s">
        <v>124</v>
      </c>
      <c r="L161" s="41">
        <v>320</v>
      </c>
      <c r="M161" s="42">
        <v>2400000</v>
      </c>
      <c r="N161" s="36">
        <f t="shared" si="3"/>
        <v>7500</v>
      </c>
      <c r="O161" s="21">
        <v>2580.6451612903224</v>
      </c>
      <c r="P161" t="s">
        <v>30</v>
      </c>
      <c r="Q161" t="s">
        <v>31</v>
      </c>
      <c r="R161" s="1">
        <v>46153</v>
      </c>
      <c r="S161" t="s">
        <v>32</v>
      </c>
      <c r="T161" s="2"/>
      <c r="U161" s="2"/>
    </row>
    <row r="162" spans="1:21" ht="15.75" x14ac:dyDescent="0.25">
      <c r="A162" t="s">
        <v>20</v>
      </c>
      <c r="B162" t="s">
        <v>255</v>
      </c>
      <c r="C162" s="41" t="s">
        <v>256</v>
      </c>
      <c r="D162" s="41" t="s">
        <v>272</v>
      </c>
      <c r="E162" s="41" t="s">
        <v>41</v>
      </c>
      <c r="F162" s="41" t="s">
        <v>25</v>
      </c>
      <c r="G162" s="41" t="s">
        <v>258</v>
      </c>
      <c r="H162" s="41" t="s">
        <v>27</v>
      </c>
      <c r="I162" s="41" t="s">
        <v>28</v>
      </c>
      <c r="J162" s="41">
        <v>445</v>
      </c>
      <c r="K162" s="41" t="s">
        <v>124</v>
      </c>
      <c r="L162" s="41">
        <v>20</v>
      </c>
      <c r="M162" s="42">
        <v>124000</v>
      </c>
      <c r="N162" s="36">
        <f t="shared" si="3"/>
        <v>6200</v>
      </c>
      <c r="O162" s="21">
        <v>133.33333333333334</v>
      </c>
      <c r="P162" t="s">
        <v>30</v>
      </c>
      <c r="Q162" t="s">
        <v>31</v>
      </c>
      <c r="R162" s="1">
        <v>46038</v>
      </c>
      <c r="S162" t="s">
        <v>32</v>
      </c>
      <c r="T162" s="2"/>
      <c r="U162" s="2"/>
    </row>
    <row r="163" spans="1:21" ht="15.75" x14ac:dyDescent="0.25">
      <c r="A163" t="s">
        <v>20</v>
      </c>
      <c r="B163" t="s">
        <v>255</v>
      </c>
      <c r="C163" s="41" t="s">
        <v>256</v>
      </c>
      <c r="D163" s="41" t="s">
        <v>272</v>
      </c>
      <c r="E163" s="41" t="s">
        <v>41</v>
      </c>
      <c r="F163" s="41" t="s">
        <v>25</v>
      </c>
      <c r="G163" s="41" t="s">
        <v>259</v>
      </c>
      <c r="H163" s="41" t="s">
        <v>27</v>
      </c>
      <c r="I163" s="41" t="s">
        <v>28</v>
      </c>
      <c r="J163" s="41">
        <v>445</v>
      </c>
      <c r="K163" s="41" t="s">
        <v>124</v>
      </c>
      <c r="L163" s="41">
        <v>10</v>
      </c>
      <c r="M163" s="42">
        <v>62000</v>
      </c>
      <c r="N163" s="36">
        <f t="shared" si="3"/>
        <v>6200</v>
      </c>
      <c r="O163" s="21">
        <v>66.666666666666671</v>
      </c>
      <c r="P163" t="s">
        <v>30</v>
      </c>
      <c r="Q163" t="s">
        <v>31</v>
      </c>
      <c r="R163" s="1">
        <v>46038</v>
      </c>
      <c r="S163" t="s">
        <v>32</v>
      </c>
      <c r="T163" s="2"/>
      <c r="U163" s="2"/>
    </row>
    <row r="164" spans="1:21" ht="15.75" x14ac:dyDescent="0.25">
      <c r="A164" t="s">
        <v>20</v>
      </c>
      <c r="B164" t="s">
        <v>255</v>
      </c>
      <c r="C164" s="41" t="s">
        <v>256</v>
      </c>
      <c r="D164" s="41" t="s">
        <v>272</v>
      </c>
      <c r="E164" s="41" t="s">
        <v>41</v>
      </c>
      <c r="F164" s="41" t="s">
        <v>25</v>
      </c>
      <c r="G164" s="41" t="s">
        <v>163</v>
      </c>
      <c r="H164" s="41" t="s">
        <v>27</v>
      </c>
      <c r="I164" s="41" t="s">
        <v>28</v>
      </c>
      <c r="J164" s="41">
        <v>445</v>
      </c>
      <c r="K164" s="41" t="s">
        <v>124</v>
      </c>
      <c r="L164" s="41">
        <v>20</v>
      </c>
      <c r="M164" s="42">
        <v>124000</v>
      </c>
      <c r="N164" s="36">
        <f t="shared" si="3"/>
        <v>6200</v>
      </c>
      <c r="O164" s="21">
        <v>133.33333333333334</v>
      </c>
      <c r="P164" t="s">
        <v>30</v>
      </c>
      <c r="Q164" t="s">
        <v>31</v>
      </c>
      <c r="R164" s="1">
        <v>46038</v>
      </c>
      <c r="S164" t="s">
        <v>32</v>
      </c>
      <c r="T164" s="2"/>
      <c r="U164" s="2"/>
    </row>
    <row r="165" spans="1:21" ht="15.75" x14ac:dyDescent="0.25">
      <c r="A165" t="s">
        <v>20</v>
      </c>
      <c r="B165" t="s">
        <v>274</v>
      </c>
      <c r="C165" t="s">
        <v>275</v>
      </c>
      <c r="D165" t="s">
        <v>272</v>
      </c>
      <c r="E165" t="s">
        <v>41</v>
      </c>
      <c r="F165" t="s">
        <v>37</v>
      </c>
      <c r="G165" t="s">
        <v>276</v>
      </c>
      <c r="H165" t="s">
        <v>27</v>
      </c>
      <c r="I165" t="s">
        <v>28</v>
      </c>
      <c r="J165">
        <v>446</v>
      </c>
      <c r="K165" t="s">
        <v>277</v>
      </c>
      <c r="L165">
        <v>3</v>
      </c>
      <c r="M165" s="28">
        <v>105000</v>
      </c>
      <c r="N165" s="36">
        <f t="shared" si="3"/>
        <v>35000</v>
      </c>
      <c r="O165" s="21">
        <v>112.90322580645162</v>
      </c>
      <c r="P165" t="s">
        <v>30</v>
      </c>
      <c r="Q165" t="s">
        <v>31</v>
      </c>
      <c r="R165" s="1">
        <v>46038</v>
      </c>
      <c r="S165" t="s">
        <v>32</v>
      </c>
      <c r="T165" s="2"/>
      <c r="U165" s="2"/>
    </row>
    <row r="166" spans="1:21" ht="15.75" x14ac:dyDescent="0.25">
      <c r="A166" t="s">
        <v>20</v>
      </c>
      <c r="B166" t="s">
        <v>278</v>
      </c>
      <c r="C166" s="41" t="s">
        <v>279</v>
      </c>
      <c r="D166" s="41" t="s">
        <v>272</v>
      </c>
      <c r="E166" s="41" t="s">
        <v>48</v>
      </c>
      <c r="F166" s="41" t="s">
        <v>25</v>
      </c>
      <c r="G166" s="41" t="s">
        <v>245</v>
      </c>
      <c r="H166" s="41" t="s">
        <v>27</v>
      </c>
      <c r="I166" s="41" t="s">
        <v>65</v>
      </c>
      <c r="J166" s="41">
        <v>154</v>
      </c>
      <c r="K166" s="41" t="s">
        <v>124</v>
      </c>
      <c r="L166" s="41">
        <v>400</v>
      </c>
      <c r="M166" s="42">
        <v>3400000</v>
      </c>
      <c r="N166" s="36">
        <f t="shared" si="3"/>
        <v>8500</v>
      </c>
      <c r="O166" s="21">
        <v>3655.9139784946237</v>
      </c>
      <c r="P166" t="s">
        <v>30</v>
      </c>
      <c r="Q166" t="s">
        <v>31</v>
      </c>
      <c r="R166" s="1">
        <v>46264</v>
      </c>
      <c r="S166" t="s">
        <v>32</v>
      </c>
      <c r="T166" s="2"/>
      <c r="U166" s="2"/>
    </row>
    <row r="167" spans="1:21" ht="15.75" x14ac:dyDescent="0.25">
      <c r="A167" t="s">
        <v>20</v>
      </c>
      <c r="B167" t="s">
        <v>280</v>
      </c>
      <c r="C167" s="41" t="s">
        <v>281</v>
      </c>
      <c r="D167" s="41" t="s">
        <v>272</v>
      </c>
      <c r="E167" s="41" t="s">
        <v>48</v>
      </c>
      <c r="F167" s="41" t="s">
        <v>25</v>
      </c>
      <c r="G167" s="41" t="s">
        <v>282</v>
      </c>
      <c r="H167" s="41" t="s">
        <v>27</v>
      </c>
      <c r="I167" s="41" t="s">
        <v>65</v>
      </c>
      <c r="J167" s="41">
        <v>155</v>
      </c>
      <c r="K167" s="41" t="s">
        <v>124</v>
      </c>
      <c r="L167" s="41">
        <v>10</v>
      </c>
      <c r="M167" s="42">
        <v>42000</v>
      </c>
      <c r="N167" s="36">
        <f t="shared" si="3"/>
        <v>4200</v>
      </c>
      <c r="O167" s="21">
        <v>45.161290322580648</v>
      </c>
      <c r="P167" t="s">
        <v>30</v>
      </c>
      <c r="Q167" t="s">
        <v>31</v>
      </c>
      <c r="R167" s="1">
        <v>46098</v>
      </c>
      <c r="S167" t="s">
        <v>32</v>
      </c>
      <c r="T167" s="2"/>
      <c r="U167" s="2"/>
    </row>
    <row r="168" spans="1:21" ht="15.75" x14ac:dyDescent="0.25">
      <c r="A168" t="s">
        <v>20</v>
      </c>
      <c r="B168" t="s">
        <v>280</v>
      </c>
      <c r="C168" s="41" t="s">
        <v>281</v>
      </c>
      <c r="D168" s="41" t="s">
        <v>272</v>
      </c>
      <c r="E168" s="41" t="s">
        <v>48</v>
      </c>
      <c r="F168" s="41" t="s">
        <v>25</v>
      </c>
      <c r="G168" s="41" t="s">
        <v>283</v>
      </c>
      <c r="H168" s="41" t="s">
        <v>57</v>
      </c>
      <c r="I168" s="41" t="s">
        <v>65</v>
      </c>
      <c r="J168" s="41">
        <v>155</v>
      </c>
      <c r="K168" s="41" t="s">
        <v>124</v>
      </c>
      <c r="L168" s="41">
        <v>10</v>
      </c>
      <c r="M168" s="42">
        <v>125000</v>
      </c>
      <c r="N168" s="36">
        <f t="shared" si="3"/>
        <v>12500</v>
      </c>
      <c r="O168" s="21">
        <v>134.40860215053763</v>
      </c>
      <c r="P168" t="s">
        <v>30</v>
      </c>
      <c r="Q168" t="s">
        <v>31</v>
      </c>
      <c r="R168" s="1">
        <v>46098</v>
      </c>
      <c r="S168" t="s">
        <v>32</v>
      </c>
      <c r="T168" s="2"/>
      <c r="U168" s="2"/>
    </row>
    <row r="169" spans="1:21" ht="15.75" x14ac:dyDescent="0.25">
      <c r="A169" t="s">
        <v>20</v>
      </c>
      <c r="B169" t="s">
        <v>284</v>
      </c>
      <c r="C169" s="41" t="s">
        <v>285</v>
      </c>
      <c r="D169" s="41" t="s">
        <v>272</v>
      </c>
      <c r="E169" s="41" t="s">
        <v>48</v>
      </c>
      <c r="F169" s="41" t="s">
        <v>25</v>
      </c>
      <c r="G169" s="41" t="s">
        <v>252</v>
      </c>
      <c r="H169" s="41" t="s">
        <v>57</v>
      </c>
      <c r="I169" s="41" t="s">
        <v>65</v>
      </c>
      <c r="J169" s="41">
        <v>156</v>
      </c>
      <c r="K169" s="41" t="s">
        <v>124</v>
      </c>
      <c r="L169" s="41">
        <v>100</v>
      </c>
      <c r="M169" s="42">
        <v>350000</v>
      </c>
      <c r="N169" s="36">
        <f t="shared" si="3"/>
        <v>3500</v>
      </c>
      <c r="O169" s="21">
        <v>376.3440860215054</v>
      </c>
      <c r="P169" t="s">
        <v>30</v>
      </c>
      <c r="Q169" t="s">
        <v>31</v>
      </c>
      <c r="R169" s="1">
        <v>46173</v>
      </c>
      <c r="S169" t="s">
        <v>32</v>
      </c>
      <c r="T169" s="2"/>
      <c r="U169" s="2"/>
    </row>
    <row r="170" spans="1:21" ht="15.75" x14ac:dyDescent="0.25">
      <c r="A170" t="s">
        <v>20</v>
      </c>
      <c r="B170" t="s">
        <v>284</v>
      </c>
      <c r="C170" s="41" t="s">
        <v>285</v>
      </c>
      <c r="D170" s="41" t="s">
        <v>272</v>
      </c>
      <c r="E170" s="41" t="s">
        <v>48</v>
      </c>
      <c r="F170" s="41" t="s">
        <v>25</v>
      </c>
      <c r="G170" s="41" t="s">
        <v>286</v>
      </c>
      <c r="H170" s="41" t="s">
        <v>57</v>
      </c>
      <c r="I170" s="41" t="s">
        <v>65</v>
      </c>
      <c r="J170" s="41">
        <v>156</v>
      </c>
      <c r="K170" s="41" t="s">
        <v>124</v>
      </c>
      <c r="L170" s="41">
        <v>10</v>
      </c>
      <c r="M170" s="42">
        <v>100000</v>
      </c>
      <c r="N170" s="36">
        <f t="shared" si="3"/>
        <v>10000</v>
      </c>
      <c r="O170" s="21">
        <v>107.52688172043011</v>
      </c>
      <c r="P170" t="s">
        <v>30</v>
      </c>
      <c r="Q170" t="s">
        <v>31</v>
      </c>
      <c r="R170" s="1">
        <v>46173</v>
      </c>
      <c r="S170" t="s">
        <v>32</v>
      </c>
      <c r="T170" s="2"/>
      <c r="U170" s="2"/>
    </row>
    <row r="171" spans="1:21" ht="15.75" x14ac:dyDescent="0.25">
      <c r="A171" t="s">
        <v>20</v>
      </c>
      <c r="B171" t="s">
        <v>109</v>
      </c>
      <c r="C171" t="s">
        <v>110</v>
      </c>
      <c r="D171" t="s">
        <v>272</v>
      </c>
      <c r="E171" t="s">
        <v>48</v>
      </c>
      <c r="F171" t="s">
        <v>59</v>
      </c>
      <c r="G171" t="s">
        <v>287</v>
      </c>
      <c r="H171" t="s">
        <v>57</v>
      </c>
      <c r="I171" t="s">
        <v>65</v>
      </c>
      <c r="J171">
        <v>157</v>
      </c>
      <c r="K171" t="s">
        <v>124</v>
      </c>
      <c r="L171">
        <v>12</v>
      </c>
      <c r="M171" s="28">
        <v>120000</v>
      </c>
      <c r="N171" s="36">
        <f t="shared" si="3"/>
        <v>10000</v>
      </c>
      <c r="O171" s="21">
        <v>129.03225806451613</v>
      </c>
      <c r="P171" t="s">
        <v>30</v>
      </c>
      <c r="Q171" t="s">
        <v>31</v>
      </c>
      <c r="R171" s="1">
        <v>46068</v>
      </c>
      <c r="S171" t="s">
        <v>32</v>
      </c>
      <c r="T171" s="2"/>
      <c r="U171" s="2"/>
    </row>
    <row r="172" spans="1:21" ht="15.75" x14ac:dyDescent="0.25">
      <c r="A172" t="s">
        <v>20</v>
      </c>
      <c r="B172" t="s">
        <v>109</v>
      </c>
      <c r="C172" t="s">
        <v>110</v>
      </c>
      <c r="D172" t="s">
        <v>272</v>
      </c>
      <c r="E172" t="s">
        <v>48</v>
      </c>
      <c r="F172" t="s">
        <v>59</v>
      </c>
      <c r="G172" t="s">
        <v>288</v>
      </c>
      <c r="H172" t="s">
        <v>57</v>
      </c>
      <c r="I172" t="s">
        <v>65</v>
      </c>
      <c r="J172">
        <v>157</v>
      </c>
      <c r="K172" t="s">
        <v>124</v>
      </c>
      <c r="L172">
        <v>6</v>
      </c>
      <c r="M172" s="28">
        <v>54000</v>
      </c>
      <c r="N172" s="36">
        <f t="shared" si="3"/>
        <v>9000</v>
      </c>
      <c r="O172" s="21">
        <v>58.064516129032256</v>
      </c>
      <c r="P172" t="s">
        <v>30</v>
      </c>
      <c r="Q172" t="s">
        <v>31</v>
      </c>
      <c r="R172" s="1">
        <v>46068</v>
      </c>
      <c r="S172" t="s">
        <v>32</v>
      </c>
      <c r="T172" s="2"/>
      <c r="U172" s="2"/>
    </row>
    <row r="173" spans="1:21" ht="15.75" x14ac:dyDescent="0.25">
      <c r="A173" t="s">
        <v>20</v>
      </c>
      <c r="B173" t="s">
        <v>249</v>
      </c>
      <c r="C173" t="s">
        <v>250</v>
      </c>
      <c r="D173" t="s">
        <v>289</v>
      </c>
      <c r="E173" t="s">
        <v>41</v>
      </c>
      <c r="F173" t="s">
        <v>37</v>
      </c>
      <c r="G173" t="s">
        <v>290</v>
      </c>
      <c r="H173" t="s">
        <v>57</v>
      </c>
      <c r="I173" t="s">
        <v>65</v>
      </c>
      <c r="J173">
        <v>158</v>
      </c>
      <c r="K173" t="s">
        <v>124</v>
      </c>
      <c r="L173">
        <v>100</v>
      </c>
      <c r="M173" s="28">
        <v>270000</v>
      </c>
      <c r="N173" s="36">
        <f t="shared" si="3"/>
        <v>2700</v>
      </c>
      <c r="O173" s="21">
        <v>290.32258064516128</v>
      </c>
      <c r="P173" t="s">
        <v>30</v>
      </c>
      <c r="Q173" t="s">
        <v>31</v>
      </c>
      <c r="R173" s="1">
        <v>46157</v>
      </c>
      <c r="S173" t="s">
        <v>32</v>
      </c>
      <c r="T173" s="2"/>
      <c r="U173" s="2"/>
    </row>
    <row r="174" spans="1:21" ht="15.75" x14ac:dyDescent="0.25">
      <c r="A174" t="s">
        <v>20</v>
      </c>
      <c r="B174" t="s">
        <v>291</v>
      </c>
      <c r="C174" t="s">
        <v>292</v>
      </c>
      <c r="D174" t="s">
        <v>293</v>
      </c>
      <c r="E174" t="s">
        <v>48</v>
      </c>
      <c r="F174" t="s">
        <v>59</v>
      </c>
      <c r="G174" t="s">
        <v>294</v>
      </c>
      <c r="H174" t="s">
        <v>57</v>
      </c>
      <c r="I174" t="s">
        <v>28</v>
      </c>
      <c r="J174">
        <v>447</v>
      </c>
      <c r="K174" t="s">
        <v>124</v>
      </c>
      <c r="L174">
        <v>5</v>
      </c>
      <c r="M174" s="28">
        <v>30975</v>
      </c>
      <c r="N174" s="36">
        <f t="shared" si="3"/>
        <v>6195</v>
      </c>
      <c r="O174" s="21">
        <v>33.306451612903224</v>
      </c>
      <c r="P174" t="s">
        <v>30</v>
      </c>
      <c r="Q174" t="s">
        <v>31</v>
      </c>
      <c r="R174" s="1">
        <v>46157</v>
      </c>
      <c r="S174" t="s">
        <v>32</v>
      </c>
      <c r="T174" s="2"/>
      <c r="U174" s="2"/>
    </row>
    <row r="175" spans="1:21" ht="15.75" x14ac:dyDescent="0.25">
      <c r="A175" t="s">
        <v>20</v>
      </c>
      <c r="B175" t="s">
        <v>291</v>
      </c>
      <c r="C175" t="s">
        <v>292</v>
      </c>
      <c r="D175" t="s">
        <v>293</v>
      </c>
      <c r="E175" t="s">
        <v>48</v>
      </c>
      <c r="F175" t="s">
        <v>59</v>
      </c>
      <c r="G175" t="s">
        <v>295</v>
      </c>
      <c r="H175" t="s">
        <v>57</v>
      </c>
      <c r="I175" t="s">
        <v>28</v>
      </c>
      <c r="J175">
        <v>447</v>
      </c>
      <c r="K175" t="s">
        <v>124</v>
      </c>
      <c r="L175">
        <v>5</v>
      </c>
      <c r="M175" s="28">
        <v>17700</v>
      </c>
      <c r="N175" s="36">
        <f t="shared" si="3"/>
        <v>3540</v>
      </c>
      <c r="O175" s="21">
        <v>19.032258064516128</v>
      </c>
      <c r="P175" t="s">
        <v>30</v>
      </c>
      <c r="Q175" t="s">
        <v>31</v>
      </c>
      <c r="R175" s="1">
        <v>46041</v>
      </c>
      <c r="S175" t="s">
        <v>32</v>
      </c>
      <c r="T175" s="2"/>
      <c r="U175" s="2"/>
    </row>
    <row r="176" spans="1:21" ht="15.75" x14ac:dyDescent="0.25">
      <c r="A176" t="s">
        <v>20</v>
      </c>
      <c r="B176" t="s">
        <v>291</v>
      </c>
      <c r="C176" t="s">
        <v>292</v>
      </c>
      <c r="D176" t="s">
        <v>293</v>
      </c>
      <c r="E176" t="s">
        <v>48</v>
      </c>
      <c r="F176" t="s">
        <v>59</v>
      </c>
      <c r="G176" t="s">
        <v>296</v>
      </c>
      <c r="H176" t="s">
        <v>57</v>
      </c>
      <c r="I176" t="s">
        <v>28</v>
      </c>
      <c r="J176">
        <v>447</v>
      </c>
      <c r="K176" t="s">
        <v>124</v>
      </c>
      <c r="L176">
        <v>5</v>
      </c>
      <c r="M176" s="28">
        <v>17700</v>
      </c>
      <c r="N176" s="36">
        <f t="shared" si="3"/>
        <v>3540</v>
      </c>
      <c r="O176" s="21">
        <v>19.032258064516128</v>
      </c>
      <c r="P176" t="s">
        <v>30</v>
      </c>
      <c r="Q176" t="s">
        <v>31</v>
      </c>
      <c r="R176" s="1">
        <v>46041</v>
      </c>
      <c r="S176" t="s">
        <v>32</v>
      </c>
      <c r="T176" s="2"/>
      <c r="U176" s="2"/>
    </row>
    <row r="177" spans="1:21" ht="15.75" x14ac:dyDescent="0.25">
      <c r="A177" t="s">
        <v>20</v>
      </c>
      <c r="B177" t="s">
        <v>291</v>
      </c>
      <c r="C177" t="s">
        <v>292</v>
      </c>
      <c r="D177" t="s">
        <v>293</v>
      </c>
      <c r="E177" t="s">
        <v>48</v>
      </c>
      <c r="F177" t="s">
        <v>59</v>
      </c>
      <c r="G177" t="s">
        <v>297</v>
      </c>
      <c r="H177" t="s">
        <v>57</v>
      </c>
      <c r="I177" t="s">
        <v>28</v>
      </c>
      <c r="J177">
        <v>447</v>
      </c>
      <c r="K177" t="s">
        <v>124</v>
      </c>
      <c r="L177">
        <v>5</v>
      </c>
      <c r="M177" s="28">
        <v>39830</v>
      </c>
      <c r="N177" s="36">
        <f t="shared" si="3"/>
        <v>7966</v>
      </c>
      <c r="O177" s="21">
        <v>42.827956989247312</v>
      </c>
      <c r="P177" t="s">
        <v>30</v>
      </c>
      <c r="Q177" t="s">
        <v>31</v>
      </c>
      <c r="R177" s="1">
        <v>46041</v>
      </c>
      <c r="S177" t="s">
        <v>32</v>
      </c>
      <c r="T177" s="2"/>
      <c r="U177" s="2"/>
    </row>
    <row r="178" spans="1:21" ht="15.75" x14ac:dyDescent="0.25">
      <c r="A178" t="s">
        <v>20</v>
      </c>
      <c r="B178" t="s">
        <v>291</v>
      </c>
      <c r="C178" t="s">
        <v>292</v>
      </c>
      <c r="D178" t="s">
        <v>293</v>
      </c>
      <c r="E178" t="s">
        <v>48</v>
      </c>
      <c r="F178" t="s">
        <v>59</v>
      </c>
      <c r="G178" t="s">
        <v>298</v>
      </c>
      <c r="H178" t="s">
        <v>57</v>
      </c>
      <c r="I178" t="s">
        <v>28</v>
      </c>
      <c r="J178">
        <v>447</v>
      </c>
      <c r="K178" t="s">
        <v>124</v>
      </c>
      <c r="L178">
        <v>5</v>
      </c>
      <c r="M178" s="28">
        <v>24790</v>
      </c>
      <c r="N178" s="36">
        <f t="shared" si="3"/>
        <v>4958</v>
      </c>
      <c r="O178" s="21">
        <v>26.655913978494624</v>
      </c>
      <c r="P178" t="s">
        <v>30</v>
      </c>
      <c r="Q178" t="s">
        <v>31</v>
      </c>
      <c r="R178" s="1">
        <v>46041</v>
      </c>
      <c r="S178" t="s">
        <v>32</v>
      </c>
      <c r="T178" s="2"/>
      <c r="U178" s="2"/>
    </row>
    <row r="179" spans="1:21" ht="15.75" x14ac:dyDescent="0.25">
      <c r="A179" t="s">
        <v>20</v>
      </c>
      <c r="B179" t="s">
        <v>291</v>
      </c>
      <c r="C179" t="s">
        <v>292</v>
      </c>
      <c r="D179" t="s">
        <v>293</v>
      </c>
      <c r="E179" t="s">
        <v>48</v>
      </c>
      <c r="F179" t="s">
        <v>59</v>
      </c>
      <c r="G179" t="s">
        <v>299</v>
      </c>
      <c r="H179" t="s">
        <v>57</v>
      </c>
      <c r="I179" t="s">
        <v>28</v>
      </c>
      <c r="J179">
        <v>447</v>
      </c>
      <c r="K179" t="s">
        <v>124</v>
      </c>
      <c r="L179">
        <v>5</v>
      </c>
      <c r="M179" s="28">
        <v>17700</v>
      </c>
      <c r="N179" s="36">
        <f t="shared" si="3"/>
        <v>3540</v>
      </c>
      <c r="O179" s="21">
        <v>19.032258064516128</v>
      </c>
      <c r="P179" t="s">
        <v>30</v>
      </c>
      <c r="Q179" t="s">
        <v>31</v>
      </c>
      <c r="R179" s="1">
        <v>46041</v>
      </c>
      <c r="S179" t="s">
        <v>32</v>
      </c>
      <c r="T179" s="2"/>
      <c r="U179" s="2"/>
    </row>
    <row r="180" spans="1:21" ht="15.75" x14ac:dyDescent="0.25">
      <c r="A180" t="s">
        <v>20</v>
      </c>
      <c r="B180" t="s">
        <v>291</v>
      </c>
      <c r="C180" t="s">
        <v>292</v>
      </c>
      <c r="D180" t="s">
        <v>293</v>
      </c>
      <c r="E180" t="s">
        <v>48</v>
      </c>
      <c r="F180" t="s">
        <v>59</v>
      </c>
      <c r="G180" t="s">
        <v>259</v>
      </c>
      <c r="H180" t="s">
        <v>57</v>
      </c>
      <c r="I180" t="s">
        <v>28</v>
      </c>
      <c r="J180">
        <v>447</v>
      </c>
      <c r="K180" t="s">
        <v>124</v>
      </c>
      <c r="L180">
        <v>5</v>
      </c>
      <c r="M180" s="28">
        <v>17700</v>
      </c>
      <c r="N180" s="36">
        <f t="shared" si="3"/>
        <v>3540</v>
      </c>
      <c r="O180" s="21">
        <v>19.032258064516128</v>
      </c>
      <c r="P180" t="s">
        <v>30</v>
      </c>
      <c r="Q180" t="s">
        <v>31</v>
      </c>
      <c r="R180" s="1">
        <v>46041</v>
      </c>
      <c r="S180" t="s">
        <v>32</v>
      </c>
      <c r="T180" s="2"/>
      <c r="U180" s="2"/>
    </row>
    <row r="181" spans="1:21" ht="15.75" x14ac:dyDescent="0.25">
      <c r="A181" t="s">
        <v>20</v>
      </c>
      <c r="B181" t="s">
        <v>300</v>
      </c>
      <c r="C181" t="s">
        <v>301</v>
      </c>
      <c r="D181" t="s">
        <v>293</v>
      </c>
      <c r="E181" t="s">
        <v>41</v>
      </c>
      <c r="F181" t="s">
        <v>37</v>
      </c>
      <c r="G181" t="s">
        <v>137</v>
      </c>
      <c r="H181" t="s">
        <v>27</v>
      </c>
      <c r="I181" t="s">
        <v>28</v>
      </c>
      <c r="J181">
        <v>448</v>
      </c>
      <c r="K181" t="s">
        <v>124</v>
      </c>
      <c r="L181">
        <v>40</v>
      </c>
      <c r="M181" s="28">
        <v>0</v>
      </c>
      <c r="N181" s="36">
        <f t="shared" si="3"/>
        <v>0</v>
      </c>
      <c r="O181" s="21">
        <v>0</v>
      </c>
      <c r="P181" t="s">
        <v>30</v>
      </c>
      <c r="Q181" t="s">
        <v>31</v>
      </c>
      <c r="R181" s="1">
        <v>46052</v>
      </c>
      <c r="S181" t="s">
        <v>32</v>
      </c>
      <c r="T181" s="2" t="s">
        <v>302</v>
      </c>
      <c r="U181" s="3">
        <v>45706</v>
      </c>
    </row>
    <row r="182" spans="1:21" ht="15.75" x14ac:dyDescent="0.25">
      <c r="A182" t="s">
        <v>20</v>
      </c>
      <c r="B182" t="s">
        <v>300</v>
      </c>
      <c r="C182" t="s">
        <v>301</v>
      </c>
      <c r="D182" t="s">
        <v>293</v>
      </c>
      <c r="E182" t="s">
        <v>41</v>
      </c>
      <c r="F182" t="s">
        <v>37</v>
      </c>
      <c r="G182" t="s">
        <v>303</v>
      </c>
      <c r="H182" t="s">
        <v>27</v>
      </c>
      <c r="I182" t="s">
        <v>28</v>
      </c>
      <c r="J182">
        <v>448</v>
      </c>
      <c r="K182" t="s">
        <v>124</v>
      </c>
      <c r="L182">
        <v>40</v>
      </c>
      <c r="M182" s="28">
        <v>0</v>
      </c>
      <c r="N182" s="36">
        <f t="shared" si="3"/>
        <v>0</v>
      </c>
      <c r="O182" s="21">
        <v>0</v>
      </c>
      <c r="P182" t="s">
        <v>30</v>
      </c>
      <c r="Q182" t="s">
        <v>31</v>
      </c>
      <c r="R182" s="1">
        <v>46052</v>
      </c>
      <c r="S182" t="s">
        <v>32</v>
      </c>
      <c r="T182" s="2" t="s">
        <v>302</v>
      </c>
      <c r="U182" s="3">
        <v>45706</v>
      </c>
    </row>
    <row r="183" spans="1:21" ht="15.75" x14ac:dyDescent="0.25">
      <c r="A183" t="s">
        <v>20</v>
      </c>
      <c r="B183" t="s">
        <v>304</v>
      </c>
      <c r="C183" t="s">
        <v>305</v>
      </c>
      <c r="D183" t="s">
        <v>293</v>
      </c>
      <c r="E183" t="s">
        <v>41</v>
      </c>
      <c r="F183" t="s">
        <v>37</v>
      </c>
      <c r="G183" t="s">
        <v>137</v>
      </c>
      <c r="H183" t="s">
        <v>27</v>
      </c>
      <c r="I183" t="s">
        <v>28</v>
      </c>
      <c r="J183">
        <v>449</v>
      </c>
      <c r="K183" t="s">
        <v>124</v>
      </c>
      <c r="L183">
        <v>40</v>
      </c>
      <c r="M183" s="28">
        <v>0</v>
      </c>
      <c r="N183" s="36">
        <f t="shared" si="3"/>
        <v>0</v>
      </c>
      <c r="O183" s="21">
        <v>0</v>
      </c>
      <c r="P183" t="s">
        <v>30</v>
      </c>
      <c r="Q183" t="s">
        <v>31</v>
      </c>
      <c r="R183" s="1">
        <v>46052</v>
      </c>
      <c r="S183" t="s">
        <v>32</v>
      </c>
      <c r="T183" s="2" t="s">
        <v>306</v>
      </c>
      <c r="U183" s="3">
        <v>45706</v>
      </c>
    </row>
    <row r="184" spans="1:21" ht="15.75" x14ac:dyDescent="0.25">
      <c r="A184" t="s">
        <v>20</v>
      </c>
      <c r="B184" t="s">
        <v>304</v>
      </c>
      <c r="C184" t="s">
        <v>305</v>
      </c>
      <c r="D184" t="s">
        <v>293</v>
      </c>
      <c r="E184" t="s">
        <v>41</v>
      </c>
      <c r="F184" t="s">
        <v>37</v>
      </c>
      <c r="G184" t="s">
        <v>303</v>
      </c>
      <c r="H184" t="s">
        <v>27</v>
      </c>
      <c r="I184" t="s">
        <v>28</v>
      </c>
      <c r="J184">
        <v>449</v>
      </c>
      <c r="K184" t="s">
        <v>124</v>
      </c>
      <c r="L184">
        <v>40</v>
      </c>
      <c r="M184" s="28">
        <v>0</v>
      </c>
      <c r="N184" s="36">
        <f t="shared" si="3"/>
        <v>0</v>
      </c>
      <c r="O184" s="21">
        <v>0</v>
      </c>
      <c r="P184" t="s">
        <v>30</v>
      </c>
      <c r="Q184" t="s">
        <v>31</v>
      </c>
      <c r="R184" s="1">
        <v>46052</v>
      </c>
      <c r="S184" t="s">
        <v>32</v>
      </c>
      <c r="T184" s="2" t="s">
        <v>306</v>
      </c>
      <c r="U184" s="3">
        <v>45706</v>
      </c>
    </row>
    <row r="185" spans="1:21" ht="15.75" x14ac:dyDescent="0.25">
      <c r="A185" t="s">
        <v>20</v>
      </c>
      <c r="B185" t="s">
        <v>307</v>
      </c>
      <c r="C185" t="s">
        <v>308</v>
      </c>
      <c r="D185" t="s">
        <v>293</v>
      </c>
      <c r="E185" t="s">
        <v>48</v>
      </c>
      <c r="F185" t="s">
        <v>59</v>
      </c>
      <c r="G185" t="s">
        <v>290</v>
      </c>
      <c r="H185" t="s">
        <v>27</v>
      </c>
      <c r="I185" t="s">
        <v>65</v>
      </c>
      <c r="J185">
        <v>159</v>
      </c>
      <c r="K185" t="s">
        <v>124</v>
      </c>
      <c r="L185">
        <v>20</v>
      </c>
      <c r="M185" s="28">
        <v>62000</v>
      </c>
      <c r="N185" s="36">
        <f t="shared" si="3"/>
        <v>3100</v>
      </c>
      <c r="O185" s="21">
        <v>66.666666666666671</v>
      </c>
      <c r="P185" t="s">
        <v>30</v>
      </c>
      <c r="Q185" t="s">
        <v>31</v>
      </c>
      <c r="R185" s="1">
        <v>46101</v>
      </c>
      <c r="S185" t="s">
        <v>32</v>
      </c>
      <c r="T185" s="2"/>
      <c r="U185" s="2"/>
    </row>
    <row r="186" spans="1:21" ht="15.75" x14ac:dyDescent="0.25">
      <c r="A186" t="s">
        <v>20</v>
      </c>
      <c r="B186" t="s">
        <v>307</v>
      </c>
      <c r="C186" t="s">
        <v>308</v>
      </c>
      <c r="D186" t="s">
        <v>293</v>
      </c>
      <c r="E186" t="s">
        <v>48</v>
      </c>
      <c r="F186" t="s">
        <v>59</v>
      </c>
      <c r="G186" t="s">
        <v>309</v>
      </c>
      <c r="H186" t="s">
        <v>27</v>
      </c>
      <c r="I186" t="s">
        <v>65</v>
      </c>
      <c r="J186">
        <v>159</v>
      </c>
      <c r="K186" t="s">
        <v>124</v>
      </c>
      <c r="L186">
        <v>15</v>
      </c>
      <c r="M186" s="28">
        <v>46500</v>
      </c>
      <c r="N186" s="36">
        <f t="shared" si="3"/>
        <v>3100</v>
      </c>
      <c r="O186" s="21">
        <v>50</v>
      </c>
      <c r="P186" t="s">
        <v>30</v>
      </c>
      <c r="Q186" t="s">
        <v>31</v>
      </c>
      <c r="R186" s="1">
        <v>46101</v>
      </c>
      <c r="S186" t="s">
        <v>32</v>
      </c>
      <c r="T186" s="2"/>
      <c r="U186" s="2"/>
    </row>
    <row r="187" spans="1:21" ht="15.75" x14ac:dyDescent="0.25">
      <c r="A187" t="s">
        <v>20</v>
      </c>
      <c r="B187" t="s">
        <v>307</v>
      </c>
      <c r="C187" t="s">
        <v>308</v>
      </c>
      <c r="D187" t="s">
        <v>293</v>
      </c>
      <c r="E187" t="s">
        <v>48</v>
      </c>
      <c r="F187" t="s">
        <v>59</v>
      </c>
      <c r="G187" t="s">
        <v>310</v>
      </c>
      <c r="H187" t="s">
        <v>27</v>
      </c>
      <c r="I187" t="s">
        <v>65</v>
      </c>
      <c r="J187">
        <v>159</v>
      </c>
      <c r="K187" t="s">
        <v>124</v>
      </c>
      <c r="L187">
        <v>1</v>
      </c>
      <c r="M187" s="28">
        <v>3100</v>
      </c>
      <c r="N187" s="36">
        <f t="shared" si="3"/>
        <v>3100</v>
      </c>
      <c r="O187" s="21">
        <v>3.3333333333333335</v>
      </c>
      <c r="P187" t="s">
        <v>30</v>
      </c>
      <c r="Q187" t="s">
        <v>31</v>
      </c>
      <c r="R187" s="1">
        <v>46101</v>
      </c>
      <c r="S187" t="s">
        <v>32</v>
      </c>
      <c r="T187" s="2"/>
      <c r="U187" s="2"/>
    </row>
    <row r="188" spans="1:21" ht="15.75" x14ac:dyDescent="0.25">
      <c r="A188" t="s">
        <v>20</v>
      </c>
      <c r="B188" t="s">
        <v>307</v>
      </c>
      <c r="C188" t="s">
        <v>308</v>
      </c>
      <c r="D188" t="s">
        <v>293</v>
      </c>
      <c r="E188" t="s">
        <v>48</v>
      </c>
      <c r="F188" t="s">
        <v>59</v>
      </c>
      <c r="G188" t="s">
        <v>296</v>
      </c>
      <c r="H188" t="s">
        <v>27</v>
      </c>
      <c r="I188" t="s">
        <v>65</v>
      </c>
      <c r="J188">
        <v>159</v>
      </c>
      <c r="K188" t="s">
        <v>124</v>
      </c>
      <c r="L188">
        <v>5</v>
      </c>
      <c r="M188" s="28">
        <v>15500</v>
      </c>
      <c r="N188" s="36">
        <f t="shared" si="3"/>
        <v>3100</v>
      </c>
      <c r="O188" s="21">
        <v>16.666666666666668</v>
      </c>
      <c r="P188" t="s">
        <v>30</v>
      </c>
      <c r="Q188" t="s">
        <v>31</v>
      </c>
      <c r="R188" s="1">
        <v>46101</v>
      </c>
      <c r="S188" t="s">
        <v>32</v>
      </c>
      <c r="T188" s="2"/>
      <c r="U188" s="2"/>
    </row>
    <row r="189" spans="1:21" ht="15.75" x14ac:dyDescent="0.25">
      <c r="A189" t="s">
        <v>20</v>
      </c>
      <c r="B189" t="s">
        <v>307</v>
      </c>
      <c r="C189" t="s">
        <v>308</v>
      </c>
      <c r="D189" t="s">
        <v>293</v>
      </c>
      <c r="E189" t="s">
        <v>48</v>
      </c>
      <c r="F189" t="s">
        <v>59</v>
      </c>
      <c r="G189" t="s">
        <v>311</v>
      </c>
      <c r="H189" t="s">
        <v>27</v>
      </c>
      <c r="I189" t="s">
        <v>65</v>
      </c>
      <c r="J189">
        <v>159</v>
      </c>
      <c r="K189" t="s">
        <v>124</v>
      </c>
      <c r="L189">
        <v>3</v>
      </c>
      <c r="M189" s="28">
        <v>9300</v>
      </c>
      <c r="N189" s="36">
        <f t="shared" si="3"/>
        <v>3100</v>
      </c>
      <c r="O189" s="21">
        <v>10</v>
      </c>
      <c r="P189" t="s">
        <v>30</v>
      </c>
      <c r="Q189" t="s">
        <v>31</v>
      </c>
      <c r="R189" s="1">
        <v>46101</v>
      </c>
      <c r="S189" t="s">
        <v>32</v>
      </c>
      <c r="T189" s="2"/>
      <c r="U189" s="2"/>
    </row>
    <row r="190" spans="1:21" ht="15.75" x14ac:dyDescent="0.25">
      <c r="A190" t="s">
        <v>20</v>
      </c>
      <c r="B190" t="s">
        <v>312</v>
      </c>
      <c r="C190" t="s">
        <v>313</v>
      </c>
      <c r="D190" t="s">
        <v>293</v>
      </c>
      <c r="E190" t="s">
        <v>148</v>
      </c>
      <c r="F190" t="s">
        <v>49</v>
      </c>
      <c r="G190" t="s">
        <v>314</v>
      </c>
      <c r="H190" t="s">
        <v>27</v>
      </c>
      <c r="I190" t="s">
        <v>65</v>
      </c>
      <c r="J190">
        <v>160</v>
      </c>
      <c r="K190" t="s">
        <v>29</v>
      </c>
      <c r="L190">
        <v>12</v>
      </c>
      <c r="M190" s="28">
        <v>110100</v>
      </c>
      <c r="N190" s="36">
        <f t="shared" si="3"/>
        <v>9175</v>
      </c>
      <c r="O190" s="21">
        <v>118.38709677419355</v>
      </c>
      <c r="P190" t="s">
        <v>30</v>
      </c>
      <c r="Q190" t="s">
        <v>31</v>
      </c>
      <c r="R190" s="1">
        <v>46071</v>
      </c>
      <c r="S190" t="s">
        <v>32</v>
      </c>
      <c r="T190" s="2"/>
      <c r="U190" s="2"/>
    </row>
    <row r="191" spans="1:21" ht="15.75" x14ac:dyDescent="0.25">
      <c r="A191" t="s">
        <v>20</v>
      </c>
      <c r="B191" t="s">
        <v>312</v>
      </c>
      <c r="C191" t="s">
        <v>313</v>
      </c>
      <c r="D191" t="s">
        <v>293</v>
      </c>
      <c r="E191" t="s">
        <v>148</v>
      </c>
      <c r="F191" t="s">
        <v>49</v>
      </c>
      <c r="G191" t="s">
        <v>172</v>
      </c>
      <c r="H191" t="s">
        <v>27</v>
      </c>
      <c r="I191" t="s">
        <v>65</v>
      </c>
      <c r="J191">
        <v>160</v>
      </c>
      <c r="K191" t="s">
        <v>29</v>
      </c>
      <c r="L191">
        <v>24</v>
      </c>
      <c r="M191" s="28">
        <v>146160</v>
      </c>
      <c r="N191" s="36">
        <f t="shared" si="3"/>
        <v>6090</v>
      </c>
      <c r="O191" s="21">
        <v>157.16129032258064</v>
      </c>
      <c r="P191" t="s">
        <v>30</v>
      </c>
      <c r="Q191" t="s">
        <v>31</v>
      </c>
      <c r="R191" s="1">
        <v>46071</v>
      </c>
      <c r="S191" t="s">
        <v>32</v>
      </c>
      <c r="T191" s="2"/>
      <c r="U191" s="2"/>
    </row>
    <row r="192" spans="1:21" ht="15.75" x14ac:dyDescent="0.25">
      <c r="A192" t="s">
        <v>20</v>
      </c>
      <c r="B192" t="s">
        <v>312</v>
      </c>
      <c r="C192" t="s">
        <v>313</v>
      </c>
      <c r="D192" t="s">
        <v>293</v>
      </c>
      <c r="E192" t="s">
        <v>148</v>
      </c>
      <c r="F192" t="s">
        <v>49</v>
      </c>
      <c r="G192" t="s">
        <v>167</v>
      </c>
      <c r="H192" t="s">
        <v>27</v>
      </c>
      <c r="I192" t="s">
        <v>65</v>
      </c>
      <c r="J192">
        <v>160</v>
      </c>
      <c r="K192" t="s">
        <v>29</v>
      </c>
      <c r="L192">
        <v>36</v>
      </c>
      <c r="M192" s="28">
        <v>330300</v>
      </c>
      <c r="N192" s="36">
        <f t="shared" si="3"/>
        <v>9175</v>
      </c>
      <c r="O192" s="21">
        <v>355.16129032258067</v>
      </c>
      <c r="P192" t="s">
        <v>30</v>
      </c>
      <c r="Q192" t="s">
        <v>31</v>
      </c>
      <c r="R192" s="1">
        <v>46071</v>
      </c>
      <c r="S192" t="s">
        <v>32</v>
      </c>
      <c r="T192" s="2"/>
      <c r="U192" s="2"/>
    </row>
    <row r="193" spans="1:21" ht="15.75" x14ac:dyDescent="0.25">
      <c r="A193" t="s">
        <v>20</v>
      </c>
      <c r="B193" t="s">
        <v>312</v>
      </c>
      <c r="C193" t="s">
        <v>313</v>
      </c>
      <c r="D193" t="s">
        <v>293</v>
      </c>
      <c r="E193" t="s">
        <v>148</v>
      </c>
      <c r="F193" t="s">
        <v>49</v>
      </c>
      <c r="G193" t="s">
        <v>170</v>
      </c>
      <c r="H193" t="s">
        <v>27</v>
      </c>
      <c r="I193" t="s">
        <v>65</v>
      </c>
      <c r="J193">
        <v>160</v>
      </c>
      <c r="K193" t="s">
        <v>29</v>
      </c>
      <c r="L193">
        <v>12</v>
      </c>
      <c r="M193" s="28">
        <v>73392</v>
      </c>
      <c r="N193" s="36">
        <f t="shared" si="3"/>
        <v>6116</v>
      </c>
      <c r="O193" s="21">
        <v>78.91612903225807</v>
      </c>
      <c r="P193" t="s">
        <v>30</v>
      </c>
      <c r="Q193" t="s">
        <v>31</v>
      </c>
      <c r="R193" s="1">
        <v>46071</v>
      </c>
      <c r="S193" t="s">
        <v>32</v>
      </c>
      <c r="T193" s="2"/>
      <c r="U193" s="2"/>
    </row>
    <row r="194" spans="1:21" ht="15.75" x14ac:dyDescent="0.25">
      <c r="A194" t="s">
        <v>20</v>
      </c>
      <c r="B194" t="s">
        <v>312</v>
      </c>
      <c r="C194" t="s">
        <v>313</v>
      </c>
      <c r="D194" t="s">
        <v>293</v>
      </c>
      <c r="E194" t="s">
        <v>148</v>
      </c>
      <c r="F194" t="s">
        <v>49</v>
      </c>
      <c r="G194" t="s">
        <v>231</v>
      </c>
      <c r="H194" t="s">
        <v>27</v>
      </c>
      <c r="I194" t="s">
        <v>65</v>
      </c>
      <c r="J194">
        <v>160</v>
      </c>
      <c r="K194" t="s">
        <v>29</v>
      </c>
      <c r="L194">
        <v>48</v>
      </c>
      <c r="M194" s="28">
        <v>293568</v>
      </c>
      <c r="N194" s="36">
        <f t="shared" si="3"/>
        <v>6116</v>
      </c>
      <c r="O194" s="21">
        <v>315.66451612903228</v>
      </c>
      <c r="P194" t="s">
        <v>30</v>
      </c>
      <c r="Q194" t="s">
        <v>31</v>
      </c>
      <c r="R194" s="1">
        <v>46071</v>
      </c>
      <c r="S194" t="s">
        <v>32</v>
      </c>
      <c r="T194" s="2"/>
      <c r="U194" s="2"/>
    </row>
    <row r="195" spans="1:21" ht="15.75" x14ac:dyDescent="0.25">
      <c r="A195" t="s">
        <v>20</v>
      </c>
      <c r="B195" t="s">
        <v>312</v>
      </c>
      <c r="C195" t="s">
        <v>313</v>
      </c>
      <c r="D195" t="s">
        <v>293</v>
      </c>
      <c r="E195" t="s">
        <v>148</v>
      </c>
      <c r="F195" t="s">
        <v>49</v>
      </c>
      <c r="G195" t="s">
        <v>232</v>
      </c>
      <c r="H195" t="s">
        <v>27</v>
      </c>
      <c r="I195" t="s">
        <v>65</v>
      </c>
      <c r="J195">
        <v>160</v>
      </c>
      <c r="K195" t="s">
        <v>29</v>
      </c>
      <c r="L195">
        <v>36</v>
      </c>
      <c r="M195" s="28">
        <v>242208</v>
      </c>
      <c r="N195" s="36">
        <f t="shared" si="3"/>
        <v>6728</v>
      </c>
      <c r="O195" s="21">
        <v>260.43870967741935</v>
      </c>
      <c r="P195" t="s">
        <v>30</v>
      </c>
      <c r="Q195" t="s">
        <v>31</v>
      </c>
      <c r="R195" s="1">
        <v>46071</v>
      </c>
      <c r="S195" t="s">
        <v>32</v>
      </c>
      <c r="T195" s="2"/>
      <c r="U195" s="2"/>
    </row>
    <row r="196" spans="1:21" ht="15.75" x14ac:dyDescent="0.25">
      <c r="A196" t="s">
        <v>20</v>
      </c>
      <c r="B196" t="s">
        <v>307</v>
      </c>
      <c r="C196" t="s">
        <v>308</v>
      </c>
      <c r="D196" t="s">
        <v>315</v>
      </c>
      <c r="E196" t="s">
        <v>48</v>
      </c>
      <c r="F196" t="s">
        <v>59</v>
      </c>
      <c r="G196" t="s">
        <v>316</v>
      </c>
      <c r="H196" t="s">
        <v>27</v>
      </c>
      <c r="I196" t="s">
        <v>28</v>
      </c>
      <c r="J196">
        <v>450</v>
      </c>
      <c r="K196" t="s">
        <v>29</v>
      </c>
      <c r="L196">
        <v>15</v>
      </c>
      <c r="M196" s="28">
        <v>0</v>
      </c>
      <c r="N196" s="36">
        <f t="shared" si="3"/>
        <v>0</v>
      </c>
      <c r="O196" s="21">
        <v>0</v>
      </c>
      <c r="P196" t="s">
        <v>30</v>
      </c>
      <c r="Q196" t="s">
        <v>31</v>
      </c>
      <c r="R196" s="1">
        <v>46081</v>
      </c>
      <c r="S196" t="s">
        <v>32</v>
      </c>
      <c r="T196" s="2" t="s">
        <v>317</v>
      </c>
      <c r="U196" s="3">
        <v>46020</v>
      </c>
    </row>
    <row r="197" spans="1:21" ht="15.75" x14ac:dyDescent="0.25">
      <c r="A197" t="s">
        <v>20</v>
      </c>
      <c r="B197" t="s">
        <v>307</v>
      </c>
      <c r="C197" t="s">
        <v>308</v>
      </c>
      <c r="D197" t="s">
        <v>315</v>
      </c>
      <c r="E197" t="s">
        <v>48</v>
      </c>
      <c r="F197" t="s">
        <v>59</v>
      </c>
      <c r="G197" t="s">
        <v>318</v>
      </c>
      <c r="H197" t="s">
        <v>27</v>
      </c>
      <c r="I197" t="s">
        <v>28</v>
      </c>
      <c r="J197">
        <v>450</v>
      </c>
      <c r="K197" t="s">
        <v>29</v>
      </c>
      <c r="L197">
        <v>1</v>
      </c>
      <c r="M197" s="28">
        <v>0</v>
      </c>
      <c r="N197" s="36">
        <f t="shared" si="3"/>
        <v>0</v>
      </c>
      <c r="O197" s="21">
        <v>0</v>
      </c>
      <c r="P197" t="s">
        <v>30</v>
      </c>
      <c r="Q197" t="s">
        <v>31</v>
      </c>
      <c r="R197" s="1">
        <v>46081</v>
      </c>
      <c r="S197" t="s">
        <v>32</v>
      </c>
      <c r="T197" s="2" t="s">
        <v>317</v>
      </c>
      <c r="U197" s="3">
        <v>46020</v>
      </c>
    </row>
    <row r="198" spans="1:21" ht="15.75" x14ac:dyDescent="0.25">
      <c r="A198" t="s">
        <v>20</v>
      </c>
      <c r="B198" t="s">
        <v>307</v>
      </c>
      <c r="C198" t="s">
        <v>308</v>
      </c>
      <c r="D198" t="s">
        <v>315</v>
      </c>
      <c r="E198" t="s">
        <v>48</v>
      </c>
      <c r="F198" t="s">
        <v>59</v>
      </c>
      <c r="G198" t="s">
        <v>319</v>
      </c>
      <c r="H198" t="s">
        <v>27</v>
      </c>
      <c r="I198" t="s">
        <v>28</v>
      </c>
      <c r="J198">
        <v>450</v>
      </c>
      <c r="K198" t="s">
        <v>29</v>
      </c>
      <c r="L198">
        <v>20</v>
      </c>
      <c r="M198" s="28">
        <v>0</v>
      </c>
      <c r="N198" s="36">
        <f t="shared" si="3"/>
        <v>0</v>
      </c>
      <c r="O198" s="21">
        <v>0</v>
      </c>
      <c r="P198" t="s">
        <v>30</v>
      </c>
      <c r="Q198" t="s">
        <v>31</v>
      </c>
      <c r="R198" s="1">
        <v>46081</v>
      </c>
      <c r="S198" t="s">
        <v>32</v>
      </c>
      <c r="T198" s="2" t="s">
        <v>317</v>
      </c>
      <c r="U198" s="3">
        <v>46020</v>
      </c>
    </row>
    <row r="199" spans="1:21" ht="15.75" x14ac:dyDescent="0.25">
      <c r="A199" t="s">
        <v>20</v>
      </c>
      <c r="B199" t="s">
        <v>307</v>
      </c>
      <c r="C199" t="s">
        <v>308</v>
      </c>
      <c r="D199" t="s">
        <v>315</v>
      </c>
      <c r="E199" t="s">
        <v>48</v>
      </c>
      <c r="F199" t="s">
        <v>59</v>
      </c>
      <c r="G199" t="s">
        <v>320</v>
      </c>
      <c r="H199" t="s">
        <v>27</v>
      </c>
      <c r="I199" t="s">
        <v>28</v>
      </c>
      <c r="J199">
        <v>450</v>
      </c>
      <c r="K199" t="s">
        <v>29</v>
      </c>
      <c r="L199">
        <v>10</v>
      </c>
      <c r="M199" s="28">
        <v>0</v>
      </c>
      <c r="N199" s="36">
        <f t="shared" si="3"/>
        <v>0</v>
      </c>
      <c r="O199" s="21">
        <v>0</v>
      </c>
      <c r="P199" t="s">
        <v>30</v>
      </c>
      <c r="Q199" t="s">
        <v>31</v>
      </c>
      <c r="R199" s="1">
        <v>46081</v>
      </c>
      <c r="S199" t="s">
        <v>32</v>
      </c>
      <c r="T199" s="2" t="s">
        <v>317</v>
      </c>
      <c r="U199" s="3">
        <v>46020</v>
      </c>
    </row>
    <row r="200" spans="1:21" ht="15.75" x14ac:dyDescent="0.25">
      <c r="A200" t="s">
        <v>20</v>
      </c>
      <c r="B200" t="s">
        <v>82</v>
      </c>
      <c r="C200" s="41" t="s">
        <v>83</v>
      </c>
      <c r="D200" s="41" t="s">
        <v>315</v>
      </c>
      <c r="E200" s="38" t="s">
        <v>24</v>
      </c>
      <c r="F200" s="41" t="s">
        <v>25</v>
      </c>
      <c r="G200" s="41" t="s">
        <v>254</v>
      </c>
      <c r="H200" s="41" t="s">
        <v>57</v>
      </c>
      <c r="I200" s="41" t="s">
        <v>28</v>
      </c>
      <c r="J200" s="41">
        <v>451</v>
      </c>
      <c r="K200" s="41" t="s">
        <v>124</v>
      </c>
      <c r="L200" s="41">
        <v>20</v>
      </c>
      <c r="M200" s="42">
        <v>80000</v>
      </c>
      <c r="N200" s="36">
        <f t="shared" si="3"/>
        <v>4000</v>
      </c>
      <c r="O200" s="21">
        <v>86.021505376344081</v>
      </c>
      <c r="P200" t="s">
        <v>30</v>
      </c>
      <c r="Q200" t="s">
        <v>31</v>
      </c>
      <c r="R200" s="1">
        <v>46132</v>
      </c>
      <c r="S200" t="s">
        <v>32</v>
      </c>
      <c r="T200" s="2"/>
      <c r="U200" s="2"/>
    </row>
    <row r="201" spans="1:21" ht="15.75" x14ac:dyDescent="0.25">
      <c r="A201" t="s">
        <v>20</v>
      </c>
      <c r="B201" t="s">
        <v>82</v>
      </c>
      <c r="C201" s="41" t="s">
        <v>83</v>
      </c>
      <c r="D201" s="41" t="s">
        <v>315</v>
      </c>
      <c r="E201" s="38" t="s">
        <v>24</v>
      </c>
      <c r="F201" s="41" t="s">
        <v>25</v>
      </c>
      <c r="G201" s="41" t="s">
        <v>321</v>
      </c>
      <c r="H201" s="41" t="s">
        <v>57</v>
      </c>
      <c r="I201" s="41" t="s">
        <v>28</v>
      </c>
      <c r="J201" s="41">
        <v>451</v>
      </c>
      <c r="K201" s="41" t="s">
        <v>124</v>
      </c>
      <c r="L201" s="41">
        <v>10</v>
      </c>
      <c r="M201" s="42">
        <v>40000</v>
      </c>
      <c r="N201" s="36">
        <f t="shared" si="3"/>
        <v>4000</v>
      </c>
      <c r="O201" s="21">
        <v>43.01075268817204</v>
      </c>
      <c r="P201" t="s">
        <v>30</v>
      </c>
      <c r="Q201" t="s">
        <v>31</v>
      </c>
      <c r="R201" s="1">
        <v>46132</v>
      </c>
      <c r="S201" t="s">
        <v>32</v>
      </c>
      <c r="T201" s="2"/>
      <c r="U201" s="2"/>
    </row>
    <row r="202" spans="1:21" ht="15.75" x14ac:dyDescent="0.25">
      <c r="A202" t="s">
        <v>20</v>
      </c>
      <c r="B202" t="s">
        <v>82</v>
      </c>
      <c r="C202" s="41" t="s">
        <v>83</v>
      </c>
      <c r="D202" s="41" t="s">
        <v>315</v>
      </c>
      <c r="E202" s="38" t="s">
        <v>24</v>
      </c>
      <c r="F202" s="41" t="s">
        <v>25</v>
      </c>
      <c r="G202" s="41" t="s">
        <v>322</v>
      </c>
      <c r="H202" s="41" t="s">
        <v>57</v>
      </c>
      <c r="I202" s="41" t="s">
        <v>28</v>
      </c>
      <c r="J202" s="41">
        <v>451</v>
      </c>
      <c r="K202" s="41" t="s">
        <v>124</v>
      </c>
      <c r="L202" s="41">
        <v>120</v>
      </c>
      <c r="M202" s="42">
        <v>1404000</v>
      </c>
      <c r="N202" s="36">
        <f t="shared" si="3"/>
        <v>11700</v>
      </c>
      <c r="O202" s="21">
        <v>1509.6774193548388</v>
      </c>
      <c r="P202" t="s">
        <v>30</v>
      </c>
      <c r="Q202" t="s">
        <v>31</v>
      </c>
      <c r="R202" s="1">
        <v>46132</v>
      </c>
      <c r="S202" t="s">
        <v>32</v>
      </c>
      <c r="T202" s="2"/>
      <c r="U202" s="2"/>
    </row>
    <row r="203" spans="1:21" ht="15.75" x14ac:dyDescent="0.25">
      <c r="A203" t="s">
        <v>20</v>
      </c>
      <c r="B203" t="s">
        <v>82</v>
      </c>
      <c r="C203" s="41" t="s">
        <v>83</v>
      </c>
      <c r="D203" s="41" t="s">
        <v>315</v>
      </c>
      <c r="E203" s="38" t="s">
        <v>24</v>
      </c>
      <c r="F203" s="41" t="s">
        <v>25</v>
      </c>
      <c r="G203" s="41" t="s">
        <v>323</v>
      </c>
      <c r="H203" s="41" t="s">
        <v>57</v>
      </c>
      <c r="I203" s="41" t="s">
        <v>28</v>
      </c>
      <c r="J203" s="41">
        <v>451</v>
      </c>
      <c r="K203" s="41" t="s">
        <v>124</v>
      </c>
      <c r="L203" s="41">
        <v>10</v>
      </c>
      <c r="M203" s="42">
        <v>149000</v>
      </c>
      <c r="N203" s="36">
        <f t="shared" si="3"/>
        <v>14900</v>
      </c>
      <c r="O203" s="21">
        <v>160.21505376344086</v>
      </c>
      <c r="P203" t="s">
        <v>30</v>
      </c>
      <c r="Q203" t="s">
        <v>31</v>
      </c>
      <c r="R203" s="1">
        <v>46132</v>
      </c>
      <c r="S203" t="s">
        <v>32</v>
      </c>
      <c r="T203" s="2"/>
      <c r="U203" s="2"/>
    </row>
    <row r="204" spans="1:21" ht="15.75" x14ac:dyDescent="0.25">
      <c r="A204" t="s">
        <v>20</v>
      </c>
      <c r="B204" t="s">
        <v>274</v>
      </c>
      <c r="C204" t="s">
        <v>275</v>
      </c>
      <c r="D204" t="s">
        <v>315</v>
      </c>
      <c r="E204" t="s">
        <v>41</v>
      </c>
      <c r="F204" t="s">
        <v>37</v>
      </c>
      <c r="G204" t="s">
        <v>243</v>
      </c>
      <c r="H204" t="s">
        <v>57</v>
      </c>
      <c r="I204" t="s">
        <v>28</v>
      </c>
      <c r="J204">
        <v>452</v>
      </c>
      <c r="K204" t="s">
        <v>124</v>
      </c>
      <c r="L204">
        <v>20</v>
      </c>
      <c r="M204" s="28">
        <v>170000</v>
      </c>
      <c r="N204" s="36">
        <f t="shared" si="3"/>
        <v>8500</v>
      </c>
      <c r="O204" s="21">
        <v>182.79569892473117</v>
      </c>
      <c r="P204" t="s">
        <v>30</v>
      </c>
      <c r="Q204" t="s">
        <v>31</v>
      </c>
      <c r="R204" s="1">
        <v>46042</v>
      </c>
      <c r="S204" t="s">
        <v>32</v>
      </c>
      <c r="T204" s="2"/>
      <c r="U204" s="2"/>
    </row>
    <row r="205" spans="1:21" ht="15.75" x14ac:dyDescent="0.25">
      <c r="A205" t="s">
        <v>20</v>
      </c>
      <c r="B205" t="s">
        <v>324</v>
      </c>
      <c r="C205" t="s">
        <v>325</v>
      </c>
      <c r="D205" t="s">
        <v>315</v>
      </c>
      <c r="E205" t="s">
        <v>326</v>
      </c>
      <c r="F205" t="s">
        <v>55</v>
      </c>
      <c r="G205" t="s">
        <v>309</v>
      </c>
      <c r="H205" t="s">
        <v>57</v>
      </c>
      <c r="I205" t="s">
        <v>28</v>
      </c>
      <c r="J205">
        <v>453</v>
      </c>
      <c r="K205" t="s">
        <v>124</v>
      </c>
      <c r="L205">
        <v>10</v>
      </c>
      <c r="M205" s="46">
        <v>53320</v>
      </c>
      <c r="N205" s="36">
        <f t="shared" ref="N205:N268" si="4">M205/L205</f>
        <v>5332</v>
      </c>
      <c r="O205" s="21">
        <v>57.333333333333336</v>
      </c>
      <c r="P205" t="s">
        <v>30</v>
      </c>
      <c r="Q205" t="s">
        <v>31</v>
      </c>
      <c r="R205" s="1">
        <v>46102</v>
      </c>
      <c r="S205" t="s">
        <v>32</v>
      </c>
      <c r="T205" s="2"/>
      <c r="U205" s="2"/>
    </row>
    <row r="206" spans="1:21" ht="15.75" x14ac:dyDescent="0.25">
      <c r="A206" t="s">
        <v>20</v>
      </c>
      <c r="B206" t="s">
        <v>324</v>
      </c>
      <c r="C206" t="s">
        <v>325</v>
      </c>
      <c r="D206" t="s">
        <v>315</v>
      </c>
      <c r="E206" t="s">
        <v>326</v>
      </c>
      <c r="F206" t="s">
        <v>55</v>
      </c>
      <c r="G206" t="s">
        <v>310</v>
      </c>
      <c r="H206" t="s">
        <v>57</v>
      </c>
      <c r="I206" t="s">
        <v>28</v>
      </c>
      <c r="J206">
        <v>453</v>
      </c>
      <c r="K206" t="s">
        <v>124</v>
      </c>
      <c r="L206">
        <v>2</v>
      </c>
      <c r="M206" s="28">
        <v>14219</v>
      </c>
      <c r="N206" s="36">
        <f t="shared" si="4"/>
        <v>7109.5</v>
      </c>
      <c r="O206" s="21">
        <v>15.289247311827957</v>
      </c>
      <c r="P206" t="s">
        <v>30</v>
      </c>
      <c r="Q206" t="s">
        <v>31</v>
      </c>
      <c r="R206" s="1">
        <v>46102</v>
      </c>
      <c r="S206" t="s">
        <v>32</v>
      </c>
      <c r="T206" s="2"/>
      <c r="U206" s="2"/>
    </row>
    <row r="207" spans="1:21" ht="15.75" x14ac:dyDescent="0.25">
      <c r="A207" t="s">
        <v>20</v>
      </c>
      <c r="B207" t="s">
        <v>324</v>
      </c>
      <c r="C207" t="s">
        <v>325</v>
      </c>
      <c r="D207" t="s">
        <v>315</v>
      </c>
      <c r="E207" t="s">
        <v>326</v>
      </c>
      <c r="F207" t="s">
        <v>55</v>
      </c>
      <c r="G207" t="s">
        <v>327</v>
      </c>
      <c r="H207" t="s">
        <v>57</v>
      </c>
      <c r="I207" t="s">
        <v>28</v>
      </c>
      <c r="J207">
        <v>453</v>
      </c>
      <c r="K207" t="s">
        <v>124</v>
      </c>
      <c r="L207">
        <v>5</v>
      </c>
      <c r="M207" s="28">
        <v>31103</v>
      </c>
      <c r="N207" s="36">
        <f t="shared" si="4"/>
        <v>6220.6</v>
      </c>
      <c r="O207" s="21">
        <v>33.444086021505377</v>
      </c>
      <c r="P207" t="s">
        <v>30</v>
      </c>
      <c r="Q207" t="s">
        <v>31</v>
      </c>
      <c r="R207" s="1">
        <v>46102</v>
      </c>
      <c r="S207" t="s">
        <v>32</v>
      </c>
      <c r="T207" s="2"/>
      <c r="U207" s="2"/>
    </row>
    <row r="208" spans="1:21" ht="15.75" x14ac:dyDescent="0.25">
      <c r="A208" t="s">
        <v>20</v>
      </c>
      <c r="B208" t="s">
        <v>324</v>
      </c>
      <c r="C208" t="s">
        <v>325</v>
      </c>
      <c r="D208" t="s">
        <v>315</v>
      </c>
      <c r="E208" t="s">
        <v>326</v>
      </c>
      <c r="F208" t="s">
        <v>55</v>
      </c>
      <c r="G208" t="s">
        <v>328</v>
      </c>
      <c r="H208" t="s">
        <v>57</v>
      </c>
      <c r="I208" t="s">
        <v>28</v>
      </c>
      <c r="J208">
        <v>453</v>
      </c>
      <c r="K208" t="s">
        <v>124</v>
      </c>
      <c r="L208">
        <v>5</v>
      </c>
      <c r="M208" s="28">
        <v>44433</v>
      </c>
      <c r="N208" s="36">
        <f t="shared" si="4"/>
        <v>8886.6</v>
      </c>
      <c r="O208" s="21">
        <v>47.777419354838713</v>
      </c>
      <c r="P208" t="s">
        <v>30</v>
      </c>
      <c r="Q208" t="s">
        <v>31</v>
      </c>
      <c r="R208" s="1">
        <v>46102</v>
      </c>
      <c r="S208" t="s">
        <v>32</v>
      </c>
      <c r="T208" s="2"/>
      <c r="U208" s="2"/>
    </row>
    <row r="209" spans="1:21" ht="15.75" x14ac:dyDescent="0.25">
      <c r="A209" t="s">
        <v>20</v>
      </c>
      <c r="B209" t="s">
        <v>329</v>
      </c>
      <c r="C209" s="41" t="s">
        <v>330</v>
      </c>
      <c r="D209" s="41" t="s">
        <v>315</v>
      </c>
      <c r="E209" s="41" t="s">
        <v>89</v>
      </c>
      <c r="F209" s="41" t="s">
        <v>25</v>
      </c>
      <c r="G209" s="41" t="s">
        <v>60</v>
      </c>
      <c r="H209" s="41" t="s">
        <v>57</v>
      </c>
      <c r="I209" s="41" t="s">
        <v>28</v>
      </c>
      <c r="J209" s="41">
        <v>454</v>
      </c>
      <c r="K209" s="41" t="s">
        <v>7</v>
      </c>
      <c r="L209" s="41">
        <v>2</v>
      </c>
      <c r="M209" s="42">
        <v>56000</v>
      </c>
      <c r="N209" s="36">
        <f t="shared" si="4"/>
        <v>28000</v>
      </c>
      <c r="O209" s="21">
        <v>60.215053763440864</v>
      </c>
      <c r="P209" t="s">
        <v>30</v>
      </c>
      <c r="Q209" t="s">
        <v>31</v>
      </c>
      <c r="R209" s="1">
        <v>46049</v>
      </c>
      <c r="S209" t="s">
        <v>32</v>
      </c>
      <c r="T209" s="2"/>
      <c r="U209" s="2"/>
    </row>
    <row r="210" spans="1:21" ht="15.75" x14ac:dyDescent="0.25">
      <c r="A210" t="s">
        <v>20</v>
      </c>
      <c r="B210" t="s">
        <v>331</v>
      </c>
      <c r="C210" s="41" t="s">
        <v>332</v>
      </c>
      <c r="D210" s="41" t="s">
        <v>315</v>
      </c>
      <c r="E210" s="41" t="s">
        <v>89</v>
      </c>
      <c r="F210" s="41" t="s">
        <v>25</v>
      </c>
      <c r="G210" s="41" t="s">
        <v>116</v>
      </c>
      <c r="H210" s="41" t="s">
        <v>57</v>
      </c>
      <c r="I210" s="41" t="s">
        <v>28</v>
      </c>
      <c r="J210" s="41">
        <v>455</v>
      </c>
      <c r="K210" s="41" t="s">
        <v>7</v>
      </c>
      <c r="L210" s="41">
        <v>7</v>
      </c>
      <c r="M210" s="42">
        <v>196000</v>
      </c>
      <c r="N210" s="36">
        <f t="shared" si="4"/>
        <v>28000</v>
      </c>
      <c r="O210" s="21">
        <v>210.75268817204301</v>
      </c>
      <c r="P210" t="s">
        <v>30</v>
      </c>
      <c r="Q210" t="s">
        <v>31</v>
      </c>
      <c r="R210" s="1">
        <v>46101</v>
      </c>
      <c r="S210" t="s">
        <v>32</v>
      </c>
      <c r="T210" s="2"/>
      <c r="U210" s="2"/>
    </row>
    <row r="211" spans="1:21" ht="15.75" x14ac:dyDescent="0.25">
      <c r="A211" t="s">
        <v>20</v>
      </c>
      <c r="B211" t="s">
        <v>331</v>
      </c>
      <c r="C211" s="41" t="s">
        <v>332</v>
      </c>
      <c r="D211" s="41" t="s">
        <v>315</v>
      </c>
      <c r="E211" s="41" t="s">
        <v>89</v>
      </c>
      <c r="F211" s="41" t="s">
        <v>25</v>
      </c>
      <c r="G211" s="41" t="s">
        <v>333</v>
      </c>
      <c r="H211" s="41" t="s">
        <v>27</v>
      </c>
      <c r="I211" s="41" t="s">
        <v>28</v>
      </c>
      <c r="J211" s="41">
        <v>455</v>
      </c>
      <c r="K211" s="41" t="s">
        <v>124</v>
      </c>
      <c r="L211" s="41">
        <v>20</v>
      </c>
      <c r="M211" s="42">
        <v>228800</v>
      </c>
      <c r="N211" s="36">
        <f t="shared" si="4"/>
        <v>11440</v>
      </c>
      <c r="O211" s="21">
        <v>246.02150537634409</v>
      </c>
      <c r="P211" t="s">
        <v>30</v>
      </c>
      <c r="Q211" t="s">
        <v>31</v>
      </c>
      <c r="R211" s="1">
        <v>46101</v>
      </c>
      <c r="S211" t="s">
        <v>32</v>
      </c>
      <c r="T211" s="2"/>
      <c r="U211" s="2"/>
    </row>
    <row r="212" spans="1:21" ht="15.75" x14ac:dyDescent="0.25">
      <c r="A212" t="s">
        <v>20</v>
      </c>
      <c r="B212" t="s">
        <v>331</v>
      </c>
      <c r="C212" s="41" t="s">
        <v>332</v>
      </c>
      <c r="D212" s="41" t="s">
        <v>315</v>
      </c>
      <c r="E212" s="41" t="s">
        <v>89</v>
      </c>
      <c r="F212" s="41" t="s">
        <v>25</v>
      </c>
      <c r="G212" s="41" t="s">
        <v>334</v>
      </c>
      <c r="H212" s="41" t="s">
        <v>27</v>
      </c>
      <c r="I212" s="41" t="s">
        <v>28</v>
      </c>
      <c r="J212" s="41">
        <v>455</v>
      </c>
      <c r="K212" s="41" t="s">
        <v>124</v>
      </c>
      <c r="L212" s="41">
        <v>20</v>
      </c>
      <c r="M212" s="42">
        <v>96000</v>
      </c>
      <c r="N212" s="36">
        <f t="shared" si="4"/>
        <v>4800</v>
      </c>
      <c r="O212" s="21">
        <v>103.2258064516129</v>
      </c>
      <c r="P212" t="s">
        <v>30</v>
      </c>
      <c r="Q212" t="s">
        <v>31</v>
      </c>
      <c r="R212" s="1">
        <v>46101</v>
      </c>
      <c r="S212" t="s">
        <v>32</v>
      </c>
      <c r="T212" s="2"/>
      <c r="U212" s="2"/>
    </row>
    <row r="213" spans="1:21" ht="15.75" x14ac:dyDescent="0.25">
      <c r="A213" t="s">
        <v>20</v>
      </c>
      <c r="B213" t="s">
        <v>335</v>
      </c>
      <c r="C213" t="s">
        <v>336</v>
      </c>
      <c r="D213" t="s">
        <v>337</v>
      </c>
      <c r="E213" t="s">
        <v>48</v>
      </c>
      <c r="F213" t="s">
        <v>59</v>
      </c>
      <c r="G213" t="s">
        <v>338</v>
      </c>
      <c r="H213" t="s">
        <v>27</v>
      </c>
      <c r="I213" t="s">
        <v>28</v>
      </c>
      <c r="J213">
        <v>456</v>
      </c>
      <c r="K213" t="s">
        <v>124</v>
      </c>
      <c r="L213">
        <v>11</v>
      </c>
      <c r="M213" s="28">
        <v>59730</v>
      </c>
      <c r="N213" s="36">
        <f t="shared" si="4"/>
        <v>5430</v>
      </c>
      <c r="O213" s="21">
        <v>64.225806451612897</v>
      </c>
      <c r="P213" t="s">
        <v>30</v>
      </c>
      <c r="Q213" t="s">
        <v>31</v>
      </c>
      <c r="R213" s="1">
        <v>46111</v>
      </c>
      <c r="S213" t="s">
        <v>32</v>
      </c>
      <c r="T213" s="2"/>
      <c r="U213" s="2"/>
    </row>
    <row r="214" spans="1:21" ht="15.75" x14ac:dyDescent="0.25">
      <c r="A214" t="s">
        <v>20</v>
      </c>
      <c r="B214" t="s">
        <v>335</v>
      </c>
      <c r="C214" t="s">
        <v>336</v>
      </c>
      <c r="D214" t="s">
        <v>337</v>
      </c>
      <c r="E214" t="s">
        <v>48</v>
      </c>
      <c r="F214" t="s">
        <v>59</v>
      </c>
      <c r="G214" t="s">
        <v>339</v>
      </c>
      <c r="H214" t="s">
        <v>27</v>
      </c>
      <c r="I214" t="s">
        <v>28</v>
      </c>
      <c r="J214">
        <v>456</v>
      </c>
      <c r="K214" t="s">
        <v>124</v>
      </c>
      <c r="L214">
        <v>20</v>
      </c>
      <c r="M214" s="28">
        <v>81460</v>
      </c>
      <c r="N214" s="36">
        <f t="shared" si="4"/>
        <v>4073</v>
      </c>
      <c r="O214" s="21">
        <v>87.591397849462368</v>
      </c>
      <c r="P214" t="s">
        <v>30</v>
      </c>
      <c r="Q214" t="s">
        <v>31</v>
      </c>
      <c r="R214" s="1">
        <v>46111</v>
      </c>
      <c r="S214" t="s">
        <v>32</v>
      </c>
      <c r="T214" s="2"/>
      <c r="U214" s="2"/>
    </row>
    <row r="215" spans="1:21" ht="15.75" x14ac:dyDescent="0.25">
      <c r="A215" t="s">
        <v>20</v>
      </c>
      <c r="B215" t="s">
        <v>335</v>
      </c>
      <c r="C215" t="s">
        <v>336</v>
      </c>
      <c r="D215" t="s">
        <v>337</v>
      </c>
      <c r="E215" t="s">
        <v>48</v>
      </c>
      <c r="F215" t="s">
        <v>59</v>
      </c>
      <c r="G215" t="s">
        <v>340</v>
      </c>
      <c r="H215" t="s">
        <v>27</v>
      </c>
      <c r="I215" t="s">
        <v>28</v>
      </c>
      <c r="J215">
        <v>456</v>
      </c>
      <c r="K215" t="s">
        <v>124</v>
      </c>
      <c r="L215">
        <v>7</v>
      </c>
      <c r="M215" s="28">
        <v>38010</v>
      </c>
      <c r="N215" s="36">
        <f t="shared" si="4"/>
        <v>5430</v>
      </c>
      <c r="O215" s="21">
        <v>40.87096774193548</v>
      </c>
      <c r="P215" t="s">
        <v>30</v>
      </c>
      <c r="Q215" t="s">
        <v>31</v>
      </c>
      <c r="R215" s="1">
        <v>46111</v>
      </c>
      <c r="S215" t="s">
        <v>32</v>
      </c>
      <c r="T215" s="2"/>
      <c r="U215" s="2"/>
    </row>
    <row r="216" spans="1:21" ht="15.75" x14ac:dyDescent="0.25">
      <c r="A216" t="s">
        <v>20</v>
      </c>
      <c r="B216" t="s">
        <v>335</v>
      </c>
      <c r="C216" t="s">
        <v>336</v>
      </c>
      <c r="D216" t="s">
        <v>337</v>
      </c>
      <c r="E216" t="s">
        <v>48</v>
      </c>
      <c r="F216" t="s">
        <v>59</v>
      </c>
      <c r="G216" t="s">
        <v>341</v>
      </c>
      <c r="H216" t="s">
        <v>27</v>
      </c>
      <c r="I216" t="s">
        <v>28</v>
      </c>
      <c r="J216">
        <v>456</v>
      </c>
      <c r="K216" t="s">
        <v>124</v>
      </c>
      <c r="L216">
        <v>5</v>
      </c>
      <c r="M216" s="28">
        <v>20365</v>
      </c>
      <c r="N216" s="36">
        <f t="shared" si="4"/>
        <v>4073</v>
      </c>
      <c r="O216" s="21">
        <v>21.897849462365592</v>
      </c>
      <c r="P216" t="s">
        <v>30</v>
      </c>
      <c r="Q216" t="s">
        <v>31</v>
      </c>
      <c r="R216" s="1">
        <v>46111</v>
      </c>
      <c r="S216" t="s">
        <v>32</v>
      </c>
      <c r="T216" s="2"/>
      <c r="U216" s="2"/>
    </row>
    <row r="217" spans="1:21" ht="15.75" x14ac:dyDescent="0.25">
      <c r="A217" t="s">
        <v>20</v>
      </c>
      <c r="B217" t="s">
        <v>335</v>
      </c>
      <c r="C217" t="s">
        <v>336</v>
      </c>
      <c r="D217" t="s">
        <v>337</v>
      </c>
      <c r="E217" t="s">
        <v>48</v>
      </c>
      <c r="F217" t="s">
        <v>59</v>
      </c>
      <c r="G217" t="s">
        <v>342</v>
      </c>
      <c r="H217" t="s">
        <v>27</v>
      </c>
      <c r="I217" t="s">
        <v>28</v>
      </c>
      <c r="J217">
        <v>456</v>
      </c>
      <c r="K217" t="s">
        <v>124</v>
      </c>
      <c r="L217">
        <v>5</v>
      </c>
      <c r="M217" s="28">
        <v>27150</v>
      </c>
      <c r="N217" s="36">
        <f t="shared" si="4"/>
        <v>5430</v>
      </c>
      <c r="O217" s="21">
        <v>29.193548387096776</v>
      </c>
      <c r="P217" t="s">
        <v>30</v>
      </c>
      <c r="Q217" t="s">
        <v>31</v>
      </c>
      <c r="R217" s="1">
        <v>46111</v>
      </c>
      <c r="S217" t="s">
        <v>32</v>
      </c>
      <c r="T217" s="2"/>
      <c r="U217" s="2"/>
    </row>
    <row r="218" spans="1:21" ht="15.75" x14ac:dyDescent="0.25">
      <c r="A218" t="s">
        <v>20</v>
      </c>
      <c r="B218" t="s">
        <v>335</v>
      </c>
      <c r="C218" t="s">
        <v>336</v>
      </c>
      <c r="D218" t="s">
        <v>337</v>
      </c>
      <c r="E218" t="s">
        <v>48</v>
      </c>
      <c r="F218" t="s">
        <v>59</v>
      </c>
      <c r="G218" t="s">
        <v>343</v>
      </c>
      <c r="H218" t="s">
        <v>27</v>
      </c>
      <c r="I218" t="s">
        <v>28</v>
      </c>
      <c r="J218">
        <v>456</v>
      </c>
      <c r="K218" t="s">
        <v>124</v>
      </c>
      <c r="L218">
        <v>5</v>
      </c>
      <c r="M218" s="28">
        <v>20365</v>
      </c>
      <c r="N218" s="36">
        <f t="shared" si="4"/>
        <v>4073</v>
      </c>
      <c r="O218" s="21">
        <v>21.897849462365592</v>
      </c>
      <c r="P218" t="s">
        <v>30</v>
      </c>
      <c r="Q218" t="s">
        <v>31</v>
      </c>
      <c r="R218" s="1">
        <v>46111</v>
      </c>
      <c r="S218" t="s">
        <v>32</v>
      </c>
      <c r="T218" s="2"/>
      <c r="U218" s="2"/>
    </row>
    <row r="219" spans="1:21" ht="15.75" x14ac:dyDescent="0.25">
      <c r="A219" t="s">
        <v>20</v>
      </c>
      <c r="B219" t="s">
        <v>335</v>
      </c>
      <c r="C219" t="s">
        <v>336</v>
      </c>
      <c r="D219" t="s">
        <v>337</v>
      </c>
      <c r="E219" t="s">
        <v>48</v>
      </c>
      <c r="F219" t="s">
        <v>59</v>
      </c>
      <c r="G219" t="s">
        <v>344</v>
      </c>
      <c r="H219" t="s">
        <v>27</v>
      </c>
      <c r="I219" t="s">
        <v>28</v>
      </c>
      <c r="J219">
        <v>456</v>
      </c>
      <c r="K219" t="s">
        <v>124</v>
      </c>
      <c r="L219">
        <v>10</v>
      </c>
      <c r="M219" s="28">
        <v>47510</v>
      </c>
      <c r="N219" s="36">
        <f t="shared" si="4"/>
        <v>4751</v>
      </c>
      <c r="O219" s="21">
        <v>51.086021505376344</v>
      </c>
      <c r="P219" t="s">
        <v>30</v>
      </c>
      <c r="Q219" t="s">
        <v>31</v>
      </c>
      <c r="R219" s="1">
        <v>46111</v>
      </c>
      <c r="S219" t="s">
        <v>32</v>
      </c>
      <c r="T219" s="2"/>
      <c r="U219" s="2"/>
    </row>
    <row r="220" spans="1:21" ht="15.75" x14ac:dyDescent="0.25">
      <c r="A220" t="s">
        <v>20</v>
      </c>
      <c r="B220" t="s">
        <v>335</v>
      </c>
      <c r="C220" t="s">
        <v>336</v>
      </c>
      <c r="D220" t="s">
        <v>337</v>
      </c>
      <c r="E220" t="s">
        <v>48</v>
      </c>
      <c r="F220" t="s">
        <v>59</v>
      </c>
      <c r="G220" t="s">
        <v>345</v>
      </c>
      <c r="H220" t="s">
        <v>27</v>
      </c>
      <c r="I220" t="s">
        <v>28</v>
      </c>
      <c r="J220">
        <v>456</v>
      </c>
      <c r="K220" t="s">
        <v>124</v>
      </c>
      <c r="L220">
        <v>5</v>
      </c>
      <c r="M220" s="28">
        <v>20365</v>
      </c>
      <c r="N220" s="36">
        <f t="shared" si="4"/>
        <v>4073</v>
      </c>
      <c r="O220" s="21">
        <v>21.897849462365592</v>
      </c>
      <c r="P220" t="s">
        <v>30</v>
      </c>
      <c r="Q220" t="s">
        <v>31</v>
      </c>
      <c r="R220" s="1">
        <v>46111</v>
      </c>
      <c r="S220" t="s">
        <v>32</v>
      </c>
      <c r="T220" s="2"/>
      <c r="U220" s="2"/>
    </row>
    <row r="221" spans="1:21" ht="15.75" x14ac:dyDescent="0.25">
      <c r="A221" t="s">
        <v>20</v>
      </c>
      <c r="B221" t="s">
        <v>335</v>
      </c>
      <c r="C221" t="s">
        <v>336</v>
      </c>
      <c r="D221" t="s">
        <v>337</v>
      </c>
      <c r="E221" t="s">
        <v>48</v>
      </c>
      <c r="F221" t="s">
        <v>59</v>
      </c>
      <c r="G221" t="s">
        <v>346</v>
      </c>
      <c r="H221" t="s">
        <v>27</v>
      </c>
      <c r="I221" t="s">
        <v>28</v>
      </c>
      <c r="J221">
        <v>456</v>
      </c>
      <c r="K221" t="s">
        <v>124</v>
      </c>
      <c r="L221">
        <v>4</v>
      </c>
      <c r="M221" s="28">
        <v>29684</v>
      </c>
      <c r="N221" s="36">
        <f t="shared" si="4"/>
        <v>7421</v>
      </c>
      <c r="O221" s="21">
        <v>31.918279569892473</v>
      </c>
      <c r="P221" t="s">
        <v>30</v>
      </c>
      <c r="Q221" t="s">
        <v>31</v>
      </c>
      <c r="R221" s="1">
        <v>46111</v>
      </c>
      <c r="S221" t="s">
        <v>32</v>
      </c>
      <c r="T221" s="2"/>
      <c r="U221" s="2"/>
    </row>
    <row r="222" spans="1:21" ht="15.75" x14ac:dyDescent="0.25">
      <c r="A222" t="s">
        <v>20</v>
      </c>
      <c r="B222" t="s">
        <v>335</v>
      </c>
      <c r="C222" t="s">
        <v>336</v>
      </c>
      <c r="D222" t="s">
        <v>337</v>
      </c>
      <c r="E222" t="s">
        <v>48</v>
      </c>
      <c r="F222" t="s">
        <v>59</v>
      </c>
      <c r="G222" t="s">
        <v>347</v>
      </c>
      <c r="H222" t="s">
        <v>27</v>
      </c>
      <c r="I222" t="s">
        <v>28</v>
      </c>
      <c r="J222">
        <v>456</v>
      </c>
      <c r="K222" t="s">
        <v>124</v>
      </c>
      <c r="L222">
        <v>5</v>
      </c>
      <c r="M222" s="28">
        <v>27150</v>
      </c>
      <c r="N222" s="36">
        <f t="shared" si="4"/>
        <v>5430</v>
      </c>
      <c r="O222" s="21">
        <v>29.193548387096776</v>
      </c>
      <c r="P222" t="s">
        <v>30</v>
      </c>
      <c r="Q222" t="s">
        <v>31</v>
      </c>
      <c r="R222" s="1">
        <v>46111</v>
      </c>
      <c r="S222" t="s">
        <v>32</v>
      </c>
      <c r="T222" s="2"/>
      <c r="U222" s="2"/>
    </row>
    <row r="223" spans="1:21" ht="15.75" x14ac:dyDescent="0.25">
      <c r="A223" t="s">
        <v>20</v>
      </c>
      <c r="B223" t="s">
        <v>348</v>
      </c>
      <c r="C223" t="s">
        <v>349</v>
      </c>
      <c r="D223" t="s">
        <v>337</v>
      </c>
      <c r="E223" t="s">
        <v>48</v>
      </c>
      <c r="F223" t="s">
        <v>59</v>
      </c>
      <c r="G223" t="s">
        <v>350</v>
      </c>
      <c r="H223" t="s">
        <v>27</v>
      </c>
      <c r="I223" t="s">
        <v>28</v>
      </c>
      <c r="J223">
        <v>457</v>
      </c>
      <c r="K223" t="s">
        <v>124</v>
      </c>
      <c r="L223">
        <v>7</v>
      </c>
      <c r="M223" s="28">
        <v>0</v>
      </c>
      <c r="N223" s="36">
        <f t="shared" si="4"/>
        <v>0</v>
      </c>
      <c r="O223" s="21">
        <v>0</v>
      </c>
      <c r="P223" t="s">
        <v>30</v>
      </c>
      <c r="Q223" t="s">
        <v>31</v>
      </c>
      <c r="R223" s="1">
        <v>46142</v>
      </c>
      <c r="S223" t="s">
        <v>32</v>
      </c>
      <c r="T223" s="2"/>
      <c r="U223" s="2"/>
    </row>
    <row r="224" spans="1:21" ht="15.75" x14ac:dyDescent="0.25">
      <c r="A224" t="s">
        <v>20</v>
      </c>
      <c r="B224" t="s">
        <v>348</v>
      </c>
      <c r="C224" t="s">
        <v>349</v>
      </c>
      <c r="D224" t="s">
        <v>337</v>
      </c>
      <c r="E224" t="s">
        <v>48</v>
      </c>
      <c r="F224" t="s">
        <v>59</v>
      </c>
      <c r="G224" t="s">
        <v>351</v>
      </c>
      <c r="H224" t="s">
        <v>27</v>
      </c>
      <c r="I224" t="s">
        <v>28</v>
      </c>
      <c r="J224">
        <v>457</v>
      </c>
      <c r="K224" t="s">
        <v>124</v>
      </c>
      <c r="L224">
        <v>40</v>
      </c>
      <c r="M224" s="28">
        <v>0</v>
      </c>
      <c r="N224" s="36">
        <f t="shared" si="4"/>
        <v>0</v>
      </c>
      <c r="O224" s="21">
        <v>0</v>
      </c>
      <c r="P224" t="s">
        <v>30</v>
      </c>
      <c r="Q224" t="s">
        <v>31</v>
      </c>
      <c r="R224" s="1">
        <v>46142</v>
      </c>
      <c r="S224" t="s">
        <v>32</v>
      </c>
      <c r="T224" s="2"/>
      <c r="U224" s="2"/>
    </row>
    <row r="225" spans="1:21" ht="15.75" x14ac:dyDescent="0.25">
      <c r="A225" t="s">
        <v>20</v>
      </c>
      <c r="B225" t="s">
        <v>348</v>
      </c>
      <c r="C225" t="s">
        <v>349</v>
      </c>
      <c r="D225" t="s">
        <v>337</v>
      </c>
      <c r="E225" t="s">
        <v>48</v>
      </c>
      <c r="F225" t="s">
        <v>59</v>
      </c>
      <c r="G225" t="s">
        <v>342</v>
      </c>
      <c r="H225" t="s">
        <v>27</v>
      </c>
      <c r="I225" t="s">
        <v>28</v>
      </c>
      <c r="J225">
        <v>457</v>
      </c>
      <c r="K225" t="s">
        <v>124</v>
      </c>
      <c r="L225">
        <v>2</v>
      </c>
      <c r="M225" s="28">
        <v>0</v>
      </c>
      <c r="N225" s="36">
        <f t="shared" si="4"/>
        <v>0</v>
      </c>
      <c r="O225" s="21">
        <v>0</v>
      </c>
      <c r="P225" t="s">
        <v>30</v>
      </c>
      <c r="Q225" t="s">
        <v>31</v>
      </c>
      <c r="R225" s="1">
        <v>46142</v>
      </c>
      <c r="S225" t="s">
        <v>32</v>
      </c>
      <c r="T225" s="2"/>
      <c r="U225" s="2"/>
    </row>
    <row r="226" spans="1:21" ht="15.75" x14ac:dyDescent="0.25">
      <c r="A226" t="s">
        <v>20</v>
      </c>
      <c r="B226" t="s">
        <v>348</v>
      </c>
      <c r="C226" t="s">
        <v>349</v>
      </c>
      <c r="D226" t="s">
        <v>337</v>
      </c>
      <c r="E226" t="s">
        <v>48</v>
      </c>
      <c r="F226" t="s">
        <v>59</v>
      </c>
      <c r="G226" t="s">
        <v>343</v>
      </c>
      <c r="H226" t="s">
        <v>27</v>
      </c>
      <c r="I226" t="s">
        <v>28</v>
      </c>
      <c r="J226">
        <v>457</v>
      </c>
      <c r="K226" t="s">
        <v>124</v>
      </c>
      <c r="L226">
        <v>15</v>
      </c>
      <c r="M226" s="28">
        <v>0</v>
      </c>
      <c r="N226" s="36">
        <f t="shared" si="4"/>
        <v>0</v>
      </c>
      <c r="O226" s="21">
        <v>0</v>
      </c>
      <c r="P226" t="s">
        <v>30</v>
      </c>
      <c r="Q226" t="s">
        <v>31</v>
      </c>
      <c r="R226" s="1">
        <v>46142</v>
      </c>
      <c r="S226" t="s">
        <v>32</v>
      </c>
      <c r="T226" s="2"/>
      <c r="U226" s="2"/>
    </row>
    <row r="227" spans="1:21" ht="15.75" x14ac:dyDescent="0.25">
      <c r="A227" t="s">
        <v>20</v>
      </c>
      <c r="B227" t="s">
        <v>348</v>
      </c>
      <c r="C227" t="s">
        <v>349</v>
      </c>
      <c r="D227" t="s">
        <v>337</v>
      </c>
      <c r="E227" t="s">
        <v>48</v>
      </c>
      <c r="F227" t="s">
        <v>59</v>
      </c>
      <c r="G227" t="s">
        <v>352</v>
      </c>
      <c r="H227" t="s">
        <v>27</v>
      </c>
      <c r="I227" t="s">
        <v>28</v>
      </c>
      <c r="J227">
        <v>457</v>
      </c>
      <c r="K227" t="s">
        <v>124</v>
      </c>
      <c r="L227">
        <v>20</v>
      </c>
      <c r="M227" s="28">
        <v>0</v>
      </c>
      <c r="N227" s="36">
        <f t="shared" si="4"/>
        <v>0</v>
      </c>
      <c r="O227" s="21">
        <v>0</v>
      </c>
      <c r="P227" t="s">
        <v>30</v>
      </c>
      <c r="Q227" t="s">
        <v>31</v>
      </c>
      <c r="R227" s="1">
        <v>46142</v>
      </c>
      <c r="S227" t="s">
        <v>32</v>
      </c>
      <c r="T227" s="2"/>
      <c r="U227" s="2"/>
    </row>
    <row r="228" spans="1:21" ht="15.75" x14ac:dyDescent="0.25">
      <c r="A228" t="s">
        <v>20</v>
      </c>
      <c r="B228" t="s">
        <v>348</v>
      </c>
      <c r="C228" t="s">
        <v>349</v>
      </c>
      <c r="D228" t="s">
        <v>337</v>
      </c>
      <c r="E228" t="s">
        <v>48</v>
      </c>
      <c r="F228" t="s">
        <v>59</v>
      </c>
      <c r="G228" t="s">
        <v>353</v>
      </c>
      <c r="H228" t="s">
        <v>27</v>
      </c>
      <c r="I228" t="s">
        <v>28</v>
      </c>
      <c r="J228">
        <v>457</v>
      </c>
      <c r="K228" t="s">
        <v>124</v>
      </c>
      <c r="L228">
        <v>1</v>
      </c>
      <c r="M228" s="28">
        <v>0</v>
      </c>
      <c r="N228" s="36">
        <f t="shared" si="4"/>
        <v>0</v>
      </c>
      <c r="O228" s="21">
        <v>0</v>
      </c>
      <c r="P228" t="s">
        <v>30</v>
      </c>
      <c r="Q228" t="s">
        <v>31</v>
      </c>
      <c r="R228" s="1">
        <v>46142</v>
      </c>
      <c r="S228" t="s">
        <v>32</v>
      </c>
      <c r="T228" s="2"/>
      <c r="U228" s="2"/>
    </row>
    <row r="229" spans="1:21" ht="15.75" x14ac:dyDescent="0.25">
      <c r="A229" t="s">
        <v>20</v>
      </c>
      <c r="B229" t="s">
        <v>348</v>
      </c>
      <c r="C229" t="s">
        <v>349</v>
      </c>
      <c r="D229" t="s">
        <v>337</v>
      </c>
      <c r="E229" t="s">
        <v>48</v>
      </c>
      <c r="F229" t="s">
        <v>59</v>
      </c>
      <c r="G229" t="s">
        <v>354</v>
      </c>
      <c r="H229" t="s">
        <v>27</v>
      </c>
      <c r="I229" t="s">
        <v>28</v>
      </c>
      <c r="J229">
        <v>457</v>
      </c>
      <c r="K229" t="s">
        <v>124</v>
      </c>
      <c r="L229">
        <v>30</v>
      </c>
      <c r="M229" s="28">
        <v>0</v>
      </c>
      <c r="N229" s="36">
        <f t="shared" si="4"/>
        <v>0</v>
      </c>
      <c r="O229" s="21">
        <v>0</v>
      </c>
      <c r="P229" t="s">
        <v>30</v>
      </c>
      <c r="Q229" t="s">
        <v>31</v>
      </c>
      <c r="R229" s="1">
        <v>46142</v>
      </c>
      <c r="S229" t="s">
        <v>32</v>
      </c>
      <c r="T229" s="2"/>
      <c r="U229" s="2"/>
    </row>
    <row r="230" spans="1:21" ht="15.75" x14ac:dyDescent="0.25">
      <c r="A230" t="s">
        <v>20</v>
      </c>
      <c r="B230" t="s">
        <v>348</v>
      </c>
      <c r="C230" t="s">
        <v>349</v>
      </c>
      <c r="D230" t="s">
        <v>337</v>
      </c>
      <c r="E230" t="s">
        <v>48</v>
      </c>
      <c r="F230" t="s">
        <v>59</v>
      </c>
      <c r="G230" t="s">
        <v>346</v>
      </c>
      <c r="H230" t="s">
        <v>27</v>
      </c>
      <c r="I230" t="s">
        <v>28</v>
      </c>
      <c r="J230">
        <v>457</v>
      </c>
      <c r="K230" t="s">
        <v>124</v>
      </c>
      <c r="L230">
        <v>3</v>
      </c>
      <c r="M230" s="28">
        <v>0</v>
      </c>
      <c r="N230" s="36">
        <f t="shared" si="4"/>
        <v>0</v>
      </c>
      <c r="O230" s="21">
        <v>0</v>
      </c>
      <c r="P230" t="s">
        <v>30</v>
      </c>
      <c r="Q230" t="s">
        <v>31</v>
      </c>
      <c r="R230" s="1">
        <v>46142</v>
      </c>
      <c r="S230" t="s">
        <v>32</v>
      </c>
      <c r="T230" s="2"/>
      <c r="U230" s="2"/>
    </row>
    <row r="231" spans="1:21" ht="15.75" x14ac:dyDescent="0.25">
      <c r="A231" t="s">
        <v>20</v>
      </c>
      <c r="B231" t="s">
        <v>348</v>
      </c>
      <c r="C231" t="s">
        <v>349</v>
      </c>
      <c r="D231" t="s">
        <v>337</v>
      </c>
      <c r="E231" t="s">
        <v>48</v>
      </c>
      <c r="F231" t="s">
        <v>59</v>
      </c>
      <c r="G231" t="s">
        <v>355</v>
      </c>
      <c r="H231" t="s">
        <v>27</v>
      </c>
      <c r="I231" t="s">
        <v>28</v>
      </c>
      <c r="J231">
        <v>457</v>
      </c>
      <c r="K231" t="s">
        <v>124</v>
      </c>
      <c r="L231">
        <v>15</v>
      </c>
      <c r="M231" s="28">
        <v>0</v>
      </c>
      <c r="N231" s="36">
        <f t="shared" si="4"/>
        <v>0</v>
      </c>
      <c r="O231" s="21">
        <v>0</v>
      </c>
      <c r="P231" t="s">
        <v>30</v>
      </c>
      <c r="Q231" t="s">
        <v>31</v>
      </c>
      <c r="R231" s="1">
        <v>46142</v>
      </c>
      <c r="S231" t="s">
        <v>32</v>
      </c>
      <c r="T231" s="2"/>
      <c r="U231" s="2"/>
    </row>
    <row r="232" spans="1:21" ht="15.75" x14ac:dyDescent="0.25">
      <c r="A232" t="s">
        <v>20</v>
      </c>
      <c r="B232" t="s">
        <v>348</v>
      </c>
      <c r="C232" t="s">
        <v>349</v>
      </c>
      <c r="D232" t="s">
        <v>337</v>
      </c>
      <c r="E232" t="s">
        <v>48</v>
      </c>
      <c r="F232" t="s">
        <v>59</v>
      </c>
      <c r="G232" t="s">
        <v>338</v>
      </c>
      <c r="H232" t="s">
        <v>27</v>
      </c>
      <c r="I232" t="s">
        <v>28</v>
      </c>
      <c r="J232">
        <v>457</v>
      </c>
      <c r="K232" t="s">
        <v>124</v>
      </c>
      <c r="L232">
        <v>3</v>
      </c>
      <c r="M232" s="28">
        <v>0</v>
      </c>
      <c r="N232" s="36">
        <f t="shared" si="4"/>
        <v>0</v>
      </c>
      <c r="O232" s="21">
        <v>0</v>
      </c>
      <c r="P232" t="s">
        <v>30</v>
      </c>
      <c r="Q232" t="s">
        <v>31</v>
      </c>
      <c r="R232" s="1">
        <v>46142</v>
      </c>
      <c r="S232" t="s">
        <v>32</v>
      </c>
      <c r="T232" s="2"/>
      <c r="U232" s="2"/>
    </row>
    <row r="233" spans="1:21" ht="15.75" x14ac:dyDescent="0.25">
      <c r="A233" t="s">
        <v>20</v>
      </c>
      <c r="B233" t="s">
        <v>348</v>
      </c>
      <c r="C233" t="s">
        <v>349</v>
      </c>
      <c r="D233" t="s">
        <v>337</v>
      </c>
      <c r="E233" t="s">
        <v>48</v>
      </c>
      <c r="F233" t="s">
        <v>59</v>
      </c>
      <c r="G233" t="s">
        <v>339</v>
      </c>
      <c r="H233" t="s">
        <v>27</v>
      </c>
      <c r="I233" t="s">
        <v>28</v>
      </c>
      <c r="J233">
        <v>457</v>
      </c>
      <c r="K233" t="s">
        <v>124</v>
      </c>
      <c r="L233">
        <v>20</v>
      </c>
      <c r="M233" s="28">
        <v>0</v>
      </c>
      <c r="N233" s="36">
        <f t="shared" si="4"/>
        <v>0</v>
      </c>
      <c r="O233" s="21">
        <v>0</v>
      </c>
      <c r="P233" t="s">
        <v>30</v>
      </c>
      <c r="Q233" t="s">
        <v>31</v>
      </c>
      <c r="R233" s="1">
        <v>46142</v>
      </c>
      <c r="S233" t="s">
        <v>32</v>
      </c>
      <c r="T233" s="2"/>
      <c r="U233" s="2"/>
    </row>
    <row r="234" spans="1:21" ht="15.75" x14ac:dyDescent="0.25">
      <c r="A234" t="s">
        <v>20</v>
      </c>
      <c r="B234" t="s">
        <v>348</v>
      </c>
      <c r="C234" t="s">
        <v>349</v>
      </c>
      <c r="D234" t="s">
        <v>337</v>
      </c>
      <c r="E234" t="s">
        <v>48</v>
      </c>
      <c r="F234" t="s">
        <v>59</v>
      </c>
      <c r="G234" t="s">
        <v>356</v>
      </c>
      <c r="H234" t="s">
        <v>27</v>
      </c>
      <c r="I234" t="s">
        <v>28</v>
      </c>
      <c r="J234">
        <v>457</v>
      </c>
      <c r="K234" t="s">
        <v>124</v>
      </c>
      <c r="L234">
        <v>1</v>
      </c>
      <c r="M234" s="28">
        <v>0</v>
      </c>
      <c r="N234" s="36">
        <f t="shared" si="4"/>
        <v>0</v>
      </c>
      <c r="O234" s="21">
        <v>0</v>
      </c>
      <c r="P234" t="s">
        <v>30</v>
      </c>
      <c r="Q234" t="s">
        <v>31</v>
      </c>
      <c r="R234" s="1">
        <v>46142</v>
      </c>
      <c r="S234" t="s">
        <v>32</v>
      </c>
      <c r="T234" s="2"/>
      <c r="U234" s="2"/>
    </row>
    <row r="235" spans="1:21" ht="15.75" x14ac:dyDescent="0.25">
      <c r="A235" t="s">
        <v>20</v>
      </c>
      <c r="B235" t="s">
        <v>348</v>
      </c>
      <c r="C235" t="s">
        <v>349</v>
      </c>
      <c r="D235" t="s">
        <v>337</v>
      </c>
      <c r="E235" t="s">
        <v>48</v>
      </c>
      <c r="F235" t="s">
        <v>59</v>
      </c>
      <c r="G235" t="s">
        <v>357</v>
      </c>
      <c r="H235" t="s">
        <v>27</v>
      </c>
      <c r="I235" t="s">
        <v>28</v>
      </c>
      <c r="J235">
        <v>457</v>
      </c>
      <c r="K235" t="s">
        <v>124</v>
      </c>
      <c r="L235">
        <v>5</v>
      </c>
      <c r="M235" s="28">
        <v>0</v>
      </c>
      <c r="N235" s="36">
        <f t="shared" si="4"/>
        <v>0</v>
      </c>
      <c r="O235" s="21">
        <v>0</v>
      </c>
      <c r="P235" t="s">
        <v>30</v>
      </c>
      <c r="Q235" t="s">
        <v>31</v>
      </c>
      <c r="R235" s="1">
        <v>46142</v>
      </c>
      <c r="S235" t="s">
        <v>32</v>
      </c>
      <c r="T235" s="2"/>
      <c r="U235" s="2"/>
    </row>
    <row r="236" spans="1:21" ht="15.75" x14ac:dyDescent="0.25">
      <c r="A236" t="s">
        <v>20</v>
      </c>
      <c r="B236" t="s">
        <v>348</v>
      </c>
      <c r="C236" t="s">
        <v>349</v>
      </c>
      <c r="D236" t="s">
        <v>337</v>
      </c>
      <c r="E236" t="s">
        <v>48</v>
      </c>
      <c r="F236" t="s">
        <v>59</v>
      </c>
      <c r="G236" t="s">
        <v>358</v>
      </c>
      <c r="H236" t="s">
        <v>27</v>
      </c>
      <c r="I236" t="s">
        <v>28</v>
      </c>
      <c r="J236">
        <v>457</v>
      </c>
      <c r="K236" t="s">
        <v>124</v>
      </c>
      <c r="L236">
        <v>1</v>
      </c>
      <c r="M236" s="28">
        <v>0</v>
      </c>
      <c r="N236" s="36">
        <f t="shared" si="4"/>
        <v>0</v>
      </c>
      <c r="O236" s="21">
        <v>0</v>
      </c>
      <c r="P236" t="s">
        <v>30</v>
      </c>
      <c r="Q236" t="s">
        <v>31</v>
      </c>
      <c r="R236" s="1">
        <v>46142</v>
      </c>
      <c r="S236" t="s">
        <v>32</v>
      </c>
      <c r="T236" s="2"/>
      <c r="U236" s="2"/>
    </row>
    <row r="237" spans="1:21" ht="15.75" x14ac:dyDescent="0.25">
      <c r="A237" t="s">
        <v>20</v>
      </c>
      <c r="B237" t="s">
        <v>348</v>
      </c>
      <c r="C237" t="s">
        <v>349</v>
      </c>
      <c r="D237" t="s">
        <v>337</v>
      </c>
      <c r="E237" t="s">
        <v>48</v>
      </c>
      <c r="F237" t="s">
        <v>59</v>
      </c>
      <c r="G237" t="s">
        <v>359</v>
      </c>
      <c r="H237" t="s">
        <v>27</v>
      </c>
      <c r="I237" t="s">
        <v>28</v>
      </c>
      <c r="J237">
        <v>457</v>
      </c>
      <c r="K237" t="s">
        <v>124</v>
      </c>
      <c r="L237">
        <v>10</v>
      </c>
      <c r="M237" s="28">
        <v>0</v>
      </c>
      <c r="N237" s="36">
        <f t="shared" si="4"/>
        <v>0</v>
      </c>
      <c r="O237" s="21">
        <v>0</v>
      </c>
      <c r="P237" t="s">
        <v>30</v>
      </c>
      <c r="Q237" t="s">
        <v>31</v>
      </c>
      <c r="R237" s="1">
        <v>46142</v>
      </c>
      <c r="S237" t="s">
        <v>32</v>
      </c>
      <c r="T237" s="2"/>
      <c r="U237" s="2"/>
    </row>
    <row r="238" spans="1:21" ht="15.75" x14ac:dyDescent="0.25">
      <c r="A238" t="s">
        <v>20</v>
      </c>
      <c r="B238" t="s">
        <v>348</v>
      </c>
      <c r="C238" t="s">
        <v>349</v>
      </c>
      <c r="D238" t="s">
        <v>337</v>
      </c>
      <c r="E238" t="s">
        <v>48</v>
      </c>
      <c r="F238" t="s">
        <v>59</v>
      </c>
      <c r="G238" t="s">
        <v>360</v>
      </c>
      <c r="H238" t="s">
        <v>27</v>
      </c>
      <c r="I238" t="s">
        <v>28</v>
      </c>
      <c r="J238">
        <v>457</v>
      </c>
      <c r="K238" t="s">
        <v>124</v>
      </c>
      <c r="L238">
        <v>6</v>
      </c>
      <c r="M238" s="28">
        <v>0</v>
      </c>
      <c r="N238" s="36">
        <f t="shared" si="4"/>
        <v>0</v>
      </c>
      <c r="O238" s="21">
        <v>0</v>
      </c>
      <c r="P238" t="s">
        <v>30</v>
      </c>
      <c r="Q238" t="s">
        <v>31</v>
      </c>
      <c r="R238" s="1">
        <v>46142</v>
      </c>
      <c r="S238" t="s">
        <v>32</v>
      </c>
      <c r="T238" s="2"/>
      <c r="U238" s="2"/>
    </row>
    <row r="239" spans="1:21" ht="15.75" x14ac:dyDescent="0.25">
      <c r="A239" t="s">
        <v>20</v>
      </c>
      <c r="B239" t="s">
        <v>348</v>
      </c>
      <c r="C239" t="s">
        <v>349</v>
      </c>
      <c r="D239" t="s">
        <v>337</v>
      </c>
      <c r="E239" t="s">
        <v>48</v>
      </c>
      <c r="F239" t="s">
        <v>59</v>
      </c>
      <c r="G239" t="s">
        <v>361</v>
      </c>
      <c r="H239" t="s">
        <v>27</v>
      </c>
      <c r="I239" t="s">
        <v>28</v>
      </c>
      <c r="J239">
        <v>457</v>
      </c>
      <c r="K239" t="s">
        <v>124</v>
      </c>
      <c r="L239">
        <v>40</v>
      </c>
      <c r="M239" s="28">
        <v>0</v>
      </c>
      <c r="N239" s="36">
        <f t="shared" si="4"/>
        <v>0</v>
      </c>
      <c r="O239" s="21">
        <v>0</v>
      </c>
      <c r="P239" t="s">
        <v>30</v>
      </c>
      <c r="Q239" t="s">
        <v>31</v>
      </c>
      <c r="R239" s="1">
        <v>46142</v>
      </c>
      <c r="S239" t="s">
        <v>32</v>
      </c>
      <c r="T239" s="2"/>
      <c r="U239" s="2"/>
    </row>
    <row r="240" spans="1:21" ht="15.75" x14ac:dyDescent="0.25">
      <c r="A240" t="s">
        <v>20</v>
      </c>
      <c r="B240" t="s">
        <v>348</v>
      </c>
      <c r="C240" t="s">
        <v>349</v>
      </c>
      <c r="D240" t="s">
        <v>337</v>
      </c>
      <c r="E240" t="s">
        <v>48</v>
      </c>
      <c r="F240" t="s">
        <v>59</v>
      </c>
      <c r="G240" t="s">
        <v>362</v>
      </c>
      <c r="H240" t="s">
        <v>27</v>
      </c>
      <c r="I240" t="s">
        <v>28</v>
      </c>
      <c r="J240">
        <v>457</v>
      </c>
      <c r="K240" t="s">
        <v>124</v>
      </c>
      <c r="L240">
        <v>5</v>
      </c>
      <c r="M240" s="28">
        <v>0</v>
      </c>
      <c r="N240" s="36">
        <f t="shared" si="4"/>
        <v>0</v>
      </c>
      <c r="O240" s="21">
        <v>0</v>
      </c>
      <c r="P240" t="s">
        <v>30</v>
      </c>
      <c r="Q240" t="s">
        <v>31</v>
      </c>
      <c r="R240" s="1">
        <v>46142</v>
      </c>
      <c r="S240" t="s">
        <v>32</v>
      </c>
      <c r="T240" s="2"/>
      <c r="U240" s="2"/>
    </row>
    <row r="241" spans="1:21" ht="15.75" x14ac:dyDescent="0.25">
      <c r="A241" t="s">
        <v>20</v>
      </c>
      <c r="B241" t="s">
        <v>348</v>
      </c>
      <c r="C241" t="s">
        <v>349</v>
      </c>
      <c r="D241" t="s">
        <v>337</v>
      </c>
      <c r="E241" t="s">
        <v>48</v>
      </c>
      <c r="F241" t="s">
        <v>59</v>
      </c>
      <c r="G241" t="s">
        <v>363</v>
      </c>
      <c r="H241" t="s">
        <v>27</v>
      </c>
      <c r="I241" t="s">
        <v>28</v>
      </c>
      <c r="J241">
        <v>457</v>
      </c>
      <c r="K241" t="s">
        <v>124</v>
      </c>
      <c r="L241">
        <v>10</v>
      </c>
      <c r="M241" s="28">
        <v>0</v>
      </c>
      <c r="N241" s="36">
        <f t="shared" si="4"/>
        <v>0</v>
      </c>
      <c r="O241" s="21">
        <v>0</v>
      </c>
      <c r="P241" t="s">
        <v>30</v>
      </c>
      <c r="Q241" t="s">
        <v>31</v>
      </c>
      <c r="R241" s="1">
        <v>46142</v>
      </c>
      <c r="S241" t="s">
        <v>32</v>
      </c>
      <c r="T241" s="2"/>
      <c r="U241" s="2"/>
    </row>
    <row r="242" spans="1:21" ht="15.75" x14ac:dyDescent="0.25">
      <c r="A242" t="s">
        <v>20</v>
      </c>
      <c r="B242" t="s">
        <v>348</v>
      </c>
      <c r="C242" t="s">
        <v>349</v>
      </c>
      <c r="D242" t="s">
        <v>337</v>
      </c>
      <c r="E242" t="s">
        <v>48</v>
      </c>
      <c r="F242" t="s">
        <v>59</v>
      </c>
      <c r="G242" t="s">
        <v>364</v>
      </c>
      <c r="H242" t="s">
        <v>27</v>
      </c>
      <c r="I242" t="s">
        <v>28</v>
      </c>
      <c r="J242">
        <v>457</v>
      </c>
      <c r="K242" t="s">
        <v>124</v>
      </c>
      <c r="L242">
        <v>100</v>
      </c>
      <c r="M242" s="28">
        <v>0</v>
      </c>
      <c r="N242" s="36">
        <f t="shared" si="4"/>
        <v>0</v>
      </c>
      <c r="O242" s="21">
        <v>0</v>
      </c>
      <c r="P242" t="s">
        <v>30</v>
      </c>
      <c r="Q242" t="s">
        <v>31</v>
      </c>
      <c r="R242" s="1">
        <v>46142</v>
      </c>
      <c r="S242" t="s">
        <v>32</v>
      </c>
      <c r="T242" s="2"/>
      <c r="U242" s="2"/>
    </row>
    <row r="243" spans="1:21" ht="15.75" x14ac:dyDescent="0.25">
      <c r="A243" t="s">
        <v>20</v>
      </c>
      <c r="B243" t="s">
        <v>348</v>
      </c>
      <c r="C243" t="s">
        <v>349</v>
      </c>
      <c r="D243" t="s">
        <v>337</v>
      </c>
      <c r="E243" t="s">
        <v>48</v>
      </c>
      <c r="F243" t="s">
        <v>59</v>
      </c>
      <c r="G243" t="s">
        <v>365</v>
      </c>
      <c r="H243" t="s">
        <v>27</v>
      </c>
      <c r="I243" t="s">
        <v>28</v>
      </c>
      <c r="J243">
        <v>457</v>
      </c>
      <c r="K243" t="s">
        <v>124</v>
      </c>
      <c r="L243">
        <v>80</v>
      </c>
      <c r="M243" s="28">
        <v>0</v>
      </c>
      <c r="N243" s="36">
        <f t="shared" si="4"/>
        <v>0</v>
      </c>
      <c r="O243" s="21">
        <v>0</v>
      </c>
      <c r="P243" t="s">
        <v>30</v>
      </c>
      <c r="Q243" t="s">
        <v>31</v>
      </c>
      <c r="R243" s="1">
        <v>46142</v>
      </c>
      <c r="S243" t="s">
        <v>32</v>
      </c>
      <c r="T243" s="2"/>
      <c r="U243" s="2"/>
    </row>
    <row r="244" spans="1:21" ht="15.75" x14ac:dyDescent="0.25">
      <c r="A244" t="s">
        <v>20</v>
      </c>
      <c r="B244" t="s">
        <v>348</v>
      </c>
      <c r="C244" t="s">
        <v>349</v>
      </c>
      <c r="D244" t="s">
        <v>337</v>
      </c>
      <c r="E244" t="s">
        <v>48</v>
      </c>
      <c r="F244" t="s">
        <v>59</v>
      </c>
      <c r="G244" t="s">
        <v>366</v>
      </c>
      <c r="H244" t="s">
        <v>27</v>
      </c>
      <c r="I244" t="s">
        <v>28</v>
      </c>
      <c r="J244">
        <v>458</v>
      </c>
      <c r="K244" t="s">
        <v>124</v>
      </c>
      <c r="L244">
        <v>2</v>
      </c>
      <c r="M244" s="28">
        <v>0</v>
      </c>
      <c r="N244" s="36">
        <f t="shared" si="4"/>
        <v>0</v>
      </c>
      <c r="O244" s="21">
        <v>0</v>
      </c>
      <c r="P244" t="s">
        <v>30</v>
      </c>
      <c r="Q244" t="s">
        <v>31</v>
      </c>
      <c r="R244" s="1">
        <v>46142</v>
      </c>
      <c r="S244" t="s">
        <v>32</v>
      </c>
      <c r="T244" s="2"/>
      <c r="U244" s="2"/>
    </row>
    <row r="245" spans="1:21" ht="15.75" x14ac:dyDescent="0.25">
      <c r="A245" t="s">
        <v>20</v>
      </c>
      <c r="B245" t="s">
        <v>348</v>
      </c>
      <c r="C245" t="s">
        <v>349</v>
      </c>
      <c r="D245" t="s">
        <v>337</v>
      </c>
      <c r="E245" t="s">
        <v>48</v>
      </c>
      <c r="F245" t="s">
        <v>59</v>
      </c>
      <c r="G245" t="s">
        <v>367</v>
      </c>
      <c r="H245" t="s">
        <v>27</v>
      </c>
      <c r="I245" t="s">
        <v>28</v>
      </c>
      <c r="J245">
        <v>458</v>
      </c>
      <c r="K245" t="s">
        <v>124</v>
      </c>
      <c r="L245">
        <v>10</v>
      </c>
      <c r="M245" s="28">
        <v>0</v>
      </c>
      <c r="N245" s="36">
        <f t="shared" si="4"/>
        <v>0</v>
      </c>
      <c r="O245" s="21">
        <v>0</v>
      </c>
      <c r="P245" t="s">
        <v>30</v>
      </c>
      <c r="Q245" t="s">
        <v>31</v>
      </c>
      <c r="R245" s="1">
        <v>46142</v>
      </c>
      <c r="S245" t="s">
        <v>32</v>
      </c>
      <c r="T245" s="2"/>
      <c r="U245" s="2"/>
    </row>
    <row r="246" spans="1:21" ht="15.75" x14ac:dyDescent="0.25">
      <c r="A246" t="s">
        <v>20</v>
      </c>
      <c r="B246" t="s">
        <v>348</v>
      </c>
      <c r="C246" t="s">
        <v>349</v>
      </c>
      <c r="D246" t="s">
        <v>337</v>
      </c>
      <c r="E246" t="s">
        <v>48</v>
      </c>
      <c r="F246" t="s">
        <v>59</v>
      </c>
      <c r="G246" t="s">
        <v>368</v>
      </c>
      <c r="H246" t="s">
        <v>27</v>
      </c>
      <c r="I246" t="s">
        <v>28</v>
      </c>
      <c r="J246">
        <v>458</v>
      </c>
      <c r="K246" t="s">
        <v>124</v>
      </c>
      <c r="L246">
        <v>5</v>
      </c>
      <c r="M246" s="28">
        <v>0</v>
      </c>
      <c r="N246" s="36">
        <f t="shared" si="4"/>
        <v>0</v>
      </c>
      <c r="O246" s="21">
        <v>0</v>
      </c>
      <c r="P246" t="s">
        <v>30</v>
      </c>
      <c r="Q246" t="s">
        <v>31</v>
      </c>
      <c r="R246" s="1">
        <v>46142</v>
      </c>
      <c r="S246" t="s">
        <v>32</v>
      </c>
      <c r="T246" s="2"/>
      <c r="U246" s="2"/>
    </row>
    <row r="247" spans="1:21" ht="15.75" x14ac:dyDescent="0.25">
      <c r="A247" t="s">
        <v>20</v>
      </c>
      <c r="B247" t="s">
        <v>348</v>
      </c>
      <c r="C247" t="s">
        <v>349</v>
      </c>
      <c r="D247" t="s">
        <v>337</v>
      </c>
      <c r="E247" t="s">
        <v>48</v>
      </c>
      <c r="F247" t="s">
        <v>59</v>
      </c>
      <c r="G247" t="s">
        <v>369</v>
      </c>
      <c r="H247" t="s">
        <v>27</v>
      </c>
      <c r="I247" t="s">
        <v>28</v>
      </c>
      <c r="J247">
        <v>458</v>
      </c>
      <c r="K247" t="s">
        <v>124</v>
      </c>
      <c r="L247">
        <v>1</v>
      </c>
      <c r="M247" s="28">
        <v>0</v>
      </c>
      <c r="N247" s="36">
        <f t="shared" si="4"/>
        <v>0</v>
      </c>
      <c r="O247" s="21">
        <v>0</v>
      </c>
      <c r="P247" t="s">
        <v>30</v>
      </c>
      <c r="Q247" t="s">
        <v>31</v>
      </c>
      <c r="R247" s="1">
        <v>46142</v>
      </c>
      <c r="S247" t="s">
        <v>32</v>
      </c>
      <c r="T247" s="2"/>
      <c r="U247" s="2"/>
    </row>
    <row r="248" spans="1:21" ht="15.75" x14ac:dyDescent="0.25">
      <c r="A248" t="s">
        <v>20</v>
      </c>
      <c r="B248" t="s">
        <v>348</v>
      </c>
      <c r="C248" t="s">
        <v>349</v>
      </c>
      <c r="D248" t="s">
        <v>337</v>
      </c>
      <c r="E248" t="s">
        <v>48</v>
      </c>
      <c r="F248" t="s">
        <v>59</v>
      </c>
      <c r="G248" t="s">
        <v>370</v>
      </c>
      <c r="H248" t="s">
        <v>27</v>
      </c>
      <c r="I248" t="s">
        <v>28</v>
      </c>
      <c r="J248">
        <v>458</v>
      </c>
      <c r="K248" t="s">
        <v>124</v>
      </c>
      <c r="L248">
        <v>20</v>
      </c>
      <c r="M248" s="28">
        <v>0</v>
      </c>
      <c r="N248" s="36">
        <f t="shared" si="4"/>
        <v>0</v>
      </c>
      <c r="O248" s="21">
        <v>0</v>
      </c>
      <c r="P248" t="s">
        <v>30</v>
      </c>
      <c r="Q248" t="s">
        <v>31</v>
      </c>
      <c r="R248" s="1">
        <v>46142</v>
      </c>
      <c r="S248" t="s">
        <v>32</v>
      </c>
      <c r="T248" s="2"/>
      <c r="U248" s="2"/>
    </row>
    <row r="249" spans="1:21" ht="15.75" x14ac:dyDescent="0.25">
      <c r="A249" t="s">
        <v>20</v>
      </c>
      <c r="B249" t="s">
        <v>348</v>
      </c>
      <c r="C249" t="s">
        <v>349</v>
      </c>
      <c r="D249" t="s">
        <v>337</v>
      </c>
      <c r="E249" t="s">
        <v>48</v>
      </c>
      <c r="F249" t="s">
        <v>59</v>
      </c>
      <c r="G249" t="s">
        <v>365</v>
      </c>
      <c r="H249" t="s">
        <v>27</v>
      </c>
      <c r="I249" t="s">
        <v>28</v>
      </c>
      <c r="J249">
        <v>458</v>
      </c>
      <c r="K249" t="s">
        <v>124</v>
      </c>
      <c r="L249">
        <v>80</v>
      </c>
      <c r="M249" s="28">
        <v>0</v>
      </c>
      <c r="N249" s="36">
        <f t="shared" si="4"/>
        <v>0</v>
      </c>
      <c r="O249" s="21">
        <v>0</v>
      </c>
      <c r="P249" t="s">
        <v>30</v>
      </c>
      <c r="Q249" t="s">
        <v>31</v>
      </c>
      <c r="R249" s="1">
        <v>46142</v>
      </c>
      <c r="S249" t="s">
        <v>32</v>
      </c>
      <c r="T249" s="2"/>
      <c r="U249" s="2"/>
    </row>
    <row r="250" spans="1:21" ht="15.75" x14ac:dyDescent="0.25">
      <c r="A250" t="s">
        <v>20</v>
      </c>
      <c r="B250" t="s">
        <v>348</v>
      </c>
      <c r="C250" t="s">
        <v>349</v>
      </c>
      <c r="D250" t="s">
        <v>337</v>
      </c>
      <c r="E250" t="s">
        <v>48</v>
      </c>
      <c r="F250" t="s">
        <v>59</v>
      </c>
      <c r="G250" t="s">
        <v>357</v>
      </c>
      <c r="H250" t="s">
        <v>27</v>
      </c>
      <c r="I250" t="s">
        <v>28</v>
      </c>
      <c r="J250">
        <v>458</v>
      </c>
      <c r="K250" t="s">
        <v>124</v>
      </c>
      <c r="L250">
        <v>15</v>
      </c>
      <c r="M250" s="28">
        <v>0</v>
      </c>
      <c r="N250" s="36">
        <f t="shared" si="4"/>
        <v>0</v>
      </c>
      <c r="O250" s="21">
        <v>0</v>
      </c>
      <c r="P250" t="s">
        <v>30</v>
      </c>
      <c r="Q250" t="s">
        <v>31</v>
      </c>
      <c r="R250" s="1">
        <v>46142</v>
      </c>
      <c r="S250" t="s">
        <v>32</v>
      </c>
      <c r="T250" s="2"/>
      <c r="U250" s="2"/>
    </row>
    <row r="251" spans="1:21" ht="15.75" x14ac:dyDescent="0.25">
      <c r="A251" t="s">
        <v>20</v>
      </c>
      <c r="B251" t="s">
        <v>348</v>
      </c>
      <c r="C251" t="s">
        <v>349</v>
      </c>
      <c r="D251" t="s">
        <v>337</v>
      </c>
      <c r="E251" t="s">
        <v>48</v>
      </c>
      <c r="F251" t="s">
        <v>59</v>
      </c>
      <c r="G251" t="s">
        <v>371</v>
      </c>
      <c r="H251" t="s">
        <v>27</v>
      </c>
      <c r="I251" t="s">
        <v>28</v>
      </c>
      <c r="J251">
        <v>458</v>
      </c>
      <c r="K251" t="s">
        <v>124</v>
      </c>
      <c r="L251">
        <v>1</v>
      </c>
      <c r="M251" s="28">
        <v>0</v>
      </c>
      <c r="N251" s="36">
        <f t="shared" si="4"/>
        <v>0</v>
      </c>
      <c r="O251" s="21">
        <v>0</v>
      </c>
      <c r="P251" t="s">
        <v>30</v>
      </c>
      <c r="Q251" t="s">
        <v>31</v>
      </c>
      <c r="R251" s="1">
        <v>46142</v>
      </c>
      <c r="S251" t="s">
        <v>32</v>
      </c>
      <c r="T251" s="2"/>
      <c r="U251" s="2"/>
    </row>
    <row r="252" spans="1:21" ht="15.75" x14ac:dyDescent="0.25">
      <c r="A252" t="s">
        <v>20</v>
      </c>
      <c r="B252" t="s">
        <v>348</v>
      </c>
      <c r="C252" t="s">
        <v>349</v>
      </c>
      <c r="D252" t="s">
        <v>337</v>
      </c>
      <c r="E252" t="s">
        <v>48</v>
      </c>
      <c r="F252" t="s">
        <v>59</v>
      </c>
      <c r="G252" t="s">
        <v>372</v>
      </c>
      <c r="H252" t="s">
        <v>27</v>
      </c>
      <c r="I252" t="s">
        <v>28</v>
      </c>
      <c r="J252">
        <v>458</v>
      </c>
      <c r="K252" t="s">
        <v>124</v>
      </c>
      <c r="L252">
        <v>25</v>
      </c>
      <c r="M252" s="28">
        <v>0</v>
      </c>
      <c r="N252" s="36">
        <f t="shared" si="4"/>
        <v>0</v>
      </c>
      <c r="O252" s="21">
        <v>0</v>
      </c>
      <c r="P252" t="s">
        <v>30</v>
      </c>
      <c r="Q252" t="s">
        <v>31</v>
      </c>
      <c r="R252" s="1">
        <v>46142</v>
      </c>
      <c r="S252" t="s">
        <v>32</v>
      </c>
      <c r="T252" s="2"/>
      <c r="U252" s="2"/>
    </row>
    <row r="253" spans="1:21" ht="15.75" x14ac:dyDescent="0.25">
      <c r="A253" t="s">
        <v>20</v>
      </c>
      <c r="B253" t="s">
        <v>348</v>
      </c>
      <c r="C253" t="s">
        <v>349</v>
      </c>
      <c r="D253" t="s">
        <v>337</v>
      </c>
      <c r="E253" t="s">
        <v>48</v>
      </c>
      <c r="F253" t="s">
        <v>59</v>
      </c>
      <c r="G253" t="s">
        <v>373</v>
      </c>
      <c r="H253" t="s">
        <v>27</v>
      </c>
      <c r="I253" t="s">
        <v>28</v>
      </c>
      <c r="J253">
        <v>458</v>
      </c>
      <c r="K253" t="s">
        <v>124</v>
      </c>
      <c r="L253">
        <v>40</v>
      </c>
      <c r="M253" s="28">
        <v>0</v>
      </c>
      <c r="N253" s="36">
        <f t="shared" si="4"/>
        <v>0</v>
      </c>
      <c r="O253" s="21">
        <v>0</v>
      </c>
      <c r="P253" t="s">
        <v>30</v>
      </c>
      <c r="Q253" t="s">
        <v>31</v>
      </c>
      <c r="R253" s="1">
        <v>46142</v>
      </c>
      <c r="S253" t="s">
        <v>32</v>
      </c>
      <c r="T253" s="2"/>
      <c r="U253" s="2"/>
    </row>
    <row r="254" spans="1:21" ht="15.75" x14ac:dyDescent="0.25">
      <c r="A254" t="s">
        <v>20</v>
      </c>
      <c r="B254" t="s">
        <v>348</v>
      </c>
      <c r="C254" t="s">
        <v>349</v>
      </c>
      <c r="D254" t="s">
        <v>337</v>
      </c>
      <c r="E254" t="s">
        <v>48</v>
      </c>
      <c r="F254" t="s">
        <v>59</v>
      </c>
      <c r="G254" t="s">
        <v>360</v>
      </c>
      <c r="H254" t="s">
        <v>27</v>
      </c>
      <c r="I254" t="s">
        <v>28</v>
      </c>
      <c r="J254">
        <v>458</v>
      </c>
      <c r="K254" t="s">
        <v>124</v>
      </c>
      <c r="L254">
        <v>9</v>
      </c>
      <c r="M254" s="28">
        <v>0</v>
      </c>
      <c r="N254" s="36">
        <f t="shared" si="4"/>
        <v>0</v>
      </c>
      <c r="O254" s="21">
        <v>0</v>
      </c>
      <c r="P254" t="s">
        <v>30</v>
      </c>
      <c r="Q254" t="s">
        <v>31</v>
      </c>
      <c r="R254" s="1">
        <v>46142</v>
      </c>
      <c r="S254" t="s">
        <v>32</v>
      </c>
      <c r="T254" s="2"/>
      <c r="U254" s="2"/>
    </row>
    <row r="255" spans="1:21" ht="15.75" x14ac:dyDescent="0.25">
      <c r="A255" t="s">
        <v>20</v>
      </c>
      <c r="B255" t="s">
        <v>348</v>
      </c>
      <c r="C255" t="s">
        <v>349</v>
      </c>
      <c r="D255" t="s">
        <v>337</v>
      </c>
      <c r="E255" t="s">
        <v>48</v>
      </c>
      <c r="F255" t="s">
        <v>59</v>
      </c>
      <c r="G255" t="s">
        <v>362</v>
      </c>
      <c r="H255" t="s">
        <v>27</v>
      </c>
      <c r="I255" t="s">
        <v>28</v>
      </c>
      <c r="J255">
        <v>458</v>
      </c>
      <c r="K255" t="s">
        <v>124</v>
      </c>
      <c r="L255">
        <v>6</v>
      </c>
      <c r="M255" s="28">
        <v>0</v>
      </c>
      <c r="N255" s="36">
        <f t="shared" si="4"/>
        <v>0</v>
      </c>
      <c r="O255" s="21">
        <v>0</v>
      </c>
      <c r="P255" t="s">
        <v>30</v>
      </c>
      <c r="Q255" t="s">
        <v>31</v>
      </c>
      <c r="R255" s="1">
        <v>46142</v>
      </c>
      <c r="S255" t="s">
        <v>32</v>
      </c>
      <c r="T255" s="2"/>
      <c r="U255" s="2"/>
    </row>
    <row r="256" spans="1:21" ht="15.75" x14ac:dyDescent="0.25">
      <c r="A256" t="s">
        <v>20</v>
      </c>
      <c r="B256" t="s">
        <v>348</v>
      </c>
      <c r="C256" t="s">
        <v>349</v>
      </c>
      <c r="D256" t="s">
        <v>337</v>
      </c>
      <c r="E256" t="s">
        <v>48</v>
      </c>
      <c r="F256" t="s">
        <v>59</v>
      </c>
      <c r="G256" t="s">
        <v>374</v>
      </c>
      <c r="H256" t="s">
        <v>27</v>
      </c>
      <c r="I256" t="s">
        <v>28</v>
      </c>
      <c r="J256">
        <v>458</v>
      </c>
      <c r="K256" t="s">
        <v>124</v>
      </c>
      <c r="L256">
        <v>5</v>
      </c>
      <c r="M256" s="28">
        <v>0</v>
      </c>
      <c r="N256" s="36">
        <f t="shared" si="4"/>
        <v>0</v>
      </c>
      <c r="O256" s="21">
        <v>0</v>
      </c>
      <c r="P256" t="s">
        <v>30</v>
      </c>
      <c r="Q256" t="s">
        <v>31</v>
      </c>
      <c r="R256" s="1">
        <v>46142</v>
      </c>
      <c r="S256" t="s">
        <v>32</v>
      </c>
      <c r="T256" s="2"/>
      <c r="U256" s="2"/>
    </row>
    <row r="257" spans="1:21" ht="15.75" x14ac:dyDescent="0.25">
      <c r="A257" t="s">
        <v>20</v>
      </c>
      <c r="B257" t="s">
        <v>348</v>
      </c>
      <c r="C257" t="s">
        <v>349</v>
      </c>
      <c r="D257" t="s">
        <v>337</v>
      </c>
      <c r="E257" t="s">
        <v>48</v>
      </c>
      <c r="F257" t="s">
        <v>59</v>
      </c>
      <c r="G257" t="s">
        <v>343</v>
      </c>
      <c r="H257" t="s">
        <v>27</v>
      </c>
      <c r="I257" t="s">
        <v>28</v>
      </c>
      <c r="J257">
        <v>459</v>
      </c>
      <c r="K257" t="s">
        <v>124</v>
      </c>
      <c r="L257">
        <v>5</v>
      </c>
      <c r="M257" s="28">
        <v>0</v>
      </c>
      <c r="N257" s="36">
        <f t="shared" si="4"/>
        <v>0</v>
      </c>
      <c r="O257" s="21">
        <v>0</v>
      </c>
      <c r="P257" t="s">
        <v>30</v>
      </c>
      <c r="Q257" t="s">
        <v>31</v>
      </c>
      <c r="R257" s="1">
        <v>46142</v>
      </c>
      <c r="S257" t="s">
        <v>32</v>
      </c>
      <c r="T257" s="2"/>
      <c r="U257" s="2"/>
    </row>
    <row r="258" spans="1:21" ht="15.75" x14ac:dyDescent="0.25">
      <c r="A258" t="s">
        <v>20</v>
      </c>
      <c r="B258" t="s">
        <v>348</v>
      </c>
      <c r="C258" t="s">
        <v>349</v>
      </c>
      <c r="D258" t="s">
        <v>337</v>
      </c>
      <c r="E258" t="s">
        <v>48</v>
      </c>
      <c r="F258" t="s">
        <v>59</v>
      </c>
      <c r="G258" t="s">
        <v>339</v>
      </c>
      <c r="H258" t="s">
        <v>27</v>
      </c>
      <c r="I258" t="s">
        <v>28</v>
      </c>
      <c r="J258">
        <v>459</v>
      </c>
      <c r="K258" t="s">
        <v>124</v>
      </c>
      <c r="L258">
        <v>10</v>
      </c>
      <c r="M258" s="28">
        <v>0</v>
      </c>
      <c r="N258" s="36">
        <f t="shared" si="4"/>
        <v>0</v>
      </c>
      <c r="O258" s="21">
        <v>0</v>
      </c>
      <c r="P258" t="s">
        <v>30</v>
      </c>
      <c r="Q258" t="s">
        <v>31</v>
      </c>
      <c r="R258" s="1">
        <v>46142</v>
      </c>
      <c r="S258" t="s">
        <v>32</v>
      </c>
      <c r="T258" s="2"/>
      <c r="U258" s="2"/>
    </row>
    <row r="259" spans="1:21" ht="15.75" x14ac:dyDescent="0.25">
      <c r="A259" t="s">
        <v>20</v>
      </c>
      <c r="B259" t="s">
        <v>348</v>
      </c>
      <c r="C259" t="s">
        <v>349</v>
      </c>
      <c r="D259" t="s">
        <v>337</v>
      </c>
      <c r="E259" t="s">
        <v>48</v>
      </c>
      <c r="F259" t="s">
        <v>59</v>
      </c>
      <c r="G259" t="s">
        <v>365</v>
      </c>
      <c r="H259" t="s">
        <v>27</v>
      </c>
      <c r="I259" t="s">
        <v>28</v>
      </c>
      <c r="J259">
        <v>459</v>
      </c>
      <c r="K259" t="s">
        <v>124</v>
      </c>
      <c r="L259">
        <v>20</v>
      </c>
      <c r="M259" s="28">
        <v>0</v>
      </c>
      <c r="N259" s="36">
        <f t="shared" si="4"/>
        <v>0</v>
      </c>
      <c r="O259" s="21">
        <v>0</v>
      </c>
      <c r="P259" t="s">
        <v>30</v>
      </c>
      <c r="Q259" t="s">
        <v>31</v>
      </c>
      <c r="R259" s="1">
        <v>46142</v>
      </c>
      <c r="S259" t="s">
        <v>32</v>
      </c>
      <c r="T259" s="2"/>
      <c r="U259" s="2"/>
    </row>
    <row r="260" spans="1:21" ht="15.75" x14ac:dyDescent="0.25">
      <c r="A260" t="s">
        <v>20</v>
      </c>
      <c r="B260" t="s">
        <v>348</v>
      </c>
      <c r="C260" t="s">
        <v>349</v>
      </c>
      <c r="D260" t="s">
        <v>337</v>
      </c>
      <c r="E260" t="s">
        <v>48</v>
      </c>
      <c r="F260" t="s">
        <v>59</v>
      </c>
      <c r="G260" t="s">
        <v>358</v>
      </c>
      <c r="H260" t="s">
        <v>27</v>
      </c>
      <c r="I260" t="s">
        <v>28</v>
      </c>
      <c r="J260">
        <v>459</v>
      </c>
      <c r="K260" t="s">
        <v>124</v>
      </c>
      <c r="L260">
        <v>3</v>
      </c>
      <c r="M260" s="28">
        <v>0</v>
      </c>
      <c r="N260" s="36">
        <f t="shared" si="4"/>
        <v>0</v>
      </c>
      <c r="O260" s="21">
        <v>0</v>
      </c>
      <c r="P260" t="s">
        <v>30</v>
      </c>
      <c r="Q260" t="s">
        <v>31</v>
      </c>
      <c r="R260" s="1">
        <v>46142</v>
      </c>
      <c r="S260" t="s">
        <v>32</v>
      </c>
      <c r="T260" s="2"/>
      <c r="U260" s="2"/>
    </row>
    <row r="261" spans="1:21" ht="15.75" x14ac:dyDescent="0.25">
      <c r="A261" t="s">
        <v>20</v>
      </c>
      <c r="B261" t="s">
        <v>348</v>
      </c>
      <c r="C261" t="s">
        <v>349</v>
      </c>
      <c r="D261" t="s">
        <v>337</v>
      </c>
      <c r="E261" t="s">
        <v>48</v>
      </c>
      <c r="F261" t="s">
        <v>59</v>
      </c>
      <c r="G261" t="s">
        <v>359</v>
      </c>
      <c r="H261" t="s">
        <v>27</v>
      </c>
      <c r="I261" t="s">
        <v>28</v>
      </c>
      <c r="J261">
        <v>459</v>
      </c>
      <c r="K261" t="s">
        <v>124</v>
      </c>
      <c r="L261">
        <v>10</v>
      </c>
      <c r="M261" s="28">
        <v>0</v>
      </c>
      <c r="N261" s="36">
        <f t="shared" si="4"/>
        <v>0</v>
      </c>
      <c r="O261" s="21">
        <v>0</v>
      </c>
      <c r="P261" t="s">
        <v>30</v>
      </c>
      <c r="Q261" t="s">
        <v>31</v>
      </c>
      <c r="R261" s="1">
        <v>46142</v>
      </c>
      <c r="S261" t="s">
        <v>32</v>
      </c>
      <c r="T261" s="2"/>
      <c r="U261" s="2"/>
    </row>
    <row r="262" spans="1:21" ht="15.75" x14ac:dyDescent="0.25">
      <c r="A262" t="s">
        <v>20</v>
      </c>
      <c r="B262" t="s">
        <v>348</v>
      </c>
      <c r="C262" t="s">
        <v>349</v>
      </c>
      <c r="D262" t="s">
        <v>337</v>
      </c>
      <c r="E262" t="s">
        <v>48</v>
      </c>
      <c r="F262" t="s">
        <v>59</v>
      </c>
      <c r="G262" t="s">
        <v>361</v>
      </c>
      <c r="H262" t="s">
        <v>27</v>
      </c>
      <c r="I262" t="s">
        <v>28</v>
      </c>
      <c r="J262">
        <v>459</v>
      </c>
      <c r="K262" t="s">
        <v>124</v>
      </c>
      <c r="L262">
        <v>10</v>
      </c>
      <c r="M262" s="28">
        <v>0</v>
      </c>
      <c r="N262" s="36">
        <f t="shared" si="4"/>
        <v>0</v>
      </c>
      <c r="O262" s="21">
        <v>0</v>
      </c>
      <c r="P262" t="s">
        <v>30</v>
      </c>
      <c r="Q262" t="s">
        <v>31</v>
      </c>
      <c r="R262" s="1">
        <v>46142</v>
      </c>
      <c r="S262" t="s">
        <v>32</v>
      </c>
      <c r="T262" s="2"/>
      <c r="U262" s="2"/>
    </row>
    <row r="263" spans="1:21" ht="15.75" x14ac:dyDescent="0.25">
      <c r="A263" t="s">
        <v>20</v>
      </c>
      <c r="B263" t="s">
        <v>348</v>
      </c>
      <c r="C263" t="s">
        <v>349</v>
      </c>
      <c r="D263" t="s">
        <v>337</v>
      </c>
      <c r="E263" t="s">
        <v>48</v>
      </c>
      <c r="F263" t="s">
        <v>59</v>
      </c>
      <c r="G263" t="s">
        <v>362</v>
      </c>
      <c r="H263" t="s">
        <v>27</v>
      </c>
      <c r="I263" t="s">
        <v>28</v>
      </c>
      <c r="J263">
        <v>459</v>
      </c>
      <c r="K263" t="s">
        <v>124</v>
      </c>
      <c r="L263">
        <v>1</v>
      </c>
      <c r="M263" s="28">
        <v>0</v>
      </c>
      <c r="N263" s="36">
        <f t="shared" si="4"/>
        <v>0</v>
      </c>
      <c r="O263" s="21">
        <v>0</v>
      </c>
      <c r="P263" t="s">
        <v>30</v>
      </c>
      <c r="Q263" t="s">
        <v>31</v>
      </c>
      <c r="R263" s="1">
        <v>46142</v>
      </c>
      <c r="S263" t="s">
        <v>32</v>
      </c>
      <c r="T263" s="2"/>
      <c r="U263" s="2"/>
    </row>
    <row r="264" spans="1:21" ht="15.75" x14ac:dyDescent="0.25">
      <c r="A264" t="s">
        <v>20</v>
      </c>
      <c r="B264" t="s">
        <v>375</v>
      </c>
      <c r="C264" t="s">
        <v>376</v>
      </c>
      <c r="D264" t="s">
        <v>337</v>
      </c>
      <c r="E264" s="38" t="s">
        <v>24</v>
      </c>
      <c r="F264" t="s">
        <v>55</v>
      </c>
      <c r="G264" t="s">
        <v>42</v>
      </c>
      <c r="H264" t="s">
        <v>27</v>
      </c>
      <c r="I264" t="s">
        <v>28</v>
      </c>
      <c r="J264">
        <v>460</v>
      </c>
      <c r="K264" t="s">
        <v>29</v>
      </c>
      <c r="L264">
        <v>200</v>
      </c>
      <c r="M264" s="28">
        <v>0</v>
      </c>
      <c r="N264" s="36">
        <f t="shared" si="4"/>
        <v>0</v>
      </c>
      <c r="O264" s="21">
        <v>0</v>
      </c>
      <c r="P264" t="s">
        <v>30</v>
      </c>
      <c r="Q264" t="s">
        <v>31</v>
      </c>
      <c r="R264" s="1">
        <v>46045</v>
      </c>
      <c r="S264" t="s">
        <v>32</v>
      </c>
      <c r="T264" s="2" t="s">
        <v>377</v>
      </c>
      <c r="U264" s="3">
        <v>45968</v>
      </c>
    </row>
    <row r="265" spans="1:21" ht="15.75" x14ac:dyDescent="0.25">
      <c r="A265" t="s">
        <v>20</v>
      </c>
      <c r="B265" t="s">
        <v>375</v>
      </c>
      <c r="C265" t="s">
        <v>376</v>
      </c>
      <c r="D265" t="s">
        <v>337</v>
      </c>
      <c r="E265" s="38" t="s">
        <v>24</v>
      </c>
      <c r="F265" t="s">
        <v>55</v>
      </c>
      <c r="G265" t="s">
        <v>378</v>
      </c>
      <c r="H265" t="s">
        <v>27</v>
      </c>
      <c r="I265" t="s">
        <v>28</v>
      </c>
      <c r="J265">
        <v>460</v>
      </c>
      <c r="K265" t="s">
        <v>7</v>
      </c>
      <c r="L265">
        <v>15</v>
      </c>
      <c r="M265" s="28">
        <v>0</v>
      </c>
      <c r="N265" s="36">
        <f t="shared" si="4"/>
        <v>0</v>
      </c>
      <c r="O265" s="21">
        <v>0</v>
      </c>
      <c r="P265" t="s">
        <v>30</v>
      </c>
      <c r="Q265" t="s">
        <v>31</v>
      </c>
      <c r="R265" s="1">
        <v>46045</v>
      </c>
      <c r="S265" t="s">
        <v>32</v>
      </c>
      <c r="T265" s="2" t="s">
        <v>377</v>
      </c>
      <c r="U265" s="3">
        <v>45968</v>
      </c>
    </row>
    <row r="266" spans="1:21" ht="15.75" x14ac:dyDescent="0.25">
      <c r="A266" t="s">
        <v>20</v>
      </c>
      <c r="B266" t="s">
        <v>375</v>
      </c>
      <c r="C266" t="s">
        <v>376</v>
      </c>
      <c r="D266" t="s">
        <v>337</v>
      </c>
      <c r="E266" s="38" t="s">
        <v>24</v>
      </c>
      <c r="F266" t="s">
        <v>55</v>
      </c>
      <c r="G266" t="s">
        <v>276</v>
      </c>
      <c r="H266" t="s">
        <v>57</v>
      </c>
      <c r="I266" t="s">
        <v>65</v>
      </c>
      <c r="J266">
        <v>161</v>
      </c>
      <c r="K266" t="s">
        <v>277</v>
      </c>
      <c r="L266">
        <v>20</v>
      </c>
      <c r="M266" s="28">
        <v>351368</v>
      </c>
      <c r="N266" s="36">
        <f t="shared" si="4"/>
        <v>17568.400000000001</v>
      </c>
      <c r="O266" s="21">
        <v>860.84516129032261</v>
      </c>
      <c r="P266" t="s">
        <v>30</v>
      </c>
      <c r="Q266" t="s">
        <v>31</v>
      </c>
      <c r="R266" s="1">
        <v>46103</v>
      </c>
      <c r="S266" t="s">
        <v>32</v>
      </c>
      <c r="T266" s="2"/>
      <c r="U266" s="2"/>
    </row>
    <row r="267" spans="1:21" ht="15.75" x14ac:dyDescent="0.25">
      <c r="A267" t="s">
        <v>20</v>
      </c>
      <c r="B267" t="s">
        <v>375</v>
      </c>
      <c r="C267" t="s">
        <v>376</v>
      </c>
      <c r="D267" t="s">
        <v>337</v>
      </c>
      <c r="E267" s="38" t="s">
        <v>24</v>
      </c>
      <c r="F267" t="s">
        <v>55</v>
      </c>
      <c r="G267" t="s">
        <v>297</v>
      </c>
      <c r="H267" t="s">
        <v>57</v>
      </c>
      <c r="I267" t="s">
        <v>65</v>
      </c>
      <c r="J267">
        <v>161</v>
      </c>
      <c r="K267" t="s">
        <v>124</v>
      </c>
      <c r="L267">
        <v>40</v>
      </c>
      <c r="M267" s="28">
        <v>355816</v>
      </c>
      <c r="N267" s="36">
        <f t="shared" si="4"/>
        <v>8895.4</v>
      </c>
      <c r="O267" s="21">
        <v>382.59784946236562</v>
      </c>
      <c r="P267" t="s">
        <v>30</v>
      </c>
      <c r="Q267" t="s">
        <v>31</v>
      </c>
      <c r="R267" s="1">
        <v>46103</v>
      </c>
      <c r="S267" t="s">
        <v>32</v>
      </c>
      <c r="T267" s="2"/>
      <c r="U267" s="2"/>
    </row>
    <row r="268" spans="1:21" ht="15.75" x14ac:dyDescent="0.25">
      <c r="A268" t="s">
        <v>20</v>
      </c>
      <c r="B268" t="s">
        <v>375</v>
      </c>
      <c r="C268" t="s">
        <v>376</v>
      </c>
      <c r="D268" t="s">
        <v>337</v>
      </c>
      <c r="E268" s="38" t="s">
        <v>24</v>
      </c>
      <c r="F268" t="s">
        <v>55</v>
      </c>
      <c r="G268" t="s">
        <v>379</v>
      </c>
      <c r="H268" t="s">
        <v>57</v>
      </c>
      <c r="I268" t="s">
        <v>65</v>
      </c>
      <c r="J268">
        <v>161</v>
      </c>
      <c r="K268" t="s">
        <v>124</v>
      </c>
      <c r="L268">
        <v>12</v>
      </c>
      <c r="M268" s="28">
        <v>128094</v>
      </c>
      <c r="N268" s="36">
        <f t="shared" si="4"/>
        <v>10674.5</v>
      </c>
      <c r="O268" s="21">
        <v>137.73548387096776</v>
      </c>
      <c r="P268" t="s">
        <v>30</v>
      </c>
      <c r="Q268" t="s">
        <v>31</v>
      </c>
      <c r="R268" s="1">
        <v>46103</v>
      </c>
      <c r="S268" t="s">
        <v>32</v>
      </c>
      <c r="T268" s="2"/>
      <c r="U268" s="2"/>
    </row>
    <row r="269" spans="1:21" ht="15.75" x14ac:dyDescent="0.25">
      <c r="A269" t="s">
        <v>20</v>
      </c>
      <c r="B269" t="s">
        <v>375</v>
      </c>
      <c r="C269" t="s">
        <v>376</v>
      </c>
      <c r="D269" t="s">
        <v>337</v>
      </c>
      <c r="E269" s="38" t="s">
        <v>24</v>
      </c>
      <c r="F269" t="s">
        <v>55</v>
      </c>
      <c r="G269" t="s">
        <v>380</v>
      </c>
      <c r="H269" t="s">
        <v>57</v>
      </c>
      <c r="I269" t="s">
        <v>65</v>
      </c>
      <c r="J269">
        <v>161</v>
      </c>
      <c r="K269" t="s">
        <v>124</v>
      </c>
      <c r="L269">
        <v>120</v>
      </c>
      <c r="M269" s="28">
        <v>512375</v>
      </c>
      <c r="N269" s="36">
        <f t="shared" ref="N269:N332" si="5">M269/L269</f>
        <v>4269.791666666667</v>
      </c>
      <c r="O269" s="21">
        <v>550.94086021505382</v>
      </c>
      <c r="P269" t="s">
        <v>30</v>
      </c>
      <c r="Q269" t="s">
        <v>31</v>
      </c>
      <c r="R269" s="1">
        <v>46103</v>
      </c>
      <c r="S269" t="s">
        <v>32</v>
      </c>
      <c r="T269" s="2"/>
      <c r="U269" s="2"/>
    </row>
    <row r="270" spans="1:21" ht="15.75" x14ac:dyDescent="0.25">
      <c r="A270" t="s">
        <v>20</v>
      </c>
      <c r="B270" t="s">
        <v>21</v>
      </c>
      <c r="C270" s="41" t="s">
        <v>22</v>
      </c>
      <c r="D270" s="41" t="s">
        <v>381</v>
      </c>
      <c r="E270" s="38" t="s">
        <v>24</v>
      </c>
      <c r="F270" s="41" t="s">
        <v>25</v>
      </c>
      <c r="G270" s="41" t="s">
        <v>243</v>
      </c>
      <c r="H270" s="41" t="s">
        <v>27</v>
      </c>
      <c r="I270" s="41" t="s">
        <v>65</v>
      </c>
      <c r="J270" s="41">
        <v>162</v>
      </c>
      <c r="K270" s="41" t="s">
        <v>124</v>
      </c>
      <c r="L270" s="41">
        <v>40</v>
      </c>
      <c r="M270" s="42">
        <v>320000</v>
      </c>
      <c r="N270" s="36">
        <f t="shared" si="5"/>
        <v>8000</v>
      </c>
      <c r="O270" s="21">
        <v>344.08602150537632</v>
      </c>
      <c r="P270" t="s">
        <v>30</v>
      </c>
      <c r="Q270" t="s">
        <v>31</v>
      </c>
      <c r="R270" s="1">
        <v>46142</v>
      </c>
      <c r="S270" t="s">
        <v>32</v>
      </c>
      <c r="T270" s="2"/>
      <c r="U270" s="2"/>
    </row>
    <row r="271" spans="1:21" ht="15.75" x14ac:dyDescent="0.25">
      <c r="A271" t="s">
        <v>20</v>
      </c>
      <c r="B271" t="s">
        <v>39</v>
      </c>
      <c r="C271" t="s">
        <v>40</v>
      </c>
      <c r="D271" t="s">
        <v>381</v>
      </c>
      <c r="E271" t="s">
        <v>41</v>
      </c>
      <c r="F271" t="s">
        <v>37</v>
      </c>
      <c r="G271" t="s">
        <v>383</v>
      </c>
      <c r="H271" t="s">
        <v>57</v>
      </c>
      <c r="I271" t="s">
        <v>65</v>
      </c>
      <c r="J271">
        <v>164</v>
      </c>
      <c r="K271" t="s">
        <v>124</v>
      </c>
      <c r="L271">
        <v>500</v>
      </c>
      <c r="M271" s="28">
        <v>2125000</v>
      </c>
      <c r="N271" s="36">
        <f t="shared" si="5"/>
        <v>4250</v>
      </c>
      <c r="O271" s="21">
        <v>2284.9462365591398</v>
      </c>
      <c r="P271" t="s">
        <v>30</v>
      </c>
      <c r="Q271" t="s">
        <v>31</v>
      </c>
      <c r="R271" s="1">
        <v>46161</v>
      </c>
      <c r="S271" t="s">
        <v>32</v>
      </c>
      <c r="T271" s="2"/>
      <c r="U271" s="2"/>
    </row>
    <row r="272" spans="1:21" ht="15.75" x14ac:dyDescent="0.25">
      <c r="A272" t="s">
        <v>20</v>
      </c>
      <c r="B272" t="s">
        <v>120</v>
      </c>
      <c r="C272" t="s">
        <v>121</v>
      </c>
      <c r="D272" t="s">
        <v>381</v>
      </c>
      <c r="E272" t="s">
        <v>48</v>
      </c>
      <c r="F272" t="s">
        <v>55</v>
      </c>
      <c r="G272" t="s">
        <v>328</v>
      </c>
      <c r="H272" t="s">
        <v>57</v>
      </c>
      <c r="I272" t="s">
        <v>65</v>
      </c>
      <c r="J272">
        <v>165</v>
      </c>
      <c r="K272" t="s">
        <v>124</v>
      </c>
      <c r="L272">
        <v>5</v>
      </c>
      <c r="M272" s="28">
        <v>43911</v>
      </c>
      <c r="N272" s="36">
        <f t="shared" si="5"/>
        <v>8782.2000000000007</v>
      </c>
      <c r="O272" s="21">
        <v>47.216129032258067</v>
      </c>
      <c r="P272" t="s">
        <v>30</v>
      </c>
      <c r="Q272" t="s">
        <v>31</v>
      </c>
      <c r="R272" s="1">
        <v>46104</v>
      </c>
      <c r="S272" t="s">
        <v>32</v>
      </c>
      <c r="T272" s="2"/>
      <c r="U272" s="2"/>
    </row>
    <row r="273" spans="1:21" ht="15.75" x14ac:dyDescent="0.25">
      <c r="A273" t="s">
        <v>20</v>
      </c>
      <c r="B273" t="s">
        <v>384</v>
      </c>
      <c r="C273" t="s">
        <v>385</v>
      </c>
      <c r="D273" t="s">
        <v>386</v>
      </c>
      <c r="E273" t="s">
        <v>48</v>
      </c>
      <c r="F273" t="s">
        <v>59</v>
      </c>
      <c r="G273" t="s">
        <v>290</v>
      </c>
      <c r="H273" t="s">
        <v>27</v>
      </c>
      <c r="I273" t="s">
        <v>28</v>
      </c>
      <c r="J273">
        <v>461</v>
      </c>
      <c r="K273" t="s">
        <v>124</v>
      </c>
      <c r="L273">
        <v>100</v>
      </c>
      <c r="M273" s="28">
        <v>264000</v>
      </c>
      <c r="N273" s="36">
        <f t="shared" si="5"/>
        <v>2640</v>
      </c>
      <c r="O273" s="21">
        <v>283.87096774193549</v>
      </c>
      <c r="P273" t="s">
        <v>30</v>
      </c>
      <c r="Q273" t="s">
        <v>31</v>
      </c>
      <c r="R273" s="1">
        <v>46067</v>
      </c>
      <c r="S273" t="s">
        <v>32</v>
      </c>
      <c r="T273" s="2"/>
      <c r="U273" s="2"/>
    </row>
    <row r="274" spans="1:21" ht="15.75" x14ac:dyDescent="0.25">
      <c r="A274" t="s">
        <v>20</v>
      </c>
      <c r="B274" t="s">
        <v>387</v>
      </c>
      <c r="C274" t="s">
        <v>388</v>
      </c>
      <c r="D274" t="s">
        <v>386</v>
      </c>
      <c r="E274" t="s">
        <v>48</v>
      </c>
      <c r="F274" t="s">
        <v>59</v>
      </c>
      <c r="G274" t="s">
        <v>389</v>
      </c>
      <c r="H274" t="s">
        <v>27</v>
      </c>
      <c r="I274" t="s">
        <v>28</v>
      </c>
      <c r="J274">
        <v>462</v>
      </c>
      <c r="K274" t="s">
        <v>124</v>
      </c>
      <c r="L274">
        <v>40</v>
      </c>
      <c r="M274" s="28">
        <v>0</v>
      </c>
      <c r="N274" s="36">
        <f t="shared" si="5"/>
        <v>0</v>
      </c>
      <c r="O274" s="21">
        <v>0</v>
      </c>
      <c r="P274" t="s">
        <v>30</v>
      </c>
      <c r="Q274" t="s">
        <v>31</v>
      </c>
      <c r="R274" s="1">
        <v>46045</v>
      </c>
      <c r="S274" t="s">
        <v>32</v>
      </c>
      <c r="T274" s="2" t="s">
        <v>390</v>
      </c>
      <c r="U274" s="3">
        <v>46045</v>
      </c>
    </row>
    <row r="275" spans="1:21" ht="15.75" x14ac:dyDescent="0.25">
      <c r="A275" t="s">
        <v>20</v>
      </c>
      <c r="B275" t="s">
        <v>387</v>
      </c>
      <c r="C275" t="s">
        <v>388</v>
      </c>
      <c r="D275" t="s">
        <v>386</v>
      </c>
      <c r="E275" t="s">
        <v>48</v>
      </c>
      <c r="F275" t="s">
        <v>59</v>
      </c>
      <c r="G275" t="s">
        <v>243</v>
      </c>
      <c r="H275" t="s">
        <v>27</v>
      </c>
      <c r="I275" t="s">
        <v>28</v>
      </c>
      <c r="J275">
        <v>462</v>
      </c>
      <c r="K275" t="s">
        <v>124</v>
      </c>
      <c r="L275">
        <v>40</v>
      </c>
      <c r="M275" s="28">
        <v>0</v>
      </c>
      <c r="N275" s="36">
        <f t="shared" si="5"/>
        <v>0</v>
      </c>
      <c r="O275" s="21">
        <v>0</v>
      </c>
      <c r="P275" t="s">
        <v>30</v>
      </c>
      <c r="Q275" t="s">
        <v>31</v>
      </c>
      <c r="R275" s="1">
        <v>46045</v>
      </c>
      <c r="S275" t="s">
        <v>32</v>
      </c>
      <c r="T275" s="2" t="s">
        <v>390</v>
      </c>
      <c r="U275" s="3">
        <v>46045</v>
      </c>
    </row>
    <row r="276" spans="1:21" ht="15.75" x14ac:dyDescent="0.25">
      <c r="A276" t="s">
        <v>20</v>
      </c>
      <c r="B276" t="s">
        <v>387</v>
      </c>
      <c r="C276" t="s">
        <v>388</v>
      </c>
      <c r="D276" t="s">
        <v>386</v>
      </c>
      <c r="E276" t="s">
        <v>48</v>
      </c>
      <c r="F276" t="s">
        <v>59</v>
      </c>
      <c r="G276" t="s">
        <v>252</v>
      </c>
      <c r="H276" t="s">
        <v>27</v>
      </c>
      <c r="I276" t="s">
        <v>28</v>
      </c>
      <c r="J276">
        <v>462</v>
      </c>
      <c r="K276" t="s">
        <v>124</v>
      </c>
      <c r="L276">
        <v>20</v>
      </c>
      <c r="M276" s="28">
        <v>0</v>
      </c>
      <c r="N276" s="36">
        <f t="shared" si="5"/>
        <v>0</v>
      </c>
      <c r="O276" s="21">
        <v>0</v>
      </c>
      <c r="P276" t="s">
        <v>30</v>
      </c>
      <c r="Q276" t="s">
        <v>31</v>
      </c>
      <c r="R276" s="1">
        <v>46045</v>
      </c>
      <c r="S276" t="s">
        <v>32</v>
      </c>
      <c r="T276" s="2" t="s">
        <v>390</v>
      </c>
      <c r="U276" s="3">
        <v>46045</v>
      </c>
    </row>
    <row r="277" spans="1:21" ht="15.75" x14ac:dyDescent="0.25">
      <c r="A277" t="s">
        <v>20</v>
      </c>
      <c r="B277" t="s">
        <v>387</v>
      </c>
      <c r="C277" t="s">
        <v>388</v>
      </c>
      <c r="D277" t="s">
        <v>386</v>
      </c>
      <c r="E277" t="s">
        <v>48</v>
      </c>
      <c r="F277" t="s">
        <v>59</v>
      </c>
      <c r="G277" t="s">
        <v>254</v>
      </c>
      <c r="H277" t="s">
        <v>27</v>
      </c>
      <c r="I277" t="s">
        <v>28</v>
      </c>
      <c r="J277">
        <v>462</v>
      </c>
      <c r="K277" t="s">
        <v>124</v>
      </c>
      <c r="L277">
        <v>20</v>
      </c>
      <c r="M277" s="28">
        <v>0</v>
      </c>
      <c r="N277" s="36">
        <f t="shared" si="5"/>
        <v>0</v>
      </c>
      <c r="O277" s="21">
        <v>0</v>
      </c>
      <c r="P277" t="s">
        <v>30</v>
      </c>
      <c r="Q277" t="s">
        <v>31</v>
      </c>
      <c r="R277" s="1">
        <v>46045</v>
      </c>
      <c r="S277" t="s">
        <v>32</v>
      </c>
      <c r="T277" s="2" t="s">
        <v>390</v>
      </c>
      <c r="U277" s="3">
        <v>46045</v>
      </c>
    </row>
    <row r="278" spans="1:21" ht="15.75" x14ac:dyDescent="0.25">
      <c r="A278" t="s">
        <v>20</v>
      </c>
      <c r="B278" t="s">
        <v>312</v>
      </c>
      <c r="C278" t="s">
        <v>313</v>
      </c>
      <c r="D278" t="s">
        <v>386</v>
      </c>
      <c r="E278" t="s">
        <v>148</v>
      </c>
      <c r="F278" t="s">
        <v>49</v>
      </c>
      <c r="G278" t="s">
        <v>314</v>
      </c>
      <c r="H278" t="s">
        <v>27</v>
      </c>
      <c r="I278" t="s">
        <v>28</v>
      </c>
      <c r="J278">
        <v>463</v>
      </c>
      <c r="K278" t="s">
        <v>29</v>
      </c>
      <c r="L278">
        <v>12</v>
      </c>
      <c r="M278" s="28">
        <v>0</v>
      </c>
      <c r="N278" s="36">
        <f t="shared" si="5"/>
        <v>0</v>
      </c>
      <c r="O278" s="21">
        <v>0</v>
      </c>
      <c r="P278" t="s">
        <v>30</v>
      </c>
      <c r="Q278" t="s">
        <v>31</v>
      </c>
      <c r="R278" s="1">
        <v>46075</v>
      </c>
      <c r="S278" t="s">
        <v>32</v>
      </c>
      <c r="T278" s="2" t="s">
        <v>391</v>
      </c>
      <c r="U278" s="3">
        <v>46041</v>
      </c>
    </row>
    <row r="279" spans="1:21" ht="15.75" x14ac:dyDescent="0.25">
      <c r="A279" t="s">
        <v>20</v>
      </c>
      <c r="B279" t="s">
        <v>312</v>
      </c>
      <c r="C279" t="s">
        <v>313</v>
      </c>
      <c r="D279" t="s">
        <v>386</v>
      </c>
      <c r="E279" t="s">
        <v>148</v>
      </c>
      <c r="F279" t="s">
        <v>49</v>
      </c>
      <c r="G279" t="s">
        <v>172</v>
      </c>
      <c r="H279" t="s">
        <v>27</v>
      </c>
      <c r="I279" t="s">
        <v>28</v>
      </c>
      <c r="J279">
        <v>463</v>
      </c>
      <c r="K279" t="s">
        <v>29</v>
      </c>
      <c r="L279">
        <v>24</v>
      </c>
      <c r="M279" s="28">
        <v>0</v>
      </c>
      <c r="N279" s="36">
        <f t="shared" si="5"/>
        <v>0</v>
      </c>
      <c r="O279" s="21">
        <v>0</v>
      </c>
      <c r="P279" t="s">
        <v>30</v>
      </c>
      <c r="Q279" t="s">
        <v>31</v>
      </c>
      <c r="R279" s="1">
        <v>46075</v>
      </c>
      <c r="S279" t="s">
        <v>32</v>
      </c>
      <c r="T279" s="2" t="s">
        <v>391</v>
      </c>
      <c r="U279" s="3">
        <v>46041</v>
      </c>
    </row>
    <row r="280" spans="1:21" ht="15.75" x14ac:dyDescent="0.25">
      <c r="A280" t="s">
        <v>20</v>
      </c>
      <c r="B280" t="s">
        <v>312</v>
      </c>
      <c r="C280" t="s">
        <v>313</v>
      </c>
      <c r="D280" t="s">
        <v>386</v>
      </c>
      <c r="E280" t="s">
        <v>148</v>
      </c>
      <c r="F280" t="s">
        <v>49</v>
      </c>
      <c r="G280" t="s">
        <v>167</v>
      </c>
      <c r="H280" t="s">
        <v>27</v>
      </c>
      <c r="I280" t="s">
        <v>28</v>
      </c>
      <c r="J280">
        <v>463</v>
      </c>
      <c r="K280" t="s">
        <v>29</v>
      </c>
      <c r="L280">
        <v>36</v>
      </c>
      <c r="M280" s="28">
        <v>0</v>
      </c>
      <c r="N280" s="36">
        <f t="shared" si="5"/>
        <v>0</v>
      </c>
      <c r="O280" s="21">
        <v>0</v>
      </c>
      <c r="P280" t="s">
        <v>30</v>
      </c>
      <c r="Q280" t="s">
        <v>31</v>
      </c>
      <c r="R280" s="1">
        <v>46075</v>
      </c>
      <c r="S280" t="s">
        <v>32</v>
      </c>
      <c r="T280" s="2" t="s">
        <v>391</v>
      </c>
      <c r="U280" s="3">
        <v>46041</v>
      </c>
    </row>
    <row r="281" spans="1:21" ht="15.75" x14ac:dyDescent="0.25">
      <c r="A281" t="s">
        <v>20</v>
      </c>
      <c r="B281" t="s">
        <v>312</v>
      </c>
      <c r="C281" t="s">
        <v>313</v>
      </c>
      <c r="D281" t="s">
        <v>386</v>
      </c>
      <c r="E281" t="s">
        <v>148</v>
      </c>
      <c r="F281" t="s">
        <v>49</v>
      </c>
      <c r="G281" t="s">
        <v>170</v>
      </c>
      <c r="H281" t="s">
        <v>27</v>
      </c>
      <c r="I281" t="s">
        <v>28</v>
      </c>
      <c r="J281">
        <v>463</v>
      </c>
      <c r="K281" t="s">
        <v>29</v>
      </c>
      <c r="L281">
        <v>12</v>
      </c>
      <c r="M281" s="28">
        <v>0</v>
      </c>
      <c r="N281" s="36">
        <f t="shared" si="5"/>
        <v>0</v>
      </c>
      <c r="O281" s="21">
        <v>0</v>
      </c>
      <c r="P281" t="s">
        <v>30</v>
      </c>
      <c r="Q281" t="s">
        <v>31</v>
      </c>
      <c r="R281" s="1">
        <v>46075</v>
      </c>
      <c r="S281" t="s">
        <v>32</v>
      </c>
      <c r="T281" s="2" t="s">
        <v>391</v>
      </c>
      <c r="U281" s="3">
        <v>46041</v>
      </c>
    </row>
    <row r="282" spans="1:21" ht="15.75" x14ac:dyDescent="0.25">
      <c r="A282" t="s">
        <v>20</v>
      </c>
      <c r="B282" t="s">
        <v>312</v>
      </c>
      <c r="C282" t="s">
        <v>313</v>
      </c>
      <c r="D282" t="s">
        <v>386</v>
      </c>
      <c r="E282" t="s">
        <v>148</v>
      </c>
      <c r="F282" t="s">
        <v>49</v>
      </c>
      <c r="G282" t="s">
        <v>231</v>
      </c>
      <c r="H282" t="s">
        <v>27</v>
      </c>
      <c r="I282" t="s">
        <v>28</v>
      </c>
      <c r="J282">
        <v>463</v>
      </c>
      <c r="K282" t="s">
        <v>29</v>
      </c>
      <c r="L282">
        <v>48</v>
      </c>
      <c r="M282" s="28">
        <v>0</v>
      </c>
      <c r="N282" s="36">
        <f t="shared" si="5"/>
        <v>0</v>
      </c>
      <c r="O282" s="21">
        <v>0</v>
      </c>
      <c r="P282" t="s">
        <v>30</v>
      </c>
      <c r="Q282" t="s">
        <v>31</v>
      </c>
      <c r="R282" s="1">
        <v>46075</v>
      </c>
      <c r="S282" t="s">
        <v>32</v>
      </c>
      <c r="T282" s="2" t="s">
        <v>391</v>
      </c>
      <c r="U282" s="3">
        <v>46041</v>
      </c>
    </row>
    <row r="283" spans="1:21" ht="15.75" x14ac:dyDescent="0.25">
      <c r="A283" t="s">
        <v>20</v>
      </c>
      <c r="B283" t="s">
        <v>312</v>
      </c>
      <c r="C283" t="s">
        <v>313</v>
      </c>
      <c r="D283" t="s">
        <v>386</v>
      </c>
      <c r="E283" t="s">
        <v>148</v>
      </c>
      <c r="F283" t="s">
        <v>49</v>
      </c>
      <c r="G283" t="s">
        <v>232</v>
      </c>
      <c r="H283" t="s">
        <v>27</v>
      </c>
      <c r="I283" t="s">
        <v>28</v>
      </c>
      <c r="J283">
        <v>463</v>
      </c>
      <c r="K283" t="s">
        <v>29</v>
      </c>
      <c r="L283">
        <v>36</v>
      </c>
      <c r="M283" s="28">
        <v>0</v>
      </c>
      <c r="N283" s="36">
        <f t="shared" si="5"/>
        <v>0</v>
      </c>
      <c r="O283" s="21">
        <v>0</v>
      </c>
      <c r="P283" t="s">
        <v>30</v>
      </c>
      <c r="Q283" t="s">
        <v>31</v>
      </c>
      <c r="R283" s="1">
        <v>46075</v>
      </c>
      <c r="S283" t="s">
        <v>32</v>
      </c>
      <c r="T283" s="2" t="s">
        <v>391</v>
      </c>
      <c r="U283" s="3">
        <v>46041</v>
      </c>
    </row>
    <row r="284" spans="1:21" ht="15.75" x14ac:dyDescent="0.25">
      <c r="A284" t="s">
        <v>20</v>
      </c>
      <c r="B284" t="s">
        <v>392</v>
      </c>
      <c r="C284" t="s">
        <v>393</v>
      </c>
      <c r="D284" t="s">
        <v>386</v>
      </c>
      <c r="E284" t="s">
        <v>148</v>
      </c>
      <c r="F284" t="s">
        <v>49</v>
      </c>
      <c r="G284" t="s">
        <v>394</v>
      </c>
      <c r="H284" t="s">
        <v>57</v>
      </c>
      <c r="I284" t="s">
        <v>28</v>
      </c>
      <c r="J284">
        <v>464</v>
      </c>
      <c r="K284" t="s">
        <v>277</v>
      </c>
      <c r="L284">
        <v>1</v>
      </c>
      <c r="M284" s="28">
        <v>0</v>
      </c>
      <c r="N284" s="36">
        <f t="shared" si="5"/>
        <v>0</v>
      </c>
      <c r="O284" s="21">
        <v>3.6139784946236557</v>
      </c>
      <c r="P284" t="s">
        <v>30</v>
      </c>
      <c r="Q284" t="s">
        <v>31</v>
      </c>
      <c r="R284" s="1">
        <v>46045</v>
      </c>
      <c r="S284" t="s">
        <v>32</v>
      </c>
      <c r="T284" s="2"/>
      <c r="U284" s="2"/>
    </row>
    <row r="285" spans="1:21" ht="15.75" x14ac:dyDescent="0.25">
      <c r="A285" t="s">
        <v>20</v>
      </c>
      <c r="B285" t="s">
        <v>392</v>
      </c>
      <c r="C285" t="s">
        <v>393</v>
      </c>
      <c r="D285" t="s">
        <v>386</v>
      </c>
      <c r="E285" t="s">
        <v>148</v>
      </c>
      <c r="F285" t="s">
        <v>49</v>
      </c>
      <c r="G285" t="s">
        <v>395</v>
      </c>
      <c r="H285" t="s">
        <v>57</v>
      </c>
      <c r="I285" t="s">
        <v>28</v>
      </c>
      <c r="J285">
        <v>464</v>
      </c>
      <c r="K285" t="s">
        <v>277</v>
      </c>
      <c r="L285">
        <v>3</v>
      </c>
      <c r="M285" s="28">
        <v>0</v>
      </c>
      <c r="N285" s="36">
        <f t="shared" si="5"/>
        <v>0</v>
      </c>
      <c r="O285" s="21">
        <v>10.841935483870968</v>
      </c>
      <c r="P285" t="s">
        <v>30</v>
      </c>
      <c r="Q285" t="s">
        <v>31</v>
      </c>
      <c r="R285" s="1">
        <v>46045</v>
      </c>
      <c r="S285" t="s">
        <v>32</v>
      </c>
      <c r="T285" s="2"/>
      <c r="U285" s="2"/>
    </row>
    <row r="286" spans="1:21" ht="15.75" x14ac:dyDescent="0.25">
      <c r="A286" t="s">
        <v>20</v>
      </c>
      <c r="B286" t="s">
        <v>392</v>
      </c>
      <c r="C286" t="s">
        <v>393</v>
      </c>
      <c r="D286" t="s">
        <v>386</v>
      </c>
      <c r="E286" t="s">
        <v>148</v>
      </c>
      <c r="F286" t="s">
        <v>49</v>
      </c>
      <c r="G286" t="s">
        <v>396</v>
      </c>
      <c r="H286" t="s">
        <v>57</v>
      </c>
      <c r="I286" t="s">
        <v>28</v>
      </c>
      <c r="J286">
        <v>464</v>
      </c>
      <c r="K286" t="s">
        <v>277</v>
      </c>
      <c r="L286">
        <v>2</v>
      </c>
      <c r="M286" s="28">
        <v>0</v>
      </c>
      <c r="N286" s="36">
        <f t="shared" si="5"/>
        <v>0</v>
      </c>
      <c r="O286" s="21">
        <v>7.2279569892473114</v>
      </c>
      <c r="P286" t="s">
        <v>30</v>
      </c>
      <c r="Q286" t="s">
        <v>31</v>
      </c>
      <c r="R286" s="1">
        <v>46045</v>
      </c>
      <c r="S286" t="s">
        <v>32</v>
      </c>
      <c r="T286" s="2"/>
      <c r="U286" s="2"/>
    </row>
    <row r="287" spans="1:21" ht="15.75" x14ac:dyDescent="0.25">
      <c r="A287" t="s">
        <v>20</v>
      </c>
      <c r="B287" t="s">
        <v>392</v>
      </c>
      <c r="C287" t="s">
        <v>393</v>
      </c>
      <c r="D287" t="s">
        <v>386</v>
      </c>
      <c r="E287" t="s">
        <v>148</v>
      </c>
      <c r="F287" t="s">
        <v>49</v>
      </c>
      <c r="G287" t="s">
        <v>397</v>
      </c>
      <c r="H287" t="s">
        <v>57</v>
      </c>
      <c r="I287" t="s">
        <v>28</v>
      </c>
      <c r="J287">
        <v>464</v>
      </c>
      <c r="K287" t="s">
        <v>277</v>
      </c>
      <c r="L287">
        <v>1</v>
      </c>
      <c r="M287" s="28">
        <v>0</v>
      </c>
      <c r="N287" s="36">
        <f t="shared" si="5"/>
        <v>0</v>
      </c>
      <c r="O287" s="21">
        <v>3.6139784946236557</v>
      </c>
      <c r="P287" t="s">
        <v>30</v>
      </c>
      <c r="Q287" t="s">
        <v>31</v>
      </c>
      <c r="R287" s="1">
        <v>46045</v>
      </c>
      <c r="S287" t="s">
        <v>32</v>
      </c>
      <c r="T287" s="2"/>
      <c r="U287" s="2"/>
    </row>
    <row r="288" spans="1:21" ht="15.75" x14ac:dyDescent="0.25">
      <c r="A288" t="s">
        <v>20</v>
      </c>
      <c r="B288" t="s">
        <v>392</v>
      </c>
      <c r="C288" t="s">
        <v>393</v>
      </c>
      <c r="D288" t="s">
        <v>386</v>
      </c>
      <c r="E288" t="s">
        <v>148</v>
      </c>
      <c r="F288" t="s">
        <v>49</v>
      </c>
      <c r="G288" t="s">
        <v>398</v>
      </c>
      <c r="H288" t="s">
        <v>57</v>
      </c>
      <c r="I288" t="s">
        <v>28</v>
      </c>
      <c r="J288">
        <v>464</v>
      </c>
      <c r="K288" t="s">
        <v>277</v>
      </c>
      <c r="L288">
        <v>1</v>
      </c>
      <c r="M288" s="28">
        <v>0</v>
      </c>
      <c r="N288" s="36">
        <f t="shared" si="5"/>
        <v>0</v>
      </c>
      <c r="O288" s="21">
        <v>3.6139784946236557</v>
      </c>
      <c r="P288" t="s">
        <v>30</v>
      </c>
      <c r="Q288" t="s">
        <v>31</v>
      </c>
      <c r="R288" s="1">
        <v>46045</v>
      </c>
      <c r="S288" t="s">
        <v>32</v>
      </c>
      <c r="T288" s="2"/>
      <c r="U288" s="2"/>
    </row>
    <row r="289" spans="1:21" ht="15.75" x14ac:dyDescent="0.25">
      <c r="A289" t="s">
        <v>20</v>
      </c>
      <c r="B289" t="s">
        <v>392</v>
      </c>
      <c r="C289" t="s">
        <v>393</v>
      </c>
      <c r="D289" t="s">
        <v>386</v>
      </c>
      <c r="E289" t="s">
        <v>148</v>
      </c>
      <c r="F289" t="s">
        <v>49</v>
      </c>
      <c r="G289" t="s">
        <v>399</v>
      </c>
      <c r="H289" t="s">
        <v>57</v>
      </c>
      <c r="I289" t="s">
        <v>28</v>
      </c>
      <c r="J289">
        <v>464</v>
      </c>
      <c r="K289" t="s">
        <v>277</v>
      </c>
      <c r="L289">
        <v>1</v>
      </c>
      <c r="M289" s="28">
        <v>0</v>
      </c>
      <c r="N289" s="36">
        <f t="shared" si="5"/>
        <v>0</v>
      </c>
      <c r="O289" s="21">
        <v>3.6139784946236557</v>
      </c>
      <c r="P289" t="s">
        <v>30</v>
      </c>
      <c r="Q289" t="s">
        <v>31</v>
      </c>
      <c r="R289" s="1">
        <v>46045</v>
      </c>
      <c r="S289" t="s">
        <v>32</v>
      </c>
      <c r="T289" s="2"/>
      <c r="U289" s="2"/>
    </row>
    <row r="290" spans="1:21" ht="15.75" x14ac:dyDescent="0.25">
      <c r="A290" t="s">
        <v>20</v>
      </c>
      <c r="B290" t="s">
        <v>392</v>
      </c>
      <c r="C290" t="s">
        <v>393</v>
      </c>
      <c r="D290" t="s">
        <v>386</v>
      </c>
      <c r="E290" t="s">
        <v>148</v>
      </c>
      <c r="F290" t="s">
        <v>49</v>
      </c>
      <c r="G290" t="s">
        <v>400</v>
      </c>
      <c r="H290" t="s">
        <v>57</v>
      </c>
      <c r="I290" t="s">
        <v>28</v>
      </c>
      <c r="J290">
        <v>464</v>
      </c>
      <c r="K290" t="s">
        <v>277</v>
      </c>
      <c r="L290">
        <v>1</v>
      </c>
      <c r="M290" s="28">
        <v>0</v>
      </c>
      <c r="N290" s="36">
        <f t="shared" si="5"/>
        <v>0</v>
      </c>
      <c r="O290" s="21">
        <v>6.4516129032258061</v>
      </c>
      <c r="P290" t="s">
        <v>30</v>
      </c>
      <c r="Q290" t="s">
        <v>31</v>
      </c>
      <c r="R290" s="1">
        <v>46045</v>
      </c>
      <c r="S290" t="s">
        <v>32</v>
      </c>
      <c r="T290" s="2"/>
      <c r="U290" s="2"/>
    </row>
    <row r="291" spans="1:21" ht="15.75" x14ac:dyDescent="0.25">
      <c r="A291" t="s">
        <v>20</v>
      </c>
      <c r="B291" t="s">
        <v>392</v>
      </c>
      <c r="C291" t="s">
        <v>393</v>
      </c>
      <c r="D291" t="s">
        <v>386</v>
      </c>
      <c r="E291" t="s">
        <v>148</v>
      </c>
      <c r="F291" t="s">
        <v>49</v>
      </c>
      <c r="G291" t="s">
        <v>401</v>
      </c>
      <c r="H291" t="s">
        <v>57</v>
      </c>
      <c r="I291" t="s">
        <v>28</v>
      </c>
      <c r="J291">
        <v>464</v>
      </c>
      <c r="K291" t="s">
        <v>277</v>
      </c>
      <c r="L291">
        <v>2</v>
      </c>
      <c r="M291" s="28">
        <v>0</v>
      </c>
      <c r="N291" s="36">
        <f t="shared" si="5"/>
        <v>0</v>
      </c>
      <c r="O291" s="21">
        <v>12.903225806451612</v>
      </c>
      <c r="P291" t="s">
        <v>30</v>
      </c>
      <c r="Q291" t="s">
        <v>31</v>
      </c>
      <c r="R291" s="1">
        <v>46045</v>
      </c>
      <c r="S291" t="s">
        <v>32</v>
      </c>
      <c r="T291" s="2"/>
      <c r="U291" s="2"/>
    </row>
    <row r="292" spans="1:21" ht="15.75" x14ac:dyDescent="0.25">
      <c r="A292" t="s">
        <v>20</v>
      </c>
      <c r="B292" t="s">
        <v>392</v>
      </c>
      <c r="C292" t="s">
        <v>393</v>
      </c>
      <c r="D292" t="s">
        <v>386</v>
      </c>
      <c r="E292" t="s">
        <v>148</v>
      </c>
      <c r="F292" t="s">
        <v>49</v>
      </c>
      <c r="G292" t="s">
        <v>402</v>
      </c>
      <c r="H292" t="s">
        <v>57</v>
      </c>
      <c r="I292" t="s">
        <v>28</v>
      </c>
      <c r="J292">
        <v>464</v>
      </c>
      <c r="K292" t="s">
        <v>277</v>
      </c>
      <c r="L292">
        <v>1</v>
      </c>
      <c r="M292" s="28">
        <v>0</v>
      </c>
      <c r="N292" s="36">
        <f t="shared" si="5"/>
        <v>0</v>
      </c>
      <c r="O292" s="21">
        <v>6.4516129032258061</v>
      </c>
      <c r="P292" t="s">
        <v>30</v>
      </c>
      <c r="Q292" t="s">
        <v>31</v>
      </c>
      <c r="R292" s="1">
        <v>46045</v>
      </c>
      <c r="S292" t="s">
        <v>32</v>
      </c>
      <c r="T292" s="2"/>
      <c r="U292" s="2"/>
    </row>
    <row r="293" spans="1:21" ht="15.75" x14ac:dyDescent="0.25">
      <c r="A293" t="s">
        <v>20</v>
      </c>
      <c r="B293" t="s">
        <v>392</v>
      </c>
      <c r="C293" t="s">
        <v>393</v>
      </c>
      <c r="D293" t="s">
        <v>386</v>
      </c>
      <c r="E293" t="s">
        <v>148</v>
      </c>
      <c r="F293" t="s">
        <v>49</v>
      </c>
      <c r="G293" t="s">
        <v>403</v>
      </c>
      <c r="H293" t="s">
        <v>57</v>
      </c>
      <c r="I293" t="s">
        <v>28</v>
      </c>
      <c r="J293">
        <v>464</v>
      </c>
      <c r="K293" t="s">
        <v>277</v>
      </c>
      <c r="L293">
        <v>1</v>
      </c>
      <c r="M293" s="28">
        <v>0</v>
      </c>
      <c r="N293" s="36">
        <f t="shared" si="5"/>
        <v>0</v>
      </c>
      <c r="O293" s="21">
        <v>6.3408602150537634</v>
      </c>
      <c r="P293" t="s">
        <v>30</v>
      </c>
      <c r="Q293" t="s">
        <v>31</v>
      </c>
      <c r="R293" s="1">
        <v>46045</v>
      </c>
      <c r="S293" t="s">
        <v>32</v>
      </c>
      <c r="T293" s="2"/>
      <c r="U293" s="2"/>
    </row>
    <row r="294" spans="1:21" ht="15.75" x14ac:dyDescent="0.25">
      <c r="A294" t="s">
        <v>20</v>
      </c>
      <c r="B294" t="s">
        <v>21</v>
      </c>
      <c r="C294" s="41" t="s">
        <v>22</v>
      </c>
      <c r="D294" s="41" t="s">
        <v>386</v>
      </c>
      <c r="E294" s="38" t="s">
        <v>24</v>
      </c>
      <c r="F294" s="41" t="s">
        <v>25</v>
      </c>
      <c r="G294" s="41" t="s">
        <v>245</v>
      </c>
      <c r="H294" s="41" t="s">
        <v>57</v>
      </c>
      <c r="I294" s="41" t="s">
        <v>28</v>
      </c>
      <c r="J294" s="41">
        <v>465</v>
      </c>
      <c r="K294" s="41" t="s">
        <v>124</v>
      </c>
      <c r="L294" s="41">
        <v>80</v>
      </c>
      <c r="M294" s="42">
        <v>520000</v>
      </c>
      <c r="N294" s="36">
        <f t="shared" si="5"/>
        <v>6500</v>
      </c>
      <c r="O294" s="21">
        <v>559.13978494623655</v>
      </c>
      <c r="P294" t="s">
        <v>30</v>
      </c>
      <c r="Q294" t="s">
        <v>31</v>
      </c>
      <c r="R294" s="1">
        <v>46172</v>
      </c>
      <c r="S294" t="s">
        <v>32</v>
      </c>
      <c r="T294" s="2"/>
      <c r="U294" s="2"/>
    </row>
    <row r="295" spans="1:21" ht="15.75" x14ac:dyDescent="0.25">
      <c r="A295" t="s">
        <v>20</v>
      </c>
      <c r="B295" t="s">
        <v>404</v>
      </c>
      <c r="C295" t="s">
        <v>405</v>
      </c>
      <c r="D295" t="s">
        <v>386</v>
      </c>
      <c r="E295" t="s">
        <v>48</v>
      </c>
      <c r="F295" t="s">
        <v>59</v>
      </c>
      <c r="G295" t="s">
        <v>245</v>
      </c>
      <c r="H295" t="s">
        <v>27</v>
      </c>
      <c r="I295" t="s">
        <v>65</v>
      </c>
      <c r="J295">
        <v>166</v>
      </c>
      <c r="K295" t="s">
        <v>124</v>
      </c>
      <c r="L295">
        <v>140</v>
      </c>
      <c r="M295" s="28">
        <v>985600</v>
      </c>
      <c r="N295" s="36">
        <f t="shared" si="5"/>
        <v>7040</v>
      </c>
      <c r="O295" s="21">
        <v>1059.7849462365591</v>
      </c>
      <c r="P295" t="s">
        <v>30</v>
      </c>
      <c r="Q295" t="s">
        <v>31</v>
      </c>
      <c r="R295" s="1">
        <v>46172</v>
      </c>
      <c r="S295" t="s">
        <v>32</v>
      </c>
      <c r="T295" s="2"/>
      <c r="U295" s="2"/>
    </row>
    <row r="296" spans="1:21" ht="15.75" x14ac:dyDescent="0.25">
      <c r="A296" t="s">
        <v>20</v>
      </c>
      <c r="B296" t="s">
        <v>404</v>
      </c>
      <c r="C296" t="s">
        <v>405</v>
      </c>
      <c r="D296" t="s">
        <v>386</v>
      </c>
      <c r="E296" t="s">
        <v>48</v>
      </c>
      <c r="F296" t="s">
        <v>59</v>
      </c>
      <c r="G296" t="s">
        <v>328</v>
      </c>
      <c r="H296" t="s">
        <v>27</v>
      </c>
      <c r="I296" t="s">
        <v>65</v>
      </c>
      <c r="J296">
        <v>166</v>
      </c>
      <c r="K296" t="s">
        <v>124</v>
      </c>
      <c r="L296">
        <v>10</v>
      </c>
      <c r="M296" s="28">
        <v>70400</v>
      </c>
      <c r="N296" s="36">
        <f t="shared" si="5"/>
        <v>7040</v>
      </c>
      <c r="O296" s="21">
        <v>75.6989247311828</v>
      </c>
      <c r="P296" t="s">
        <v>30</v>
      </c>
      <c r="Q296" t="s">
        <v>31</v>
      </c>
      <c r="R296" s="1">
        <v>46172</v>
      </c>
      <c r="S296" t="s">
        <v>32</v>
      </c>
      <c r="T296" s="2"/>
      <c r="U296" s="2"/>
    </row>
    <row r="297" spans="1:21" ht="15.75" x14ac:dyDescent="0.25">
      <c r="A297" t="s">
        <v>20</v>
      </c>
      <c r="B297" t="s">
        <v>406</v>
      </c>
      <c r="C297" t="s">
        <v>407</v>
      </c>
      <c r="D297" t="s">
        <v>386</v>
      </c>
      <c r="E297" t="s">
        <v>48</v>
      </c>
      <c r="F297" t="s">
        <v>59</v>
      </c>
      <c r="G297" t="s">
        <v>408</v>
      </c>
      <c r="H297" t="s">
        <v>57</v>
      </c>
      <c r="I297" t="s">
        <v>65</v>
      </c>
      <c r="J297">
        <v>167</v>
      </c>
      <c r="K297" t="s">
        <v>124</v>
      </c>
      <c r="L297">
        <v>120</v>
      </c>
      <c r="M297" s="28">
        <v>1580760</v>
      </c>
      <c r="N297" s="36">
        <f t="shared" si="5"/>
        <v>13173</v>
      </c>
      <c r="O297" s="21">
        <v>1699.741935483871</v>
      </c>
      <c r="P297" t="s">
        <v>30</v>
      </c>
      <c r="Q297" t="s">
        <v>31</v>
      </c>
      <c r="R297" s="1">
        <v>46164</v>
      </c>
      <c r="S297" t="s">
        <v>32</v>
      </c>
      <c r="T297" s="2"/>
      <c r="U297" s="2"/>
    </row>
    <row r="298" spans="1:21" ht="15.75" x14ac:dyDescent="0.25">
      <c r="A298" t="s">
        <v>20</v>
      </c>
      <c r="B298" t="s">
        <v>406</v>
      </c>
      <c r="C298" t="s">
        <v>407</v>
      </c>
      <c r="D298" t="s">
        <v>386</v>
      </c>
      <c r="E298" t="s">
        <v>48</v>
      </c>
      <c r="F298" t="s">
        <v>59</v>
      </c>
      <c r="G298" t="s">
        <v>409</v>
      </c>
      <c r="H298" t="s">
        <v>57</v>
      </c>
      <c r="I298" t="s">
        <v>65</v>
      </c>
      <c r="J298">
        <v>167</v>
      </c>
      <c r="K298" t="s">
        <v>124</v>
      </c>
      <c r="L298">
        <v>5</v>
      </c>
      <c r="M298" s="28">
        <v>65865</v>
      </c>
      <c r="N298" s="36">
        <f t="shared" si="5"/>
        <v>13173</v>
      </c>
      <c r="O298" s="21">
        <v>70.822580645161295</v>
      </c>
      <c r="P298" t="s">
        <v>30</v>
      </c>
      <c r="Q298" t="s">
        <v>31</v>
      </c>
      <c r="R298" s="1">
        <v>46164</v>
      </c>
      <c r="S298" t="s">
        <v>32</v>
      </c>
      <c r="T298" s="2"/>
      <c r="U298" s="2"/>
    </row>
    <row r="299" spans="1:21" ht="15.75" x14ac:dyDescent="0.25">
      <c r="A299" t="s">
        <v>20</v>
      </c>
      <c r="B299" t="s">
        <v>406</v>
      </c>
      <c r="C299" t="s">
        <v>407</v>
      </c>
      <c r="D299" t="s">
        <v>386</v>
      </c>
      <c r="E299" t="s">
        <v>48</v>
      </c>
      <c r="F299" t="s">
        <v>59</v>
      </c>
      <c r="G299" t="s">
        <v>288</v>
      </c>
      <c r="H299" t="s">
        <v>57</v>
      </c>
      <c r="I299" t="s">
        <v>65</v>
      </c>
      <c r="J299">
        <v>167</v>
      </c>
      <c r="K299" t="s">
        <v>124</v>
      </c>
      <c r="L299">
        <v>1</v>
      </c>
      <c r="M299" s="28">
        <v>13173</v>
      </c>
      <c r="N299" s="36">
        <f t="shared" si="5"/>
        <v>13173</v>
      </c>
      <c r="O299" s="21">
        <v>14.164516129032258</v>
      </c>
      <c r="P299" t="s">
        <v>30</v>
      </c>
      <c r="Q299" t="s">
        <v>31</v>
      </c>
      <c r="R299" s="1">
        <v>46164</v>
      </c>
      <c r="S299" t="s">
        <v>32</v>
      </c>
      <c r="T299" s="2"/>
      <c r="U299" s="2"/>
    </row>
    <row r="300" spans="1:21" ht="15.75" x14ac:dyDescent="0.25">
      <c r="A300" t="s">
        <v>20</v>
      </c>
      <c r="B300" t="s">
        <v>406</v>
      </c>
      <c r="C300" t="s">
        <v>407</v>
      </c>
      <c r="D300" t="s">
        <v>386</v>
      </c>
      <c r="E300" t="s">
        <v>48</v>
      </c>
      <c r="F300" t="s">
        <v>59</v>
      </c>
      <c r="G300" t="s">
        <v>410</v>
      </c>
      <c r="H300" t="s">
        <v>27</v>
      </c>
      <c r="I300" t="s">
        <v>65</v>
      </c>
      <c r="J300">
        <v>168</v>
      </c>
      <c r="K300" t="s">
        <v>124</v>
      </c>
      <c r="L300">
        <v>60</v>
      </c>
      <c r="M300" s="28">
        <v>202800</v>
      </c>
      <c r="N300" s="36">
        <f t="shared" si="5"/>
        <v>3380</v>
      </c>
      <c r="O300" s="21">
        <v>218.06451612903226</v>
      </c>
      <c r="P300" t="s">
        <v>30</v>
      </c>
      <c r="Q300" t="s">
        <v>31</v>
      </c>
      <c r="R300" s="1">
        <v>46164</v>
      </c>
      <c r="S300" t="s">
        <v>32</v>
      </c>
      <c r="T300" s="2"/>
      <c r="U300" s="2"/>
    </row>
    <row r="301" spans="1:21" ht="15.75" x14ac:dyDescent="0.25">
      <c r="A301" t="s">
        <v>20</v>
      </c>
      <c r="B301" t="s">
        <v>406</v>
      </c>
      <c r="C301" t="s">
        <v>407</v>
      </c>
      <c r="D301" t="s">
        <v>386</v>
      </c>
      <c r="E301" t="s">
        <v>48</v>
      </c>
      <c r="F301" t="s">
        <v>59</v>
      </c>
      <c r="G301" t="s">
        <v>411</v>
      </c>
      <c r="H301" t="s">
        <v>27</v>
      </c>
      <c r="I301" t="s">
        <v>65</v>
      </c>
      <c r="J301">
        <v>168</v>
      </c>
      <c r="K301" t="s">
        <v>124</v>
      </c>
      <c r="L301">
        <v>480</v>
      </c>
      <c r="M301" s="28">
        <v>1281120</v>
      </c>
      <c r="N301" s="36">
        <f t="shared" si="5"/>
        <v>2669</v>
      </c>
      <c r="O301" s="21">
        <v>1377.5483870967741</v>
      </c>
      <c r="P301" t="s">
        <v>30</v>
      </c>
      <c r="Q301" t="s">
        <v>31</v>
      </c>
      <c r="R301" s="1">
        <v>46164</v>
      </c>
      <c r="S301" t="s">
        <v>32</v>
      </c>
      <c r="T301" s="2"/>
      <c r="U301" s="2"/>
    </row>
    <row r="302" spans="1:21" ht="15.75" x14ac:dyDescent="0.25">
      <c r="A302" t="s">
        <v>20</v>
      </c>
      <c r="B302" t="s">
        <v>406</v>
      </c>
      <c r="C302" t="s">
        <v>407</v>
      </c>
      <c r="D302" t="s">
        <v>386</v>
      </c>
      <c r="E302" t="s">
        <v>48</v>
      </c>
      <c r="F302" t="s">
        <v>59</v>
      </c>
      <c r="G302" t="s">
        <v>290</v>
      </c>
      <c r="H302" t="s">
        <v>27</v>
      </c>
      <c r="I302" t="s">
        <v>65</v>
      </c>
      <c r="J302">
        <v>168</v>
      </c>
      <c r="K302" t="s">
        <v>124</v>
      </c>
      <c r="L302">
        <v>440</v>
      </c>
      <c r="M302" s="28">
        <v>1174360</v>
      </c>
      <c r="N302" s="36">
        <f t="shared" si="5"/>
        <v>2669</v>
      </c>
      <c r="O302" s="21">
        <v>1262.752688172043</v>
      </c>
      <c r="P302" t="s">
        <v>30</v>
      </c>
      <c r="Q302" t="s">
        <v>31</v>
      </c>
      <c r="R302" s="1">
        <v>46164</v>
      </c>
      <c r="S302" t="s">
        <v>32</v>
      </c>
      <c r="T302" s="2"/>
      <c r="U302" s="2"/>
    </row>
    <row r="303" spans="1:21" ht="15.75" x14ac:dyDescent="0.25">
      <c r="A303" t="s">
        <v>20</v>
      </c>
      <c r="B303" t="s">
        <v>387</v>
      </c>
      <c r="C303" t="s">
        <v>388</v>
      </c>
      <c r="D303" t="s">
        <v>386</v>
      </c>
      <c r="E303" t="s">
        <v>48</v>
      </c>
      <c r="F303" t="s">
        <v>59</v>
      </c>
      <c r="G303" t="s">
        <v>389</v>
      </c>
      <c r="H303" t="s">
        <v>27</v>
      </c>
      <c r="I303" t="s">
        <v>65</v>
      </c>
      <c r="J303">
        <v>169</v>
      </c>
      <c r="K303" t="s">
        <v>124</v>
      </c>
      <c r="L303">
        <v>40</v>
      </c>
      <c r="M303" s="28">
        <v>0</v>
      </c>
      <c r="N303" s="36">
        <f t="shared" si="5"/>
        <v>0</v>
      </c>
      <c r="O303" s="21">
        <v>246.02150537634409</v>
      </c>
      <c r="P303" t="s">
        <v>30</v>
      </c>
      <c r="Q303" t="s">
        <v>31</v>
      </c>
      <c r="R303" s="1">
        <v>46045</v>
      </c>
      <c r="S303" t="s">
        <v>32</v>
      </c>
      <c r="T303" s="2"/>
      <c r="U303" s="2"/>
    </row>
    <row r="304" spans="1:21" ht="15.75" x14ac:dyDescent="0.25">
      <c r="A304" t="s">
        <v>20</v>
      </c>
      <c r="B304" t="s">
        <v>387</v>
      </c>
      <c r="C304" t="s">
        <v>388</v>
      </c>
      <c r="D304" t="s">
        <v>386</v>
      </c>
      <c r="E304" t="s">
        <v>48</v>
      </c>
      <c r="F304" t="s">
        <v>59</v>
      </c>
      <c r="G304" t="s">
        <v>243</v>
      </c>
      <c r="H304" t="s">
        <v>27</v>
      </c>
      <c r="I304" t="s">
        <v>65</v>
      </c>
      <c r="J304">
        <v>169</v>
      </c>
      <c r="K304" t="s">
        <v>124</v>
      </c>
      <c r="L304">
        <v>40</v>
      </c>
      <c r="M304" s="28">
        <v>0</v>
      </c>
      <c r="N304" s="36">
        <f t="shared" si="5"/>
        <v>0</v>
      </c>
      <c r="O304" s="21">
        <v>321.72043010752691</v>
      </c>
      <c r="P304" t="s">
        <v>30</v>
      </c>
      <c r="Q304" t="s">
        <v>31</v>
      </c>
      <c r="R304" s="1">
        <v>46045</v>
      </c>
      <c r="S304" t="s">
        <v>32</v>
      </c>
      <c r="T304" s="2"/>
      <c r="U304" s="2"/>
    </row>
    <row r="305" spans="1:21" ht="15.75" x14ac:dyDescent="0.25">
      <c r="A305" t="s">
        <v>20</v>
      </c>
      <c r="B305" t="s">
        <v>387</v>
      </c>
      <c r="C305" t="s">
        <v>388</v>
      </c>
      <c r="D305" t="s">
        <v>386</v>
      </c>
      <c r="E305" t="s">
        <v>48</v>
      </c>
      <c r="F305" t="s">
        <v>59</v>
      </c>
      <c r="G305" t="s">
        <v>252</v>
      </c>
      <c r="H305" t="s">
        <v>27</v>
      </c>
      <c r="I305" t="s">
        <v>65</v>
      </c>
      <c r="J305">
        <v>169</v>
      </c>
      <c r="K305" t="s">
        <v>124</v>
      </c>
      <c r="L305">
        <v>20</v>
      </c>
      <c r="M305" s="28">
        <v>0</v>
      </c>
      <c r="N305" s="36">
        <f t="shared" si="5"/>
        <v>0</v>
      </c>
      <c r="O305" s="21">
        <v>94.623655913978496</v>
      </c>
      <c r="P305" t="s">
        <v>30</v>
      </c>
      <c r="Q305" t="s">
        <v>31</v>
      </c>
      <c r="R305" s="1">
        <v>46045</v>
      </c>
      <c r="S305" t="s">
        <v>32</v>
      </c>
      <c r="T305" s="2"/>
      <c r="U305" s="2"/>
    </row>
    <row r="306" spans="1:21" ht="15.75" x14ac:dyDescent="0.25">
      <c r="A306" t="s">
        <v>20</v>
      </c>
      <c r="B306" t="s">
        <v>387</v>
      </c>
      <c r="C306" t="s">
        <v>388</v>
      </c>
      <c r="D306" t="s">
        <v>386</v>
      </c>
      <c r="E306" t="s">
        <v>48</v>
      </c>
      <c r="F306" t="s">
        <v>59</v>
      </c>
      <c r="G306" t="s">
        <v>254</v>
      </c>
      <c r="H306" t="s">
        <v>27</v>
      </c>
      <c r="I306" t="s">
        <v>65</v>
      </c>
      <c r="J306">
        <v>169</v>
      </c>
      <c r="K306" t="s">
        <v>124</v>
      </c>
      <c r="L306">
        <v>20</v>
      </c>
      <c r="M306" s="28">
        <v>0</v>
      </c>
      <c r="N306" s="36">
        <f t="shared" si="5"/>
        <v>0</v>
      </c>
      <c r="O306" s="21">
        <v>136.12903225806451</v>
      </c>
      <c r="P306" t="s">
        <v>30</v>
      </c>
      <c r="Q306" t="s">
        <v>31</v>
      </c>
      <c r="R306" s="1">
        <v>46045</v>
      </c>
      <c r="S306" t="s">
        <v>32</v>
      </c>
      <c r="T306" s="2"/>
      <c r="U306" s="2"/>
    </row>
    <row r="307" spans="1:21" ht="15.75" x14ac:dyDescent="0.25">
      <c r="A307" t="s">
        <v>20</v>
      </c>
      <c r="B307" t="s">
        <v>412</v>
      </c>
      <c r="C307" t="s">
        <v>413</v>
      </c>
      <c r="D307" t="s">
        <v>386</v>
      </c>
      <c r="E307" t="s">
        <v>196</v>
      </c>
      <c r="F307" t="s">
        <v>49</v>
      </c>
      <c r="G307" t="s">
        <v>399</v>
      </c>
      <c r="H307" t="s">
        <v>57</v>
      </c>
      <c r="I307" t="s">
        <v>65</v>
      </c>
      <c r="J307">
        <v>170</v>
      </c>
      <c r="K307" t="s">
        <v>277</v>
      </c>
      <c r="L307">
        <v>6</v>
      </c>
      <c r="M307" s="28">
        <v>0</v>
      </c>
      <c r="N307" s="36">
        <f t="shared" si="5"/>
        <v>0</v>
      </c>
      <c r="O307" s="21">
        <v>21.683870967741935</v>
      </c>
      <c r="P307" t="s">
        <v>30</v>
      </c>
      <c r="Q307" t="s">
        <v>31</v>
      </c>
      <c r="R307" s="1">
        <v>46075</v>
      </c>
      <c r="S307" t="s">
        <v>32</v>
      </c>
      <c r="T307" s="2"/>
      <c r="U307" s="2"/>
    </row>
    <row r="308" spans="1:21" ht="15.75" x14ac:dyDescent="0.25">
      <c r="A308" t="s">
        <v>20</v>
      </c>
      <c r="B308" t="s">
        <v>412</v>
      </c>
      <c r="C308" t="s">
        <v>413</v>
      </c>
      <c r="D308" t="s">
        <v>386</v>
      </c>
      <c r="E308" t="s">
        <v>196</v>
      </c>
      <c r="F308" t="s">
        <v>49</v>
      </c>
      <c r="G308" t="s">
        <v>394</v>
      </c>
      <c r="H308" t="s">
        <v>57</v>
      </c>
      <c r="I308" t="s">
        <v>65</v>
      </c>
      <c r="J308">
        <v>170</v>
      </c>
      <c r="K308" t="s">
        <v>277</v>
      </c>
      <c r="L308">
        <v>6</v>
      </c>
      <c r="M308" s="28">
        <v>0</v>
      </c>
      <c r="N308" s="36">
        <f t="shared" si="5"/>
        <v>0</v>
      </c>
      <c r="O308" s="21">
        <v>21.683870967741935</v>
      </c>
      <c r="P308" t="s">
        <v>30</v>
      </c>
      <c r="Q308" t="s">
        <v>31</v>
      </c>
      <c r="R308" s="1">
        <v>46075</v>
      </c>
      <c r="S308" t="s">
        <v>32</v>
      </c>
      <c r="T308" s="2"/>
      <c r="U308" s="2"/>
    </row>
    <row r="309" spans="1:21" ht="15.75" x14ac:dyDescent="0.25">
      <c r="A309" t="s">
        <v>20</v>
      </c>
      <c r="B309" t="s">
        <v>412</v>
      </c>
      <c r="C309" t="s">
        <v>413</v>
      </c>
      <c r="D309" t="s">
        <v>386</v>
      </c>
      <c r="E309" t="s">
        <v>196</v>
      </c>
      <c r="F309" t="s">
        <v>49</v>
      </c>
      <c r="G309" t="s">
        <v>398</v>
      </c>
      <c r="H309" t="s">
        <v>57</v>
      </c>
      <c r="I309" t="s">
        <v>65</v>
      </c>
      <c r="J309">
        <v>170</v>
      </c>
      <c r="K309" t="s">
        <v>277</v>
      </c>
      <c r="L309">
        <v>8</v>
      </c>
      <c r="M309" s="28">
        <v>0</v>
      </c>
      <c r="N309" s="36">
        <f t="shared" si="5"/>
        <v>0</v>
      </c>
      <c r="O309" s="21">
        <v>28.911827956989246</v>
      </c>
      <c r="P309" t="s">
        <v>30</v>
      </c>
      <c r="Q309" t="s">
        <v>31</v>
      </c>
      <c r="R309" s="1">
        <v>46075</v>
      </c>
      <c r="S309" t="s">
        <v>32</v>
      </c>
      <c r="T309" s="2"/>
      <c r="U309" s="2"/>
    </row>
    <row r="310" spans="1:21" ht="15.75" x14ac:dyDescent="0.25">
      <c r="A310" t="s">
        <v>20</v>
      </c>
      <c r="B310" t="s">
        <v>412</v>
      </c>
      <c r="C310" t="s">
        <v>413</v>
      </c>
      <c r="D310" t="s">
        <v>386</v>
      </c>
      <c r="E310" t="s">
        <v>196</v>
      </c>
      <c r="F310" t="s">
        <v>49</v>
      </c>
      <c r="G310" t="s">
        <v>395</v>
      </c>
      <c r="H310" t="s">
        <v>57</v>
      </c>
      <c r="I310" t="s">
        <v>65</v>
      </c>
      <c r="J310">
        <v>170</v>
      </c>
      <c r="K310" t="s">
        <v>277</v>
      </c>
      <c r="L310">
        <v>5</v>
      </c>
      <c r="M310" s="28">
        <v>0</v>
      </c>
      <c r="N310" s="36">
        <f t="shared" si="5"/>
        <v>0</v>
      </c>
      <c r="O310" s="21">
        <v>18.06989247311828</v>
      </c>
      <c r="P310" t="s">
        <v>30</v>
      </c>
      <c r="Q310" t="s">
        <v>31</v>
      </c>
      <c r="R310" s="1">
        <v>46075</v>
      </c>
      <c r="S310" t="s">
        <v>32</v>
      </c>
      <c r="T310" s="2"/>
      <c r="U310" s="2"/>
    </row>
    <row r="311" spans="1:21" ht="15.75" x14ac:dyDescent="0.25">
      <c r="A311" t="s">
        <v>20</v>
      </c>
      <c r="B311" t="s">
        <v>412</v>
      </c>
      <c r="C311" t="s">
        <v>413</v>
      </c>
      <c r="D311" t="s">
        <v>386</v>
      </c>
      <c r="E311" t="s">
        <v>196</v>
      </c>
      <c r="F311" t="s">
        <v>49</v>
      </c>
      <c r="G311" t="s">
        <v>396</v>
      </c>
      <c r="H311" t="s">
        <v>57</v>
      </c>
      <c r="I311" t="s">
        <v>65</v>
      </c>
      <c r="J311">
        <v>170</v>
      </c>
      <c r="K311" t="s">
        <v>277</v>
      </c>
      <c r="L311">
        <v>5</v>
      </c>
      <c r="M311" s="28">
        <v>0</v>
      </c>
      <c r="N311" s="36">
        <f t="shared" si="5"/>
        <v>0</v>
      </c>
      <c r="O311" s="21">
        <v>18.06989247311828</v>
      </c>
      <c r="P311" t="s">
        <v>30</v>
      </c>
      <c r="Q311" t="s">
        <v>31</v>
      </c>
      <c r="R311" s="1">
        <v>46075</v>
      </c>
      <c r="S311" t="s">
        <v>32</v>
      </c>
      <c r="T311" s="2"/>
      <c r="U311" s="2"/>
    </row>
    <row r="312" spans="1:21" ht="15.75" x14ac:dyDescent="0.25">
      <c r="A312" t="s">
        <v>20</v>
      </c>
      <c r="B312" t="s">
        <v>412</v>
      </c>
      <c r="C312" t="s">
        <v>413</v>
      </c>
      <c r="D312" t="s">
        <v>386</v>
      </c>
      <c r="E312" t="s">
        <v>196</v>
      </c>
      <c r="F312" t="s">
        <v>49</v>
      </c>
      <c r="G312" t="s">
        <v>414</v>
      </c>
      <c r="H312" t="s">
        <v>57</v>
      </c>
      <c r="I312" t="s">
        <v>65</v>
      </c>
      <c r="J312">
        <v>170</v>
      </c>
      <c r="K312" t="s">
        <v>277</v>
      </c>
      <c r="L312">
        <v>1</v>
      </c>
      <c r="M312" s="28">
        <v>0</v>
      </c>
      <c r="N312" s="36">
        <f t="shared" si="5"/>
        <v>0</v>
      </c>
      <c r="O312" s="21">
        <v>12.334408602150537</v>
      </c>
      <c r="P312" t="s">
        <v>30</v>
      </c>
      <c r="Q312" t="s">
        <v>31</v>
      </c>
      <c r="R312" s="1">
        <v>46075</v>
      </c>
      <c r="S312" t="s">
        <v>32</v>
      </c>
      <c r="T312" s="2"/>
      <c r="U312" s="2"/>
    </row>
    <row r="313" spans="1:21" ht="15.75" x14ac:dyDescent="0.25">
      <c r="A313" t="s">
        <v>20</v>
      </c>
      <c r="B313" t="s">
        <v>415</v>
      </c>
      <c r="C313" s="41" t="s">
        <v>416</v>
      </c>
      <c r="D313" s="41" t="s">
        <v>417</v>
      </c>
      <c r="E313" s="38" t="s">
        <v>24</v>
      </c>
      <c r="F313" s="41" t="s">
        <v>25</v>
      </c>
      <c r="G313" s="41" t="s">
        <v>254</v>
      </c>
      <c r="H313" s="41" t="s">
        <v>27</v>
      </c>
      <c r="I313" s="41" t="s">
        <v>28</v>
      </c>
      <c r="J313" s="41">
        <v>466</v>
      </c>
      <c r="K313" s="41" t="s">
        <v>124</v>
      </c>
      <c r="L313" s="41">
        <v>60</v>
      </c>
      <c r="M313" s="42">
        <v>235080</v>
      </c>
      <c r="N313" s="36">
        <f t="shared" si="5"/>
        <v>3918</v>
      </c>
      <c r="O313" s="21">
        <v>252.7741935483871</v>
      </c>
      <c r="P313" t="s">
        <v>30</v>
      </c>
      <c r="Q313" t="s">
        <v>31</v>
      </c>
      <c r="R313" s="1">
        <v>46078</v>
      </c>
      <c r="S313" t="s">
        <v>32</v>
      </c>
      <c r="T313" s="2"/>
      <c r="U313" s="2"/>
    </row>
    <row r="314" spans="1:21" ht="15.75" x14ac:dyDescent="0.25">
      <c r="A314" t="s">
        <v>20</v>
      </c>
      <c r="B314" t="s">
        <v>418</v>
      </c>
      <c r="C314" t="s">
        <v>419</v>
      </c>
      <c r="D314" t="s">
        <v>417</v>
      </c>
      <c r="E314" t="s">
        <v>36</v>
      </c>
      <c r="F314" t="s">
        <v>49</v>
      </c>
      <c r="G314" t="s">
        <v>399</v>
      </c>
      <c r="H314" t="s">
        <v>57</v>
      </c>
      <c r="I314" t="s">
        <v>28</v>
      </c>
      <c r="J314">
        <v>467</v>
      </c>
      <c r="K314" t="s">
        <v>277</v>
      </c>
      <c r="L314">
        <v>4</v>
      </c>
      <c r="M314" s="28">
        <v>0</v>
      </c>
      <c r="N314" s="36">
        <f t="shared" si="5"/>
        <v>0</v>
      </c>
      <c r="O314" s="21">
        <v>14.455913978494623</v>
      </c>
      <c r="P314" t="s">
        <v>30</v>
      </c>
      <c r="Q314" t="s">
        <v>31</v>
      </c>
      <c r="R314" s="1">
        <v>46048</v>
      </c>
      <c r="S314" t="s">
        <v>32</v>
      </c>
      <c r="T314" s="2"/>
      <c r="U314" s="2"/>
    </row>
    <row r="315" spans="1:21" ht="15.75" x14ac:dyDescent="0.25">
      <c r="A315" t="s">
        <v>20</v>
      </c>
      <c r="B315" t="s">
        <v>418</v>
      </c>
      <c r="C315" t="s">
        <v>419</v>
      </c>
      <c r="D315" t="s">
        <v>417</v>
      </c>
      <c r="E315" t="s">
        <v>36</v>
      </c>
      <c r="F315" t="s">
        <v>49</v>
      </c>
      <c r="G315" t="s">
        <v>420</v>
      </c>
      <c r="H315" t="s">
        <v>57</v>
      </c>
      <c r="I315" t="s">
        <v>28</v>
      </c>
      <c r="J315">
        <v>467</v>
      </c>
      <c r="K315" t="s">
        <v>277</v>
      </c>
      <c r="L315">
        <v>2</v>
      </c>
      <c r="M315" s="28">
        <v>0</v>
      </c>
      <c r="N315" s="36">
        <f t="shared" si="5"/>
        <v>0</v>
      </c>
      <c r="O315" s="21">
        <v>12.903225806451612</v>
      </c>
      <c r="P315" t="s">
        <v>30</v>
      </c>
      <c r="Q315" t="s">
        <v>31</v>
      </c>
      <c r="R315" s="1">
        <v>46048</v>
      </c>
      <c r="S315" t="s">
        <v>32</v>
      </c>
      <c r="T315" s="2"/>
      <c r="U315" s="2"/>
    </row>
    <row r="316" spans="1:21" ht="15.75" x14ac:dyDescent="0.25">
      <c r="A316" t="s">
        <v>20</v>
      </c>
      <c r="B316" t="s">
        <v>418</v>
      </c>
      <c r="C316" t="s">
        <v>419</v>
      </c>
      <c r="D316" t="s">
        <v>417</v>
      </c>
      <c r="E316" t="s">
        <v>36</v>
      </c>
      <c r="F316" t="s">
        <v>49</v>
      </c>
      <c r="G316" t="s">
        <v>400</v>
      </c>
      <c r="H316" t="s">
        <v>57</v>
      </c>
      <c r="I316" t="s">
        <v>28</v>
      </c>
      <c r="J316">
        <v>467</v>
      </c>
      <c r="K316" t="s">
        <v>277</v>
      </c>
      <c r="L316">
        <v>2</v>
      </c>
      <c r="M316" s="28">
        <v>0</v>
      </c>
      <c r="N316" s="36">
        <f t="shared" si="5"/>
        <v>0</v>
      </c>
      <c r="O316" s="21">
        <v>12.903225806451612</v>
      </c>
      <c r="P316" t="s">
        <v>30</v>
      </c>
      <c r="Q316" t="s">
        <v>31</v>
      </c>
      <c r="R316" s="1">
        <v>46048</v>
      </c>
      <c r="S316" t="s">
        <v>32</v>
      </c>
      <c r="T316" s="2"/>
      <c r="U316" s="2"/>
    </row>
    <row r="317" spans="1:21" ht="15.75" x14ac:dyDescent="0.25">
      <c r="A317" t="s">
        <v>20</v>
      </c>
      <c r="B317" t="s">
        <v>418</v>
      </c>
      <c r="C317" t="s">
        <v>419</v>
      </c>
      <c r="D317" t="s">
        <v>417</v>
      </c>
      <c r="E317" t="s">
        <v>36</v>
      </c>
      <c r="F317" t="s">
        <v>49</v>
      </c>
      <c r="G317" t="s">
        <v>421</v>
      </c>
      <c r="H317" t="s">
        <v>57</v>
      </c>
      <c r="I317" t="s">
        <v>28</v>
      </c>
      <c r="J317">
        <v>467</v>
      </c>
      <c r="K317" t="s">
        <v>277</v>
      </c>
      <c r="L317">
        <v>2</v>
      </c>
      <c r="M317" s="28">
        <v>0</v>
      </c>
      <c r="N317" s="36">
        <f t="shared" si="5"/>
        <v>0</v>
      </c>
      <c r="O317" s="21">
        <v>12.903225806451612</v>
      </c>
      <c r="P317" t="s">
        <v>30</v>
      </c>
      <c r="Q317" t="s">
        <v>31</v>
      </c>
      <c r="R317" s="1">
        <v>46048</v>
      </c>
      <c r="S317" t="s">
        <v>32</v>
      </c>
      <c r="T317" s="2"/>
      <c r="U317" s="2"/>
    </row>
    <row r="318" spans="1:21" ht="15.75" x14ac:dyDescent="0.25">
      <c r="A318" t="s">
        <v>20</v>
      </c>
      <c r="B318" t="s">
        <v>418</v>
      </c>
      <c r="C318" t="s">
        <v>419</v>
      </c>
      <c r="D318" t="s">
        <v>417</v>
      </c>
      <c r="E318" t="s">
        <v>36</v>
      </c>
      <c r="F318" t="s">
        <v>49</v>
      </c>
      <c r="G318" t="s">
        <v>422</v>
      </c>
      <c r="H318" t="s">
        <v>57</v>
      </c>
      <c r="I318" t="s">
        <v>28</v>
      </c>
      <c r="J318">
        <v>467</v>
      </c>
      <c r="K318" t="s">
        <v>277</v>
      </c>
      <c r="L318">
        <v>1</v>
      </c>
      <c r="M318" s="28">
        <v>0</v>
      </c>
      <c r="N318" s="36">
        <f t="shared" si="5"/>
        <v>0</v>
      </c>
      <c r="O318" s="21">
        <v>6.4516129032258061</v>
      </c>
      <c r="P318" t="s">
        <v>30</v>
      </c>
      <c r="Q318" t="s">
        <v>31</v>
      </c>
      <c r="R318" s="1">
        <v>46048</v>
      </c>
      <c r="S318" t="s">
        <v>32</v>
      </c>
      <c r="T318" s="2"/>
      <c r="U318" s="2"/>
    </row>
    <row r="319" spans="1:21" ht="15.75" x14ac:dyDescent="0.25">
      <c r="A319" t="s">
        <v>20</v>
      </c>
      <c r="B319" t="s">
        <v>423</v>
      </c>
      <c r="C319" t="s">
        <v>424</v>
      </c>
      <c r="D319" t="s">
        <v>417</v>
      </c>
      <c r="E319" s="38" t="s">
        <v>24</v>
      </c>
      <c r="F319" t="s">
        <v>25</v>
      </c>
      <c r="G319" t="s">
        <v>425</v>
      </c>
      <c r="H319" t="s">
        <v>27</v>
      </c>
      <c r="I319" t="s">
        <v>28</v>
      </c>
      <c r="J319">
        <v>468</v>
      </c>
      <c r="K319" t="s">
        <v>124</v>
      </c>
      <c r="L319">
        <v>380</v>
      </c>
      <c r="M319" s="28">
        <v>0</v>
      </c>
      <c r="N319" s="36">
        <f t="shared" si="5"/>
        <v>0</v>
      </c>
      <c r="O319" s="21">
        <v>1021.505376344086</v>
      </c>
      <c r="P319" t="s">
        <v>30</v>
      </c>
      <c r="Q319" t="s">
        <v>31</v>
      </c>
      <c r="R319" s="1">
        <v>46172</v>
      </c>
      <c r="S319" t="s">
        <v>32</v>
      </c>
      <c r="T319" s="2"/>
      <c r="U319" s="2"/>
    </row>
    <row r="320" spans="1:21" ht="15.75" x14ac:dyDescent="0.25">
      <c r="A320" t="s">
        <v>20</v>
      </c>
      <c r="B320" t="s">
        <v>423</v>
      </c>
      <c r="C320" t="s">
        <v>424</v>
      </c>
      <c r="D320" t="s">
        <v>417</v>
      </c>
      <c r="E320" s="38" t="s">
        <v>24</v>
      </c>
      <c r="F320" t="s">
        <v>25</v>
      </c>
      <c r="G320" t="s">
        <v>322</v>
      </c>
      <c r="H320" t="s">
        <v>27</v>
      </c>
      <c r="I320" t="s">
        <v>28</v>
      </c>
      <c r="J320">
        <v>468</v>
      </c>
      <c r="K320" t="s">
        <v>124</v>
      </c>
      <c r="L320">
        <v>100</v>
      </c>
      <c r="M320" s="28">
        <v>0</v>
      </c>
      <c r="N320" s="36">
        <f t="shared" si="5"/>
        <v>0</v>
      </c>
      <c r="O320" s="21">
        <v>1129.0322580645161</v>
      </c>
      <c r="P320" t="s">
        <v>30</v>
      </c>
      <c r="Q320" t="s">
        <v>31</v>
      </c>
      <c r="R320" s="1">
        <v>46172</v>
      </c>
      <c r="S320" t="s">
        <v>32</v>
      </c>
      <c r="T320" s="2"/>
      <c r="U320" s="2"/>
    </row>
    <row r="321" spans="1:21" ht="15.75" x14ac:dyDescent="0.25">
      <c r="A321" t="s">
        <v>20</v>
      </c>
      <c r="B321" t="s">
        <v>423</v>
      </c>
      <c r="C321" s="41" t="s">
        <v>424</v>
      </c>
      <c r="D321" s="41" t="s">
        <v>417</v>
      </c>
      <c r="E321" s="38" t="s">
        <v>24</v>
      </c>
      <c r="F321" s="41" t="s">
        <v>25</v>
      </c>
      <c r="G321" s="41" t="s">
        <v>425</v>
      </c>
      <c r="H321" s="41" t="s">
        <v>27</v>
      </c>
      <c r="I321" s="41" t="s">
        <v>28</v>
      </c>
      <c r="J321" s="41">
        <v>469</v>
      </c>
      <c r="K321" s="41" t="s">
        <v>124</v>
      </c>
      <c r="L321" s="41">
        <v>380</v>
      </c>
      <c r="M321" s="42">
        <v>1102000</v>
      </c>
      <c r="N321" s="36">
        <f t="shared" si="5"/>
        <v>2900</v>
      </c>
      <c r="O321" s="21">
        <v>1184.9462365591398</v>
      </c>
      <c r="P321" t="s">
        <v>30</v>
      </c>
      <c r="Q321" t="s">
        <v>31</v>
      </c>
      <c r="R321" s="1">
        <v>46172</v>
      </c>
      <c r="S321" t="s">
        <v>32</v>
      </c>
      <c r="T321" s="2"/>
      <c r="U321" s="2"/>
    </row>
    <row r="322" spans="1:21" ht="15.75" x14ac:dyDescent="0.25">
      <c r="A322" t="s">
        <v>20</v>
      </c>
      <c r="B322" t="s">
        <v>423</v>
      </c>
      <c r="C322" s="41" t="s">
        <v>424</v>
      </c>
      <c r="D322" s="41" t="s">
        <v>417</v>
      </c>
      <c r="E322" s="38" t="s">
        <v>24</v>
      </c>
      <c r="F322" s="41" t="s">
        <v>25</v>
      </c>
      <c r="G322" s="41" t="s">
        <v>322</v>
      </c>
      <c r="H322" s="41" t="s">
        <v>27</v>
      </c>
      <c r="I322" s="41" t="s">
        <v>28</v>
      </c>
      <c r="J322" s="41">
        <v>469</v>
      </c>
      <c r="K322" s="41" t="s">
        <v>124</v>
      </c>
      <c r="L322" s="41">
        <v>100</v>
      </c>
      <c r="M322" s="42">
        <v>1050000</v>
      </c>
      <c r="N322" s="36">
        <f t="shared" si="5"/>
        <v>10500</v>
      </c>
      <c r="O322" s="21">
        <v>1129.0322580645161</v>
      </c>
      <c r="P322" t="s">
        <v>30</v>
      </c>
      <c r="Q322" t="s">
        <v>31</v>
      </c>
      <c r="R322" s="1">
        <v>46172</v>
      </c>
      <c r="S322" t="s">
        <v>32</v>
      </c>
      <c r="T322" s="2"/>
      <c r="U322" s="2"/>
    </row>
    <row r="323" spans="1:21" ht="15.75" x14ac:dyDescent="0.25">
      <c r="A323" t="s">
        <v>20</v>
      </c>
      <c r="B323" t="s">
        <v>142</v>
      </c>
      <c r="C323" t="s">
        <v>143</v>
      </c>
      <c r="D323" t="s">
        <v>417</v>
      </c>
      <c r="E323" t="s">
        <v>48</v>
      </c>
      <c r="F323" t="s">
        <v>55</v>
      </c>
      <c r="G323" t="s">
        <v>297</v>
      </c>
      <c r="H323" t="s">
        <v>57</v>
      </c>
      <c r="I323" t="s">
        <v>28</v>
      </c>
      <c r="J323">
        <v>470</v>
      </c>
      <c r="K323" t="s">
        <v>124</v>
      </c>
      <c r="L323">
        <v>10</v>
      </c>
      <c r="M323" s="28">
        <v>87071</v>
      </c>
      <c r="N323" s="36">
        <f t="shared" si="5"/>
        <v>8707.1</v>
      </c>
      <c r="O323" s="21">
        <v>93.624731182795699</v>
      </c>
      <c r="P323" t="s">
        <v>30</v>
      </c>
      <c r="Q323" t="s">
        <v>31</v>
      </c>
      <c r="R323" s="1">
        <v>46079</v>
      </c>
      <c r="S323" t="s">
        <v>32</v>
      </c>
      <c r="T323" s="2"/>
      <c r="U323" s="2"/>
    </row>
    <row r="324" spans="1:21" ht="15.75" x14ac:dyDescent="0.25">
      <c r="A324" t="s">
        <v>20</v>
      </c>
      <c r="B324" t="s">
        <v>142</v>
      </c>
      <c r="C324" t="s">
        <v>143</v>
      </c>
      <c r="D324" t="s">
        <v>417</v>
      </c>
      <c r="E324" t="s">
        <v>48</v>
      </c>
      <c r="F324" t="s">
        <v>55</v>
      </c>
      <c r="G324" t="s">
        <v>243</v>
      </c>
      <c r="H324" t="s">
        <v>57</v>
      </c>
      <c r="I324" t="s">
        <v>28</v>
      </c>
      <c r="J324">
        <v>470</v>
      </c>
      <c r="K324" t="s">
        <v>124</v>
      </c>
      <c r="L324">
        <v>20</v>
      </c>
      <c r="M324" s="28">
        <v>174142</v>
      </c>
      <c r="N324" s="36">
        <f t="shared" si="5"/>
        <v>8707.1</v>
      </c>
      <c r="O324" s="21">
        <v>187.2494623655914</v>
      </c>
      <c r="P324" t="s">
        <v>30</v>
      </c>
      <c r="Q324" t="s">
        <v>31</v>
      </c>
      <c r="R324" s="1">
        <v>46079</v>
      </c>
      <c r="S324" t="s">
        <v>32</v>
      </c>
      <c r="T324" s="2"/>
      <c r="U324" s="2"/>
    </row>
    <row r="325" spans="1:21" ht="15.75" x14ac:dyDescent="0.25">
      <c r="A325" t="s">
        <v>20</v>
      </c>
      <c r="B325" t="s">
        <v>142</v>
      </c>
      <c r="C325" t="s">
        <v>143</v>
      </c>
      <c r="D325" t="s">
        <v>417</v>
      </c>
      <c r="E325" t="s">
        <v>48</v>
      </c>
      <c r="F325" t="s">
        <v>55</v>
      </c>
      <c r="G325" t="s">
        <v>286</v>
      </c>
      <c r="H325" t="s">
        <v>57</v>
      </c>
      <c r="I325" t="s">
        <v>28</v>
      </c>
      <c r="J325">
        <v>470</v>
      </c>
      <c r="K325" t="s">
        <v>124</v>
      </c>
      <c r="L325">
        <v>5</v>
      </c>
      <c r="M325" s="28">
        <v>47889</v>
      </c>
      <c r="N325" s="36">
        <f t="shared" si="5"/>
        <v>9577.7999999999993</v>
      </c>
      <c r="O325" s="21">
        <v>51.493548387096773</v>
      </c>
      <c r="P325" t="s">
        <v>30</v>
      </c>
      <c r="Q325" t="s">
        <v>31</v>
      </c>
      <c r="R325" s="1">
        <v>46079</v>
      </c>
      <c r="S325" t="s">
        <v>32</v>
      </c>
      <c r="T325" s="2"/>
      <c r="U325" s="2"/>
    </row>
    <row r="326" spans="1:21" ht="15.75" x14ac:dyDescent="0.25">
      <c r="A326" t="s">
        <v>20</v>
      </c>
      <c r="B326" t="s">
        <v>142</v>
      </c>
      <c r="C326" t="s">
        <v>143</v>
      </c>
      <c r="D326" t="s">
        <v>417</v>
      </c>
      <c r="E326" t="s">
        <v>48</v>
      </c>
      <c r="F326" t="s">
        <v>55</v>
      </c>
      <c r="G326" t="s">
        <v>290</v>
      </c>
      <c r="H326" t="s">
        <v>57</v>
      </c>
      <c r="I326" t="s">
        <v>28</v>
      </c>
      <c r="J326">
        <v>470</v>
      </c>
      <c r="K326" t="s">
        <v>124</v>
      </c>
      <c r="L326">
        <v>20</v>
      </c>
      <c r="M326" s="28">
        <v>87071</v>
      </c>
      <c r="N326" s="36">
        <f t="shared" si="5"/>
        <v>4353.55</v>
      </c>
      <c r="O326" s="21">
        <v>93.624731182795699</v>
      </c>
      <c r="P326" t="s">
        <v>30</v>
      </c>
      <c r="Q326" t="s">
        <v>31</v>
      </c>
      <c r="R326" s="1">
        <v>46079</v>
      </c>
      <c r="S326" t="s">
        <v>32</v>
      </c>
      <c r="T326" s="2"/>
      <c r="U326" s="2"/>
    </row>
    <row r="327" spans="1:21" ht="15.75" x14ac:dyDescent="0.25">
      <c r="A327" t="s">
        <v>20</v>
      </c>
      <c r="B327" t="s">
        <v>142</v>
      </c>
      <c r="C327" t="s">
        <v>143</v>
      </c>
      <c r="D327" t="s">
        <v>417</v>
      </c>
      <c r="E327" t="s">
        <v>48</v>
      </c>
      <c r="F327" t="s">
        <v>55</v>
      </c>
      <c r="G327" t="s">
        <v>426</v>
      </c>
      <c r="H327" t="s">
        <v>57</v>
      </c>
      <c r="I327" t="s">
        <v>28</v>
      </c>
      <c r="J327">
        <v>470</v>
      </c>
      <c r="K327" t="s">
        <v>124</v>
      </c>
      <c r="L327">
        <v>20</v>
      </c>
      <c r="M327" s="28">
        <v>87071</v>
      </c>
      <c r="N327" s="36">
        <f t="shared" si="5"/>
        <v>4353.55</v>
      </c>
      <c r="O327" s="21">
        <v>93.624731182795699</v>
      </c>
      <c r="P327" t="s">
        <v>30</v>
      </c>
      <c r="Q327" t="s">
        <v>31</v>
      </c>
      <c r="R327" s="1">
        <v>46079</v>
      </c>
      <c r="S327" t="s">
        <v>32</v>
      </c>
      <c r="T327" s="2"/>
      <c r="U327" s="2"/>
    </row>
    <row r="328" spans="1:21" ht="15.75" x14ac:dyDescent="0.25">
      <c r="A328" t="s">
        <v>20</v>
      </c>
      <c r="B328" t="s">
        <v>387</v>
      </c>
      <c r="C328" t="s">
        <v>388</v>
      </c>
      <c r="D328" t="s">
        <v>417</v>
      </c>
      <c r="E328" t="s">
        <v>48</v>
      </c>
      <c r="F328" t="s">
        <v>59</v>
      </c>
      <c r="G328" t="s">
        <v>389</v>
      </c>
      <c r="H328" t="s">
        <v>27</v>
      </c>
      <c r="I328" t="s">
        <v>28</v>
      </c>
      <c r="J328">
        <v>471</v>
      </c>
      <c r="K328" t="s">
        <v>124</v>
      </c>
      <c r="L328">
        <v>20</v>
      </c>
      <c r="M328" s="28">
        <v>114400</v>
      </c>
      <c r="N328" s="36">
        <f t="shared" si="5"/>
        <v>5720</v>
      </c>
      <c r="O328" s="21">
        <v>123.01075268817205</v>
      </c>
      <c r="P328" t="s">
        <v>30</v>
      </c>
      <c r="Q328" t="s">
        <v>31</v>
      </c>
      <c r="R328" s="1">
        <v>46048</v>
      </c>
      <c r="S328" t="s">
        <v>32</v>
      </c>
      <c r="T328" s="2"/>
      <c r="U328" s="2"/>
    </row>
    <row r="329" spans="1:21" ht="15.75" x14ac:dyDescent="0.25">
      <c r="A329" t="s">
        <v>20</v>
      </c>
      <c r="B329" t="s">
        <v>387</v>
      </c>
      <c r="C329" t="s">
        <v>388</v>
      </c>
      <c r="D329" t="s">
        <v>417</v>
      </c>
      <c r="E329" t="s">
        <v>48</v>
      </c>
      <c r="F329" t="s">
        <v>59</v>
      </c>
      <c r="G329" t="s">
        <v>243</v>
      </c>
      <c r="H329" t="s">
        <v>27</v>
      </c>
      <c r="I329" t="s">
        <v>28</v>
      </c>
      <c r="J329">
        <v>471</v>
      </c>
      <c r="K329" t="s">
        <v>124</v>
      </c>
      <c r="L329">
        <v>20</v>
      </c>
      <c r="M329" s="28">
        <v>149600</v>
      </c>
      <c r="N329" s="36">
        <f t="shared" si="5"/>
        <v>7480</v>
      </c>
      <c r="O329" s="21">
        <v>160.86021505376345</v>
      </c>
      <c r="P329" t="s">
        <v>30</v>
      </c>
      <c r="Q329" t="s">
        <v>31</v>
      </c>
      <c r="R329" s="1">
        <v>46048</v>
      </c>
      <c r="S329" t="s">
        <v>32</v>
      </c>
      <c r="T329" s="2"/>
      <c r="U329" s="2"/>
    </row>
    <row r="330" spans="1:21" ht="15.75" x14ac:dyDescent="0.25">
      <c r="A330" t="s">
        <v>20</v>
      </c>
      <c r="B330" t="s">
        <v>387</v>
      </c>
      <c r="C330" t="s">
        <v>388</v>
      </c>
      <c r="D330" t="s">
        <v>417</v>
      </c>
      <c r="E330" t="s">
        <v>48</v>
      </c>
      <c r="F330" t="s">
        <v>59</v>
      </c>
      <c r="G330" t="s">
        <v>252</v>
      </c>
      <c r="H330" t="s">
        <v>27</v>
      </c>
      <c r="I330" t="s">
        <v>28</v>
      </c>
      <c r="J330">
        <v>471</v>
      </c>
      <c r="K330" t="s">
        <v>124</v>
      </c>
      <c r="L330">
        <v>20</v>
      </c>
      <c r="M330" s="28">
        <v>88000</v>
      </c>
      <c r="N330" s="36">
        <f t="shared" si="5"/>
        <v>4400</v>
      </c>
      <c r="O330" s="21">
        <v>94.623655913978496</v>
      </c>
      <c r="P330" t="s">
        <v>30</v>
      </c>
      <c r="Q330" t="s">
        <v>31</v>
      </c>
      <c r="R330" s="1">
        <v>46048</v>
      </c>
      <c r="S330" t="s">
        <v>32</v>
      </c>
      <c r="T330" s="2"/>
      <c r="U330" s="2"/>
    </row>
    <row r="331" spans="1:21" ht="15.75" x14ac:dyDescent="0.25">
      <c r="A331" t="s">
        <v>20</v>
      </c>
      <c r="B331" t="s">
        <v>387</v>
      </c>
      <c r="C331" t="s">
        <v>388</v>
      </c>
      <c r="D331" t="s">
        <v>417</v>
      </c>
      <c r="E331" t="s">
        <v>48</v>
      </c>
      <c r="F331" t="s">
        <v>59</v>
      </c>
      <c r="G331" t="s">
        <v>254</v>
      </c>
      <c r="H331" t="s">
        <v>27</v>
      </c>
      <c r="I331" t="s">
        <v>28</v>
      </c>
      <c r="J331">
        <v>471</v>
      </c>
      <c r="K331" t="s">
        <v>124</v>
      </c>
      <c r="L331">
        <v>20</v>
      </c>
      <c r="M331" s="28">
        <v>126600</v>
      </c>
      <c r="N331" s="36">
        <f t="shared" si="5"/>
        <v>6330</v>
      </c>
      <c r="O331" s="21">
        <v>136.12903225806451</v>
      </c>
      <c r="P331" t="s">
        <v>30</v>
      </c>
      <c r="Q331" t="s">
        <v>31</v>
      </c>
      <c r="R331" s="1">
        <v>46048</v>
      </c>
      <c r="S331" t="s">
        <v>32</v>
      </c>
      <c r="T331" s="2"/>
      <c r="U331" s="2"/>
    </row>
    <row r="332" spans="1:21" ht="15.75" x14ac:dyDescent="0.25">
      <c r="A332" t="s">
        <v>20</v>
      </c>
      <c r="B332" t="s">
        <v>427</v>
      </c>
      <c r="C332" s="41" t="s">
        <v>428</v>
      </c>
      <c r="D332" s="41" t="s">
        <v>417</v>
      </c>
      <c r="E332" s="38" t="s">
        <v>24</v>
      </c>
      <c r="F332" s="41" t="s">
        <v>25</v>
      </c>
      <c r="G332" s="41" t="s">
        <v>245</v>
      </c>
      <c r="H332" s="41" t="s">
        <v>27</v>
      </c>
      <c r="I332" s="41" t="s">
        <v>28</v>
      </c>
      <c r="J332" s="41">
        <v>472</v>
      </c>
      <c r="K332" s="41" t="s">
        <v>124</v>
      </c>
      <c r="L332" s="41">
        <v>140</v>
      </c>
      <c r="M332" s="42">
        <v>1050000</v>
      </c>
      <c r="N332" s="36">
        <f t="shared" si="5"/>
        <v>7500</v>
      </c>
      <c r="O332" s="21">
        <v>1129.0322580645161</v>
      </c>
      <c r="P332" t="s">
        <v>30</v>
      </c>
      <c r="Q332" t="s">
        <v>31</v>
      </c>
      <c r="R332" s="1">
        <v>46108</v>
      </c>
      <c r="S332" t="s">
        <v>32</v>
      </c>
      <c r="T332" s="2"/>
      <c r="U332" s="2"/>
    </row>
    <row r="333" spans="1:21" ht="15.75" x14ac:dyDescent="0.25">
      <c r="A333" t="s">
        <v>20</v>
      </c>
      <c r="B333" t="s">
        <v>427</v>
      </c>
      <c r="C333" s="41" t="s">
        <v>428</v>
      </c>
      <c r="D333" s="41" t="s">
        <v>417</v>
      </c>
      <c r="E333" s="38" t="s">
        <v>24</v>
      </c>
      <c r="F333" s="41" t="s">
        <v>25</v>
      </c>
      <c r="G333" s="41" t="s">
        <v>328</v>
      </c>
      <c r="H333" s="41" t="s">
        <v>27</v>
      </c>
      <c r="I333" s="41" t="s">
        <v>28</v>
      </c>
      <c r="J333" s="41">
        <v>472</v>
      </c>
      <c r="K333" s="41" t="s">
        <v>124</v>
      </c>
      <c r="L333" s="41">
        <v>5</v>
      </c>
      <c r="M333" s="42">
        <v>37500</v>
      </c>
      <c r="N333" s="36">
        <f t="shared" ref="N333:N395" si="6">M333/L333</f>
        <v>7500</v>
      </c>
      <c r="O333" s="21">
        <v>40.322580645161288</v>
      </c>
      <c r="P333" t="s">
        <v>30</v>
      </c>
      <c r="Q333" t="s">
        <v>31</v>
      </c>
      <c r="R333" s="1">
        <v>46108</v>
      </c>
      <c r="S333" t="s">
        <v>32</v>
      </c>
      <c r="T333" s="2"/>
      <c r="U333" s="2"/>
    </row>
    <row r="334" spans="1:21" ht="15.75" x14ac:dyDescent="0.25">
      <c r="A334" t="s">
        <v>20</v>
      </c>
      <c r="B334" t="s">
        <v>427</v>
      </c>
      <c r="C334" s="41" t="s">
        <v>428</v>
      </c>
      <c r="D334" s="41" t="s">
        <v>417</v>
      </c>
      <c r="E334" s="38" t="s">
        <v>24</v>
      </c>
      <c r="F334" s="41" t="s">
        <v>25</v>
      </c>
      <c r="G334" s="41" t="s">
        <v>429</v>
      </c>
      <c r="H334" s="41" t="s">
        <v>27</v>
      </c>
      <c r="I334" s="41" t="s">
        <v>28</v>
      </c>
      <c r="J334" s="41">
        <v>472</v>
      </c>
      <c r="K334" s="41" t="s">
        <v>124</v>
      </c>
      <c r="L334" s="41">
        <v>1</v>
      </c>
      <c r="M334" s="42">
        <v>7500</v>
      </c>
      <c r="N334" s="36">
        <f t="shared" si="6"/>
        <v>7500</v>
      </c>
      <c r="O334" s="21">
        <v>8.064516129032258</v>
      </c>
      <c r="P334" t="s">
        <v>30</v>
      </c>
      <c r="Q334" t="s">
        <v>31</v>
      </c>
      <c r="R334" s="1">
        <v>46108</v>
      </c>
      <c r="S334" t="s">
        <v>32</v>
      </c>
      <c r="T334" s="2"/>
      <c r="U334" s="2"/>
    </row>
    <row r="335" spans="1:21" ht="15.75" x14ac:dyDescent="0.25">
      <c r="A335" t="s">
        <v>20</v>
      </c>
      <c r="B335" t="s">
        <v>430</v>
      </c>
      <c r="C335" s="41" t="s">
        <v>431</v>
      </c>
      <c r="D335" s="41" t="s">
        <v>417</v>
      </c>
      <c r="E335" s="41" t="s">
        <v>48</v>
      </c>
      <c r="F335" s="41" t="s">
        <v>25</v>
      </c>
      <c r="G335" s="41" t="s">
        <v>245</v>
      </c>
      <c r="H335" s="41" t="s">
        <v>27</v>
      </c>
      <c r="I335" s="41" t="s">
        <v>65</v>
      </c>
      <c r="J335" s="41">
        <v>172</v>
      </c>
      <c r="K335" s="41" t="s">
        <v>124</v>
      </c>
      <c r="L335" s="41">
        <v>20</v>
      </c>
      <c r="M335" s="42">
        <v>150000</v>
      </c>
      <c r="N335" s="36">
        <f t="shared" si="6"/>
        <v>7500</v>
      </c>
      <c r="O335" s="21">
        <v>161.29032258064515</v>
      </c>
      <c r="P335" t="s">
        <v>30</v>
      </c>
      <c r="Q335" t="s">
        <v>31</v>
      </c>
      <c r="R335" s="1">
        <v>46168</v>
      </c>
      <c r="S335" t="s">
        <v>32</v>
      </c>
      <c r="T335" s="2"/>
      <c r="U335" s="2"/>
    </row>
    <row r="336" spans="1:21" ht="15.75" x14ac:dyDescent="0.25">
      <c r="A336" t="s">
        <v>20</v>
      </c>
      <c r="B336" t="s">
        <v>430</v>
      </c>
      <c r="C336" s="41" t="s">
        <v>431</v>
      </c>
      <c r="D336" s="41" t="s">
        <v>417</v>
      </c>
      <c r="E336" s="41" t="s">
        <v>48</v>
      </c>
      <c r="F336" s="41" t="s">
        <v>25</v>
      </c>
      <c r="G336" s="41" t="s">
        <v>328</v>
      </c>
      <c r="H336" s="41" t="s">
        <v>27</v>
      </c>
      <c r="I336" s="41" t="s">
        <v>65</v>
      </c>
      <c r="J336" s="41">
        <v>172</v>
      </c>
      <c r="K336" s="41" t="s">
        <v>124</v>
      </c>
      <c r="L336" s="41">
        <v>10</v>
      </c>
      <c r="M336" s="42">
        <v>75000</v>
      </c>
      <c r="N336" s="36">
        <f t="shared" si="6"/>
        <v>7500</v>
      </c>
      <c r="O336" s="21">
        <v>80.645161290322577</v>
      </c>
      <c r="P336" t="s">
        <v>30</v>
      </c>
      <c r="Q336" t="s">
        <v>31</v>
      </c>
      <c r="R336" s="1">
        <v>46168</v>
      </c>
      <c r="S336" t="s">
        <v>32</v>
      </c>
      <c r="T336" s="2"/>
      <c r="U336" s="2"/>
    </row>
    <row r="337" spans="1:21" ht="15.75" x14ac:dyDescent="0.25">
      <c r="A337" t="s">
        <v>20</v>
      </c>
      <c r="B337" t="s">
        <v>139</v>
      </c>
      <c r="C337" t="s">
        <v>140</v>
      </c>
      <c r="D337" t="s">
        <v>417</v>
      </c>
      <c r="E337" t="s">
        <v>48</v>
      </c>
      <c r="F337" t="s">
        <v>59</v>
      </c>
      <c r="G337" t="s">
        <v>290</v>
      </c>
      <c r="H337" t="s">
        <v>27</v>
      </c>
      <c r="I337" t="s">
        <v>65</v>
      </c>
      <c r="J337">
        <v>173</v>
      </c>
      <c r="K337" t="s">
        <v>124</v>
      </c>
      <c r="L337">
        <v>60</v>
      </c>
      <c r="M337" s="28">
        <v>199800</v>
      </c>
      <c r="N337" s="36">
        <f t="shared" si="6"/>
        <v>3330</v>
      </c>
      <c r="O337" s="21">
        <v>214.83870967741936</v>
      </c>
      <c r="P337" t="s">
        <v>30</v>
      </c>
      <c r="Q337" t="s">
        <v>31</v>
      </c>
      <c r="R337" s="1">
        <v>46163</v>
      </c>
      <c r="S337" t="s">
        <v>32</v>
      </c>
      <c r="T337" s="2"/>
      <c r="U337" s="2"/>
    </row>
    <row r="338" spans="1:21" ht="15.75" x14ac:dyDescent="0.25">
      <c r="A338" t="s">
        <v>20</v>
      </c>
      <c r="B338" t="s">
        <v>432</v>
      </c>
      <c r="C338" t="s">
        <v>433</v>
      </c>
      <c r="D338" t="s">
        <v>417</v>
      </c>
      <c r="E338" t="s">
        <v>48</v>
      </c>
      <c r="F338" t="s">
        <v>59</v>
      </c>
      <c r="G338" t="s">
        <v>245</v>
      </c>
      <c r="H338" t="s">
        <v>57</v>
      </c>
      <c r="I338" t="s">
        <v>65</v>
      </c>
      <c r="J338">
        <v>174</v>
      </c>
      <c r="K338" t="s">
        <v>124</v>
      </c>
      <c r="L338">
        <v>20</v>
      </c>
      <c r="M338" s="28">
        <v>139314</v>
      </c>
      <c r="N338" s="36">
        <f t="shared" si="6"/>
        <v>6965.7</v>
      </c>
      <c r="O338" s="21">
        <v>149.80000000000001</v>
      </c>
      <c r="P338" t="s">
        <v>30</v>
      </c>
      <c r="Q338" t="s">
        <v>31</v>
      </c>
      <c r="R338" s="1">
        <v>46108</v>
      </c>
      <c r="S338" t="s">
        <v>32</v>
      </c>
      <c r="T338" s="2"/>
      <c r="U338" s="2"/>
    </row>
    <row r="339" spans="1:21" ht="15.75" x14ac:dyDescent="0.25">
      <c r="A339" t="s">
        <v>20</v>
      </c>
      <c r="B339" t="s">
        <v>432</v>
      </c>
      <c r="C339" t="s">
        <v>433</v>
      </c>
      <c r="D339" t="s">
        <v>434</v>
      </c>
      <c r="E339" t="s">
        <v>48</v>
      </c>
      <c r="F339" t="s">
        <v>59</v>
      </c>
      <c r="G339" t="s">
        <v>328</v>
      </c>
      <c r="H339" t="s">
        <v>27</v>
      </c>
      <c r="I339" t="s">
        <v>28</v>
      </c>
      <c r="J339">
        <v>473</v>
      </c>
      <c r="K339" t="s">
        <v>124</v>
      </c>
      <c r="L339">
        <v>10</v>
      </c>
      <c r="M339" s="28">
        <v>69040</v>
      </c>
      <c r="N339" s="36">
        <f t="shared" si="6"/>
        <v>6904</v>
      </c>
      <c r="O339" s="21">
        <v>74.236559139784944</v>
      </c>
      <c r="P339" t="s">
        <v>30</v>
      </c>
      <c r="Q339" t="s">
        <v>31</v>
      </c>
      <c r="R339" s="1">
        <v>46106</v>
      </c>
      <c r="S339" t="s">
        <v>32</v>
      </c>
      <c r="T339" s="2"/>
      <c r="U339" s="2"/>
    </row>
    <row r="340" spans="1:21" ht="15.75" x14ac:dyDescent="0.25">
      <c r="A340" t="s">
        <v>20</v>
      </c>
      <c r="B340" t="s">
        <v>105</v>
      </c>
      <c r="C340" t="s">
        <v>106</v>
      </c>
      <c r="D340" t="s">
        <v>434</v>
      </c>
      <c r="E340" t="s">
        <v>48</v>
      </c>
      <c r="F340" t="s">
        <v>59</v>
      </c>
      <c r="G340" t="s">
        <v>294</v>
      </c>
      <c r="H340" t="s">
        <v>27</v>
      </c>
      <c r="I340" t="s">
        <v>28</v>
      </c>
      <c r="J340">
        <v>474</v>
      </c>
      <c r="K340" t="s">
        <v>124</v>
      </c>
      <c r="L340">
        <v>5</v>
      </c>
      <c r="M340" s="28">
        <v>43000</v>
      </c>
      <c r="N340" s="36">
        <f t="shared" si="6"/>
        <v>8600</v>
      </c>
      <c r="O340" s="21">
        <v>46.236559139784944</v>
      </c>
      <c r="P340" t="s">
        <v>30</v>
      </c>
      <c r="Q340" t="s">
        <v>31</v>
      </c>
      <c r="R340" s="1">
        <v>46135</v>
      </c>
      <c r="S340" t="s">
        <v>32</v>
      </c>
      <c r="T340" s="2"/>
      <c r="U340" s="2"/>
    </row>
    <row r="341" spans="1:21" ht="15.75" x14ac:dyDescent="0.25">
      <c r="A341" t="s">
        <v>20</v>
      </c>
      <c r="B341" t="s">
        <v>335</v>
      </c>
      <c r="C341" t="s">
        <v>336</v>
      </c>
      <c r="D341" t="s">
        <v>434</v>
      </c>
      <c r="E341" t="s">
        <v>48</v>
      </c>
      <c r="F341" t="s">
        <v>59</v>
      </c>
      <c r="G341" t="s">
        <v>310</v>
      </c>
      <c r="H341" t="s">
        <v>57</v>
      </c>
      <c r="I341" t="s">
        <v>28</v>
      </c>
      <c r="J341">
        <v>475</v>
      </c>
      <c r="K341" t="s">
        <v>124</v>
      </c>
      <c r="L341">
        <v>11</v>
      </c>
      <c r="M341" s="28">
        <v>57079</v>
      </c>
      <c r="N341" s="36">
        <f t="shared" si="6"/>
        <v>5189</v>
      </c>
      <c r="O341" s="21">
        <v>61.375268817204301</v>
      </c>
      <c r="P341" t="s">
        <v>30</v>
      </c>
      <c r="Q341" t="s">
        <v>31</v>
      </c>
      <c r="R341" s="1">
        <v>46138</v>
      </c>
      <c r="S341" t="s">
        <v>32</v>
      </c>
      <c r="T341" s="2"/>
      <c r="U341" s="2"/>
    </row>
    <row r="342" spans="1:21" ht="15.75" x14ac:dyDescent="0.25">
      <c r="A342" t="s">
        <v>20</v>
      </c>
      <c r="B342" t="s">
        <v>335</v>
      </c>
      <c r="C342" t="s">
        <v>336</v>
      </c>
      <c r="D342" t="s">
        <v>434</v>
      </c>
      <c r="E342" t="s">
        <v>48</v>
      </c>
      <c r="F342" t="s">
        <v>59</v>
      </c>
      <c r="G342" t="s">
        <v>309</v>
      </c>
      <c r="H342" t="s">
        <v>57</v>
      </c>
      <c r="I342" t="s">
        <v>28</v>
      </c>
      <c r="J342">
        <v>475</v>
      </c>
      <c r="K342" t="s">
        <v>124</v>
      </c>
      <c r="L342">
        <v>25</v>
      </c>
      <c r="M342" s="28">
        <v>97275</v>
      </c>
      <c r="N342" s="36">
        <f t="shared" si="6"/>
        <v>3891</v>
      </c>
      <c r="O342" s="21">
        <v>104.59677419354838</v>
      </c>
      <c r="P342" t="s">
        <v>30</v>
      </c>
      <c r="Q342" t="s">
        <v>31</v>
      </c>
      <c r="R342" s="1">
        <v>46138</v>
      </c>
      <c r="S342" t="s">
        <v>32</v>
      </c>
      <c r="T342" s="2"/>
      <c r="U342" s="2"/>
    </row>
    <row r="343" spans="1:21" ht="15.75" x14ac:dyDescent="0.25">
      <c r="A343" t="s">
        <v>20</v>
      </c>
      <c r="B343" t="s">
        <v>335</v>
      </c>
      <c r="C343" t="s">
        <v>336</v>
      </c>
      <c r="D343" t="s">
        <v>434</v>
      </c>
      <c r="E343" t="s">
        <v>48</v>
      </c>
      <c r="F343" t="s">
        <v>59</v>
      </c>
      <c r="G343" t="s">
        <v>311</v>
      </c>
      <c r="H343" t="s">
        <v>57</v>
      </c>
      <c r="I343" t="s">
        <v>28</v>
      </c>
      <c r="J343">
        <v>475</v>
      </c>
      <c r="K343" t="s">
        <v>124</v>
      </c>
      <c r="L343">
        <v>7</v>
      </c>
      <c r="M343" s="28">
        <v>36323</v>
      </c>
      <c r="N343" s="36">
        <f t="shared" si="6"/>
        <v>5189</v>
      </c>
      <c r="O343" s="21">
        <v>39.056989247311826</v>
      </c>
      <c r="P343" t="s">
        <v>30</v>
      </c>
      <c r="Q343" t="s">
        <v>31</v>
      </c>
      <c r="R343" s="1">
        <v>46138</v>
      </c>
      <c r="S343" t="s">
        <v>32</v>
      </c>
      <c r="T343" s="2"/>
      <c r="U343" s="2"/>
    </row>
    <row r="344" spans="1:21" ht="15.75" x14ac:dyDescent="0.25">
      <c r="A344" t="s">
        <v>20</v>
      </c>
      <c r="B344" t="s">
        <v>335</v>
      </c>
      <c r="C344" t="s">
        <v>336</v>
      </c>
      <c r="D344" t="s">
        <v>434</v>
      </c>
      <c r="E344" t="s">
        <v>48</v>
      </c>
      <c r="F344" t="s">
        <v>59</v>
      </c>
      <c r="G344" t="s">
        <v>435</v>
      </c>
      <c r="H344" t="s">
        <v>57</v>
      </c>
      <c r="I344" t="s">
        <v>28</v>
      </c>
      <c r="J344">
        <v>475</v>
      </c>
      <c r="K344" t="s">
        <v>124</v>
      </c>
      <c r="L344">
        <v>5</v>
      </c>
      <c r="M344" s="28">
        <v>25945</v>
      </c>
      <c r="N344" s="36">
        <f t="shared" si="6"/>
        <v>5189</v>
      </c>
      <c r="O344" s="21">
        <v>27.897849462365592</v>
      </c>
      <c r="P344" t="s">
        <v>30</v>
      </c>
      <c r="Q344" t="s">
        <v>31</v>
      </c>
      <c r="R344" s="1">
        <v>46138</v>
      </c>
      <c r="S344" t="s">
        <v>32</v>
      </c>
      <c r="T344" s="2"/>
      <c r="U344" s="2"/>
    </row>
    <row r="345" spans="1:21" ht="15.75" x14ac:dyDescent="0.25">
      <c r="A345" t="s">
        <v>20</v>
      </c>
      <c r="B345" t="s">
        <v>335</v>
      </c>
      <c r="C345" t="s">
        <v>336</v>
      </c>
      <c r="D345" t="s">
        <v>434</v>
      </c>
      <c r="E345" t="s">
        <v>48</v>
      </c>
      <c r="F345" t="s">
        <v>59</v>
      </c>
      <c r="G345" t="s">
        <v>436</v>
      </c>
      <c r="H345" t="s">
        <v>57</v>
      </c>
      <c r="I345" t="s">
        <v>28</v>
      </c>
      <c r="J345">
        <v>475</v>
      </c>
      <c r="K345" t="s">
        <v>124</v>
      </c>
      <c r="L345">
        <v>10</v>
      </c>
      <c r="M345" s="28">
        <v>38910</v>
      </c>
      <c r="N345" s="36">
        <f t="shared" si="6"/>
        <v>3891</v>
      </c>
      <c r="O345" s="21">
        <v>41.838709677419352</v>
      </c>
      <c r="P345" t="s">
        <v>30</v>
      </c>
      <c r="Q345" t="s">
        <v>31</v>
      </c>
      <c r="R345" s="1">
        <v>46138</v>
      </c>
      <c r="S345" t="s">
        <v>32</v>
      </c>
      <c r="T345" s="2"/>
      <c r="U345" s="2"/>
    </row>
    <row r="346" spans="1:21" ht="15.75" x14ac:dyDescent="0.25">
      <c r="A346" t="s">
        <v>20</v>
      </c>
      <c r="B346" t="s">
        <v>335</v>
      </c>
      <c r="C346" t="s">
        <v>336</v>
      </c>
      <c r="D346" t="s">
        <v>434</v>
      </c>
      <c r="E346" t="s">
        <v>48</v>
      </c>
      <c r="F346" t="s">
        <v>59</v>
      </c>
      <c r="G346" t="s">
        <v>437</v>
      </c>
      <c r="H346" t="s">
        <v>57</v>
      </c>
      <c r="I346" t="s">
        <v>28</v>
      </c>
      <c r="J346">
        <v>475</v>
      </c>
      <c r="K346" t="s">
        <v>124</v>
      </c>
      <c r="L346">
        <v>5</v>
      </c>
      <c r="M346" s="28">
        <v>28535</v>
      </c>
      <c r="N346" s="36">
        <f t="shared" si="6"/>
        <v>5707</v>
      </c>
      <c r="O346" s="21">
        <v>30.682795698924732</v>
      </c>
      <c r="P346" t="s">
        <v>30</v>
      </c>
      <c r="Q346" t="s">
        <v>31</v>
      </c>
      <c r="R346" s="1">
        <v>46138</v>
      </c>
      <c r="S346" t="s">
        <v>32</v>
      </c>
      <c r="T346" s="2"/>
      <c r="U346" s="2"/>
    </row>
    <row r="347" spans="1:21" ht="15.75" x14ac:dyDescent="0.25">
      <c r="A347" t="s">
        <v>20</v>
      </c>
      <c r="B347" t="s">
        <v>335</v>
      </c>
      <c r="C347" t="s">
        <v>336</v>
      </c>
      <c r="D347" t="s">
        <v>434</v>
      </c>
      <c r="E347" t="s">
        <v>48</v>
      </c>
      <c r="F347" t="s">
        <v>59</v>
      </c>
      <c r="G347" t="s">
        <v>438</v>
      </c>
      <c r="H347" t="s">
        <v>57</v>
      </c>
      <c r="I347" t="s">
        <v>28</v>
      </c>
      <c r="J347">
        <v>475</v>
      </c>
      <c r="K347" t="s">
        <v>124</v>
      </c>
      <c r="L347">
        <v>10</v>
      </c>
      <c r="M347" s="28">
        <v>69180</v>
      </c>
      <c r="N347" s="36">
        <f t="shared" si="6"/>
        <v>6918</v>
      </c>
      <c r="O347" s="21">
        <v>74.387096774193552</v>
      </c>
      <c r="P347" t="s">
        <v>30</v>
      </c>
      <c r="Q347" t="s">
        <v>31</v>
      </c>
      <c r="R347" s="1">
        <v>46138</v>
      </c>
      <c r="S347" t="s">
        <v>32</v>
      </c>
      <c r="T347" s="2"/>
      <c r="U347" s="2"/>
    </row>
    <row r="348" spans="1:21" ht="15.75" x14ac:dyDescent="0.25">
      <c r="A348" t="s">
        <v>20</v>
      </c>
      <c r="B348" t="s">
        <v>335</v>
      </c>
      <c r="C348" t="s">
        <v>336</v>
      </c>
      <c r="D348" t="s">
        <v>434</v>
      </c>
      <c r="E348" t="s">
        <v>48</v>
      </c>
      <c r="F348" t="s">
        <v>59</v>
      </c>
      <c r="G348" t="s">
        <v>439</v>
      </c>
      <c r="H348" t="s">
        <v>57</v>
      </c>
      <c r="I348" t="s">
        <v>28</v>
      </c>
      <c r="J348">
        <v>475</v>
      </c>
      <c r="K348" t="s">
        <v>124</v>
      </c>
      <c r="L348">
        <v>5</v>
      </c>
      <c r="M348" s="28">
        <v>25945</v>
      </c>
      <c r="N348" s="36">
        <f t="shared" si="6"/>
        <v>5189</v>
      </c>
      <c r="O348" s="21">
        <v>27.897849462365592</v>
      </c>
      <c r="P348" t="s">
        <v>30</v>
      </c>
      <c r="Q348" t="s">
        <v>31</v>
      </c>
      <c r="R348" s="1">
        <v>46138</v>
      </c>
      <c r="S348" t="s">
        <v>32</v>
      </c>
      <c r="T348" s="2"/>
      <c r="U348" s="2"/>
    </row>
    <row r="349" spans="1:21" ht="15.75" x14ac:dyDescent="0.25">
      <c r="A349" t="s">
        <v>20</v>
      </c>
      <c r="B349" t="s">
        <v>440</v>
      </c>
      <c r="C349" s="41" t="s">
        <v>441</v>
      </c>
      <c r="D349" s="41" t="s">
        <v>434</v>
      </c>
      <c r="E349" s="41" t="s">
        <v>48</v>
      </c>
      <c r="F349" s="41" t="s">
        <v>25</v>
      </c>
      <c r="G349" s="41" t="s">
        <v>245</v>
      </c>
      <c r="H349" s="41" t="s">
        <v>27</v>
      </c>
      <c r="I349" s="41" t="s">
        <v>65</v>
      </c>
      <c r="J349" s="41">
        <v>177</v>
      </c>
      <c r="K349" s="41" t="s">
        <v>124</v>
      </c>
      <c r="L349" s="41">
        <v>300</v>
      </c>
      <c r="M349" s="42">
        <v>2130000</v>
      </c>
      <c r="N349" s="36">
        <f t="shared" si="6"/>
        <v>7100</v>
      </c>
      <c r="O349" s="21">
        <v>2290.3225806451615</v>
      </c>
      <c r="P349" t="s">
        <v>30</v>
      </c>
      <c r="Q349" t="s">
        <v>31</v>
      </c>
      <c r="R349" s="1">
        <v>46142</v>
      </c>
      <c r="S349" t="s">
        <v>32</v>
      </c>
      <c r="T349" s="2"/>
      <c r="U349" s="2"/>
    </row>
    <row r="350" spans="1:21" ht="15.75" x14ac:dyDescent="0.25">
      <c r="A350" t="s">
        <v>20</v>
      </c>
      <c r="B350" t="s">
        <v>68</v>
      </c>
      <c r="C350" s="41" t="s">
        <v>69</v>
      </c>
      <c r="D350" s="41" t="s">
        <v>434</v>
      </c>
      <c r="E350" s="41" t="s">
        <v>48</v>
      </c>
      <c r="F350" s="41" t="s">
        <v>25</v>
      </c>
      <c r="G350" s="41" t="s">
        <v>442</v>
      </c>
      <c r="H350" s="41" t="s">
        <v>27</v>
      </c>
      <c r="I350" s="41" t="s">
        <v>65</v>
      </c>
      <c r="J350" s="41">
        <v>178</v>
      </c>
      <c r="K350" s="41" t="s">
        <v>124</v>
      </c>
      <c r="L350" s="41">
        <v>1000</v>
      </c>
      <c r="M350" s="42">
        <v>2500000</v>
      </c>
      <c r="N350" s="36">
        <f t="shared" si="6"/>
        <v>2500</v>
      </c>
      <c r="O350" s="21">
        <v>2688.1720430107525</v>
      </c>
      <c r="P350" t="s">
        <v>30</v>
      </c>
      <c r="Q350" t="s">
        <v>31</v>
      </c>
      <c r="R350" s="1">
        <v>46172</v>
      </c>
      <c r="S350" t="s">
        <v>32</v>
      </c>
      <c r="T350" s="2"/>
      <c r="U350" s="2"/>
    </row>
    <row r="351" spans="1:21" ht="15.75" x14ac:dyDescent="0.25">
      <c r="A351" t="s">
        <v>20</v>
      </c>
      <c r="B351" t="s">
        <v>68</v>
      </c>
      <c r="C351" s="41" t="s">
        <v>69</v>
      </c>
      <c r="D351" s="41" t="s">
        <v>434</v>
      </c>
      <c r="E351" s="41" t="s">
        <v>48</v>
      </c>
      <c r="F351" s="41" t="s">
        <v>25</v>
      </c>
      <c r="G351" s="41" t="s">
        <v>443</v>
      </c>
      <c r="H351" s="41" t="s">
        <v>27</v>
      </c>
      <c r="I351" s="41" t="s">
        <v>65</v>
      </c>
      <c r="J351" s="41">
        <v>178</v>
      </c>
      <c r="K351" s="41" t="s">
        <v>124</v>
      </c>
      <c r="L351" s="41">
        <v>550</v>
      </c>
      <c r="M351" s="42">
        <v>1375000</v>
      </c>
      <c r="N351" s="36">
        <f t="shared" si="6"/>
        <v>2500</v>
      </c>
      <c r="O351" s="21">
        <v>1478.494623655914</v>
      </c>
      <c r="P351" t="s">
        <v>30</v>
      </c>
      <c r="Q351" t="s">
        <v>31</v>
      </c>
      <c r="R351" s="1">
        <v>46172</v>
      </c>
      <c r="S351" t="s">
        <v>32</v>
      </c>
      <c r="T351" s="2"/>
      <c r="U351" s="2"/>
    </row>
    <row r="352" spans="1:21" ht="15.75" x14ac:dyDescent="0.25">
      <c r="A352" t="s">
        <v>20</v>
      </c>
      <c r="B352" t="s">
        <v>68</v>
      </c>
      <c r="C352" s="41" t="s">
        <v>69</v>
      </c>
      <c r="D352" s="41" t="s">
        <v>434</v>
      </c>
      <c r="E352" s="41" t="s">
        <v>48</v>
      </c>
      <c r="F352" s="41" t="s">
        <v>25</v>
      </c>
      <c r="G352" s="41" t="s">
        <v>444</v>
      </c>
      <c r="H352" s="41" t="s">
        <v>27</v>
      </c>
      <c r="I352" s="41" t="s">
        <v>65</v>
      </c>
      <c r="J352" s="41">
        <v>178</v>
      </c>
      <c r="K352" s="41" t="s">
        <v>124</v>
      </c>
      <c r="L352" s="41">
        <v>190</v>
      </c>
      <c r="M352" s="42">
        <v>1292000</v>
      </c>
      <c r="N352" s="36">
        <f t="shared" si="6"/>
        <v>6800</v>
      </c>
      <c r="O352" s="21">
        <v>1389.247311827957</v>
      </c>
      <c r="P352" t="s">
        <v>30</v>
      </c>
      <c r="Q352" t="s">
        <v>31</v>
      </c>
      <c r="R352" s="1">
        <v>46172</v>
      </c>
      <c r="S352" t="s">
        <v>32</v>
      </c>
      <c r="T352" s="2"/>
      <c r="U352" s="2"/>
    </row>
    <row r="353" spans="1:21" ht="15.75" x14ac:dyDescent="0.25">
      <c r="A353" t="s">
        <v>20</v>
      </c>
      <c r="B353" t="s">
        <v>445</v>
      </c>
      <c r="C353" s="41" t="s">
        <v>446</v>
      </c>
      <c r="D353" s="41" t="s">
        <v>434</v>
      </c>
      <c r="E353" s="41" t="s">
        <v>48</v>
      </c>
      <c r="F353" s="41" t="s">
        <v>25</v>
      </c>
      <c r="G353" s="41" t="s">
        <v>442</v>
      </c>
      <c r="H353" s="41" t="s">
        <v>27</v>
      </c>
      <c r="I353" s="41" t="s">
        <v>65</v>
      </c>
      <c r="J353" s="41">
        <v>179</v>
      </c>
      <c r="K353" s="41" t="s">
        <v>124</v>
      </c>
      <c r="L353" s="41">
        <v>1000</v>
      </c>
      <c r="M353" s="42">
        <v>2500000</v>
      </c>
      <c r="N353" s="36">
        <f t="shared" si="6"/>
        <v>2500</v>
      </c>
      <c r="O353" s="21">
        <v>2688.1720430107525</v>
      </c>
      <c r="P353" t="s">
        <v>30</v>
      </c>
      <c r="Q353" t="s">
        <v>31</v>
      </c>
      <c r="R353" s="1">
        <v>46172</v>
      </c>
      <c r="S353" t="s">
        <v>32</v>
      </c>
      <c r="T353" s="2"/>
      <c r="U353" s="2"/>
    </row>
    <row r="354" spans="1:21" ht="15.75" x14ac:dyDescent="0.25">
      <c r="A354" t="s">
        <v>20</v>
      </c>
      <c r="B354" t="s">
        <v>445</v>
      </c>
      <c r="C354" s="41" t="s">
        <v>446</v>
      </c>
      <c r="D354" s="41" t="s">
        <v>434</v>
      </c>
      <c r="E354" s="41" t="s">
        <v>48</v>
      </c>
      <c r="F354" s="41" t="s">
        <v>25</v>
      </c>
      <c r="G354" s="41" t="s">
        <v>443</v>
      </c>
      <c r="H354" s="41" t="s">
        <v>27</v>
      </c>
      <c r="I354" s="41" t="s">
        <v>65</v>
      </c>
      <c r="J354" s="41">
        <v>179</v>
      </c>
      <c r="K354" s="41" t="s">
        <v>124</v>
      </c>
      <c r="L354" s="41">
        <v>150</v>
      </c>
      <c r="M354" s="42">
        <v>375000</v>
      </c>
      <c r="N354" s="36">
        <f t="shared" si="6"/>
        <v>2500</v>
      </c>
      <c r="O354" s="21">
        <v>403.22580645161293</v>
      </c>
      <c r="P354" t="s">
        <v>30</v>
      </c>
      <c r="Q354" t="s">
        <v>31</v>
      </c>
      <c r="R354" s="1">
        <v>46172</v>
      </c>
      <c r="S354" t="s">
        <v>32</v>
      </c>
      <c r="T354" s="2"/>
      <c r="U354" s="2"/>
    </row>
    <row r="355" spans="1:21" ht="15.75" x14ac:dyDescent="0.25">
      <c r="A355" t="s">
        <v>20</v>
      </c>
      <c r="B355" t="s">
        <v>445</v>
      </c>
      <c r="C355" s="41" t="s">
        <v>446</v>
      </c>
      <c r="D355" s="41" t="s">
        <v>434</v>
      </c>
      <c r="E355" s="41" t="s">
        <v>48</v>
      </c>
      <c r="F355" s="41" t="s">
        <v>25</v>
      </c>
      <c r="G355" s="41" t="s">
        <v>444</v>
      </c>
      <c r="H355" s="41" t="s">
        <v>27</v>
      </c>
      <c r="I355" s="41" t="s">
        <v>65</v>
      </c>
      <c r="J355" s="41">
        <v>179</v>
      </c>
      <c r="K355" s="41" t="s">
        <v>124</v>
      </c>
      <c r="L355" s="41">
        <v>180</v>
      </c>
      <c r="M355" s="42">
        <v>1224000</v>
      </c>
      <c r="N355" s="36">
        <f t="shared" si="6"/>
        <v>6800</v>
      </c>
      <c r="O355" s="21">
        <v>1316.1290322580646</v>
      </c>
      <c r="P355" t="s">
        <v>30</v>
      </c>
      <c r="Q355" t="s">
        <v>31</v>
      </c>
      <c r="R355" s="1">
        <v>46172</v>
      </c>
      <c r="S355" t="s">
        <v>32</v>
      </c>
      <c r="T355" s="2"/>
      <c r="U355" s="2"/>
    </row>
    <row r="356" spans="1:21" ht="15.75" x14ac:dyDescent="0.25">
      <c r="A356" t="s">
        <v>20</v>
      </c>
      <c r="B356" t="s">
        <v>447</v>
      </c>
      <c r="C356" s="41" t="s">
        <v>448</v>
      </c>
      <c r="D356" s="41" t="s">
        <v>449</v>
      </c>
      <c r="E356" s="41" t="s">
        <v>48</v>
      </c>
      <c r="F356" s="41" t="s">
        <v>25</v>
      </c>
      <c r="G356" s="41" t="s">
        <v>245</v>
      </c>
      <c r="H356" s="41" t="s">
        <v>27</v>
      </c>
      <c r="I356" s="41" t="s">
        <v>28</v>
      </c>
      <c r="J356" s="41">
        <v>476</v>
      </c>
      <c r="K356" s="41" t="s">
        <v>124</v>
      </c>
      <c r="L356" s="41">
        <v>60</v>
      </c>
      <c r="M356" s="42">
        <v>450000</v>
      </c>
      <c r="N356" s="36">
        <f t="shared" si="6"/>
        <v>7500</v>
      </c>
      <c r="O356" s="21">
        <v>483.87096774193549</v>
      </c>
      <c r="P356" t="s">
        <v>30</v>
      </c>
      <c r="Q356" t="s">
        <v>31</v>
      </c>
      <c r="R356" s="1">
        <v>46050</v>
      </c>
      <c r="S356" t="s">
        <v>32</v>
      </c>
      <c r="T356" s="2"/>
      <c r="U356" s="2"/>
    </row>
    <row r="357" spans="1:21" ht="15.75" x14ac:dyDescent="0.25">
      <c r="A357" t="s">
        <v>20</v>
      </c>
      <c r="B357" t="s">
        <v>348</v>
      </c>
      <c r="C357" t="s">
        <v>349</v>
      </c>
      <c r="D357" t="s">
        <v>450</v>
      </c>
      <c r="E357" t="s">
        <v>48</v>
      </c>
      <c r="F357" t="s">
        <v>59</v>
      </c>
      <c r="G357" t="s">
        <v>435</v>
      </c>
      <c r="H357" t="s">
        <v>57</v>
      </c>
      <c r="I357" t="s">
        <v>28</v>
      </c>
      <c r="J357">
        <v>477</v>
      </c>
      <c r="K357" t="s">
        <v>124</v>
      </c>
      <c r="L357">
        <v>2</v>
      </c>
      <c r="M357" s="28">
        <v>12450</v>
      </c>
      <c r="N357" s="36">
        <f t="shared" si="6"/>
        <v>6225</v>
      </c>
      <c r="O357" s="21">
        <v>13.387096774193548</v>
      </c>
      <c r="P357" t="s">
        <v>30</v>
      </c>
      <c r="Q357" t="s">
        <v>31</v>
      </c>
      <c r="R357" s="1">
        <v>46203</v>
      </c>
      <c r="S357" t="s">
        <v>32</v>
      </c>
      <c r="T357" s="2"/>
      <c r="U357" s="2"/>
    </row>
    <row r="358" spans="1:21" ht="15.75" x14ac:dyDescent="0.25">
      <c r="A358" t="s">
        <v>20</v>
      </c>
      <c r="B358" t="s">
        <v>348</v>
      </c>
      <c r="C358" t="s">
        <v>349</v>
      </c>
      <c r="D358" t="s">
        <v>450</v>
      </c>
      <c r="E358" t="s">
        <v>48</v>
      </c>
      <c r="F358" t="s">
        <v>59</v>
      </c>
      <c r="G358" t="s">
        <v>310</v>
      </c>
      <c r="H358" t="s">
        <v>57</v>
      </c>
      <c r="I358" t="s">
        <v>28</v>
      </c>
      <c r="J358">
        <v>477</v>
      </c>
      <c r="K358" t="s">
        <v>124</v>
      </c>
      <c r="L358">
        <v>2</v>
      </c>
      <c r="M358" s="28">
        <v>12450</v>
      </c>
      <c r="N358" s="36">
        <f t="shared" si="6"/>
        <v>6225</v>
      </c>
      <c r="O358" s="21">
        <v>13.387096774193548</v>
      </c>
      <c r="P358" t="s">
        <v>30</v>
      </c>
      <c r="Q358" t="s">
        <v>31</v>
      </c>
      <c r="R358" s="1">
        <v>46203</v>
      </c>
      <c r="S358" t="s">
        <v>32</v>
      </c>
      <c r="T358" s="2"/>
      <c r="U358" s="2"/>
    </row>
    <row r="359" spans="1:21" ht="15.75" x14ac:dyDescent="0.25">
      <c r="A359" t="s">
        <v>20</v>
      </c>
      <c r="B359" t="s">
        <v>348</v>
      </c>
      <c r="C359" t="s">
        <v>349</v>
      </c>
      <c r="D359" t="s">
        <v>450</v>
      </c>
      <c r="E359" t="s">
        <v>48</v>
      </c>
      <c r="F359" t="s">
        <v>59</v>
      </c>
      <c r="G359" t="s">
        <v>309</v>
      </c>
      <c r="H359" t="s">
        <v>57</v>
      </c>
      <c r="I359" t="s">
        <v>28</v>
      </c>
      <c r="J359">
        <v>477</v>
      </c>
      <c r="K359" t="s">
        <v>124</v>
      </c>
      <c r="L359">
        <v>5</v>
      </c>
      <c r="M359" s="28">
        <v>23625</v>
      </c>
      <c r="N359" s="36">
        <f t="shared" si="6"/>
        <v>4725</v>
      </c>
      <c r="O359" s="21">
        <v>25.403225806451612</v>
      </c>
      <c r="P359" t="s">
        <v>30</v>
      </c>
      <c r="Q359" t="s">
        <v>31</v>
      </c>
      <c r="R359" s="1">
        <v>46203</v>
      </c>
      <c r="S359" t="s">
        <v>32</v>
      </c>
      <c r="T359" s="2"/>
      <c r="U359" s="2"/>
    </row>
    <row r="360" spans="1:21" ht="15.75" x14ac:dyDescent="0.25">
      <c r="A360" t="s">
        <v>20</v>
      </c>
      <c r="B360" t="s">
        <v>348</v>
      </c>
      <c r="C360" t="s">
        <v>349</v>
      </c>
      <c r="D360" t="s">
        <v>450</v>
      </c>
      <c r="E360" t="s">
        <v>48</v>
      </c>
      <c r="F360" t="s">
        <v>59</v>
      </c>
      <c r="G360" t="s">
        <v>296</v>
      </c>
      <c r="H360" t="s">
        <v>57</v>
      </c>
      <c r="I360" t="s">
        <v>28</v>
      </c>
      <c r="J360">
        <v>477</v>
      </c>
      <c r="K360" t="s">
        <v>124</v>
      </c>
      <c r="L360">
        <v>10</v>
      </c>
      <c r="M360" s="28">
        <v>47250</v>
      </c>
      <c r="N360" s="36">
        <f t="shared" si="6"/>
        <v>4725</v>
      </c>
      <c r="O360" s="21">
        <v>50.806451612903224</v>
      </c>
      <c r="P360" t="s">
        <v>30</v>
      </c>
      <c r="Q360" t="s">
        <v>31</v>
      </c>
      <c r="R360" s="1">
        <v>46203</v>
      </c>
      <c r="S360" t="s">
        <v>32</v>
      </c>
      <c r="T360" s="2"/>
      <c r="U360" s="2"/>
    </row>
    <row r="361" spans="1:21" ht="15.75" x14ac:dyDescent="0.25">
      <c r="A361" t="s">
        <v>20</v>
      </c>
      <c r="B361" t="s">
        <v>348</v>
      </c>
      <c r="C361" t="s">
        <v>349</v>
      </c>
      <c r="D361" t="s">
        <v>450</v>
      </c>
      <c r="E361" t="s">
        <v>48</v>
      </c>
      <c r="F361" t="s">
        <v>59</v>
      </c>
      <c r="G361" t="s">
        <v>451</v>
      </c>
      <c r="H361" t="s">
        <v>57</v>
      </c>
      <c r="I361" t="s">
        <v>28</v>
      </c>
      <c r="J361">
        <v>477</v>
      </c>
      <c r="K361" t="s">
        <v>124</v>
      </c>
      <c r="L361">
        <v>3</v>
      </c>
      <c r="M361" s="28">
        <v>20640</v>
      </c>
      <c r="N361" s="36">
        <f t="shared" si="6"/>
        <v>6880</v>
      </c>
      <c r="O361" s="21">
        <v>22.193548387096776</v>
      </c>
      <c r="P361" t="s">
        <v>30</v>
      </c>
      <c r="Q361" t="s">
        <v>31</v>
      </c>
      <c r="R361" s="1">
        <v>46203</v>
      </c>
      <c r="S361" t="s">
        <v>32</v>
      </c>
      <c r="T361" s="2"/>
      <c r="U361" s="2"/>
    </row>
    <row r="362" spans="1:21" ht="15.75" x14ac:dyDescent="0.25">
      <c r="A362" t="s">
        <v>20</v>
      </c>
      <c r="B362" t="s">
        <v>348</v>
      </c>
      <c r="C362" t="s">
        <v>349</v>
      </c>
      <c r="D362" t="s">
        <v>450</v>
      </c>
      <c r="E362" t="s">
        <v>48</v>
      </c>
      <c r="F362" t="s">
        <v>59</v>
      </c>
      <c r="G362" t="s">
        <v>452</v>
      </c>
      <c r="H362" t="s">
        <v>57</v>
      </c>
      <c r="I362" t="s">
        <v>28</v>
      </c>
      <c r="J362">
        <v>477</v>
      </c>
      <c r="K362" t="s">
        <v>124</v>
      </c>
      <c r="L362">
        <v>10</v>
      </c>
      <c r="M362" s="28">
        <v>50400</v>
      </c>
      <c r="N362" s="36">
        <f t="shared" si="6"/>
        <v>5040</v>
      </c>
      <c r="O362" s="21">
        <v>54.193548387096776</v>
      </c>
      <c r="P362" t="s">
        <v>30</v>
      </c>
      <c r="Q362" t="s">
        <v>31</v>
      </c>
      <c r="R362" s="1">
        <v>46203</v>
      </c>
      <c r="S362" t="s">
        <v>32</v>
      </c>
      <c r="T362" s="2"/>
      <c r="U362" s="2"/>
    </row>
    <row r="363" spans="1:21" ht="15.75" x14ac:dyDescent="0.25">
      <c r="A363" t="s">
        <v>20</v>
      </c>
      <c r="B363" t="s">
        <v>348</v>
      </c>
      <c r="C363" t="s">
        <v>349</v>
      </c>
      <c r="D363" t="s">
        <v>450</v>
      </c>
      <c r="E363" t="s">
        <v>48</v>
      </c>
      <c r="F363" t="s">
        <v>59</v>
      </c>
      <c r="G363" t="s">
        <v>438</v>
      </c>
      <c r="H363" t="s">
        <v>57</v>
      </c>
      <c r="I363" t="s">
        <v>28</v>
      </c>
      <c r="J363">
        <v>477</v>
      </c>
      <c r="K363" t="s">
        <v>124</v>
      </c>
      <c r="L363">
        <v>6</v>
      </c>
      <c r="M363" s="28">
        <v>58500</v>
      </c>
      <c r="N363" s="36">
        <f t="shared" si="6"/>
        <v>9750</v>
      </c>
      <c r="O363" s="21">
        <v>62.903225806451616</v>
      </c>
      <c r="P363" t="s">
        <v>30</v>
      </c>
      <c r="Q363" t="s">
        <v>31</v>
      </c>
      <c r="R363" s="1">
        <v>46203</v>
      </c>
      <c r="S363" t="s">
        <v>32</v>
      </c>
      <c r="T363" s="2"/>
      <c r="U363" s="2"/>
    </row>
    <row r="364" spans="1:21" ht="15.75" x14ac:dyDescent="0.25">
      <c r="A364" t="s">
        <v>20</v>
      </c>
      <c r="B364" t="s">
        <v>348</v>
      </c>
      <c r="C364" t="s">
        <v>349</v>
      </c>
      <c r="D364" t="s">
        <v>450</v>
      </c>
      <c r="E364" t="s">
        <v>48</v>
      </c>
      <c r="F364" t="s">
        <v>59</v>
      </c>
      <c r="G364" t="s">
        <v>439</v>
      </c>
      <c r="H364" t="s">
        <v>57</v>
      </c>
      <c r="I364" t="s">
        <v>28</v>
      </c>
      <c r="J364">
        <v>477</v>
      </c>
      <c r="K364" t="s">
        <v>124</v>
      </c>
      <c r="L364">
        <v>15</v>
      </c>
      <c r="M364" s="28">
        <v>101250</v>
      </c>
      <c r="N364" s="36">
        <f t="shared" si="6"/>
        <v>6750</v>
      </c>
      <c r="O364" s="21">
        <v>108.87096774193549</v>
      </c>
      <c r="P364" t="s">
        <v>30</v>
      </c>
      <c r="Q364" t="s">
        <v>31</v>
      </c>
      <c r="R364" s="1">
        <v>46203</v>
      </c>
      <c r="S364" t="s">
        <v>32</v>
      </c>
      <c r="T364" s="2"/>
      <c r="U364" s="2"/>
    </row>
    <row r="365" spans="1:21" ht="15.75" x14ac:dyDescent="0.25">
      <c r="A365" t="s">
        <v>20</v>
      </c>
      <c r="B365" t="s">
        <v>348</v>
      </c>
      <c r="C365" t="s">
        <v>349</v>
      </c>
      <c r="D365" t="s">
        <v>450</v>
      </c>
      <c r="E365" t="s">
        <v>48</v>
      </c>
      <c r="F365" t="s">
        <v>59</v>
      </c>
      <c r="G365" t="s">
        <v>379</v>
      </c>
      <c r="H365" t="s">
        <v>57</v>
      </c>
      <c r="I365" t="s">
        <v>28</v>
      </c>
      <c r="J365">
        <v>477</v>
      </c>
      <c r="K365" t="s">
        <v>124</v>
      </c>
      <c r="L365">
        <v>4</v>
      </c>
      <c r="M365" s="28">
        <v>36600</v>
      </c>
      <c r="N365" s="36">
        <f t="shared" si="6"/>
        <v>9150</v>
      </c>
      <c r="O365" s="21">
        <v>39.354838709677416</v>
      </c>
      <c r="P365" t="s">
        <v>30</v>
      </c>
      <c r="Q365" t="s">
        <v>31</v>
      </c>
      <c r="R365" s="1">
        <v>46203</v>
      </c>
      <c r="S365" t="s">
        <v>32</v>
      </c>
      <c r="T365" s="2"/>
      <c r="U365" s="2"/>
    </row>
    <row r="366" spans="1:21" ht="15.75" x14ac:dyDescent="0.25">
      <c r="A366" t="s">
        <v>20</v>
      </c>
      <c r="B366" t="s">
        <v>348</v>
      </c>
      <c r="C366" t="s">
        <v>349</v>
      </c>
      <c r="D366" t="s">
        <v>450</v>
      </c>
      <c r="E366" t="s">
        <v>48</v>
      </c>
      <c r="F366" t="s">
        <v>59</v>
      </c>
      <c r="G366" t="s">
        <v>297</v>
      </c>
      <c r="H366" t="s">
        <v>57</v>
      </c>
      <c r="I366" t="s">
        <v>28</v>
      </c>
      <c r="J366">
        <v>477</v>
      </c>
      <c r="K366" t="s">
        <v>124</v>
      </c>
      <c r="L366">
        <v>5</v>
      </c>
      <c r="M366" s="28">
        <v>43125</v>
      </c>
      <c r="N366" s="36">
        <f t="shared" si="6"/>
        <v>8625</v>
      </c>
      <c r="O366" s="21">
        <v>46.37096774193548</v>
      </c>
      <c r="P366" t="s">
        <v>30</v>
      </c>
      <c r="Q366" t="s">
        <v>31</v>
      </c>
      <c r="R366" s="1">
        <v>46203</v>
      </c>
      <c r="S366" t="s">
        <v>32</v>
      </c>
      <c r="T366" s="2"/>
      <c r="U366" s="2"/>
    </row>
    <row r="367" spans="1:21" ht="15.75" x14ac:dyDescent="0.25">
      <c r="A367" t="s">
        <v>20</v>
      </c>
      <c r="B367" t="s">
        <v>348</v>
      </c>
      <c r="C367" t="s">
        <v>349</v>
      </c>
      <c r="D367" t="s">
        <v>450</v>
      </c>
      <c r="E367" t="s">
        <v>48</v>
      </c>
      <c r="F367" t="s">
        <v>59</v>
      </c>
      <c r="G367" t="s">
        <v>429</v>
      </c>
      <c r="H367" t="s">
        <v>57</v>
      </c>
      <c r="I367" t="s">
        <v>28</v>
      </c>
      <c r="J367">
        <v>477</v>
      </c>
      <c r="K367" t="s">
        <v>124</v>
      </c>
      <c r="L367">
        <v>1</v>
      </c>
      <c r="M367" s="28">
        <v>9375</v>
      </c>
      <c r="N367" s="36">
        <f t="shared" si="6"/>
        <v>9375</v>
      </c>
      <c r="O367" s="21">
        <v>10.080645161290322</v>
      </c>
      <c r="P367" t="s">
        <v>30</v>
      </c>
      <c r="Q367" t="s">
        <v>31</v>
      </c>
      <c r="R367" s="1">
        <v>46203</v>
      </c>
      <c r="S367" t="s">
        <v>32</v>
      </c>
      <c r="T367" s="2"/>
      <c r="U367" s="2"/>
    </row>
    <row r="368" spans="1:21" ht="15.75" x14ac:dyDescent="0.25">
      <c r="A368" t="s">
        <v>20</v>
      </c>
      <c r="B368" t="s">
        <v>348</v>
      </c>
      <c r="C368" t="s">
        <v>349</v>
      </c>
      <c r="D368" t="s">
        <v>450</v>
      </c>
      <c r="E368" t="s">
        <v>48</v>
      </c>
      <c r="F368" t="s">
        <v>59</v>
      </c>
      <c r="G368" t="s">
        <v>328</v>
      </c>
      <c r="H368" t="s">
        <v>57</v>
      </c>
      <c r="I368" t="s">
        <v>28</v>
      </c>
      <c r="J368">
        <v>477</v>
      </c>
      <c r="K368" t="s">
        <v>124</v>
      </c>
      <c r="L368">
        <v>5</v>
      </c>
      <c r="M368" s="28">
        <v>43125</v>
      </c>
      <c r="N368" s="36">
        <f t="shared" si="6"/>
        <v>8625</v>
      </c>
      <c r="O368" s="21">
        <v>46.37096774193548</v>
      </c>
      <c r="P368" t="s">
        <v>30</v>
      </c>
      <c r="Q368" t="s">
        <v>31</v>
      </c>
      <c r="R368" s="1">
        <v>46203</v>
      </c>
      <c r="S368" t="s">
        <v>32</v>
      </c>
      <c r="T368" s="2"/>
      <c r="U368" s="2"/>
    </row>
    <row r="369" spans="1:21" ht="15.75" x14ac:dyDescent="0.25">
      <c r="A369" t="s">
        <v>20</v>
      </c>
      <c r="B369" t="s">
        <v>348</v>
      </c>
      <c r="C369" t="s">
        <v>349</v>
      </c>
      <c r="D369" t="s">
        <v>450</v>
      </c>
      <c r="E369" t="s">
        <v>48</v>
      </c>
      <c r="F369" t="s">
        <v>59</v>
      </c>
      <c r="G369" t="s">
        <v>288</v>
      </c>
      <c r="H369" t="s">
        <v>57</v>
      </c>
      <c r="I369" t="s">
        <v>28</v>
      </c>
      <c r="J369">
        <v>477</v>
      </c>
      <c r="K369" t="s">
        <v>124</v>
      </c>
      <c r="L369">
        <v>2</v>
      </c>
      <c r="M369" s="28">
        <v>32850</v>
      </c>
      <c r="N369" s="36">
        <f t="shared" si="6"/>
        <v>16425</v>
      </c>
      <c r="O369" s="21">
        <v>35.322580645161288</v>
      </c>
      <c r="P369" t="s">
        <v>30</v>
      </c>
      <c r="Q369" t="s">
        <v>31</v>
      </c>
      <c r="R369" s="1">
        <v>46203</v>
      </c>
      <c r="S369" t="s">
        <v>32</v>
      </c>
      <c r="T369" s="2"/>
      <c r="U369" s="2"/>
    </row>
    <row r="370" spans="1:21" ht="15.75" x14ac:dyDescent="0.25">
      <c r="A370" t="s">
        <v>20</v>
      </c>
      <c r="B370" t="s">
        <v>348</v>
      </c>
      <c r="C370" t="s">
        <v>349</v>
      </c>
      <c r="D370" t="s">
        <v>450</v>
      </c>
      <c r="E370" t="s">
        <v>48</v>
      </c>
      <c r="F370" t="s">
        <v>59</v>
      </c>
      <c r="G370" t="s">
        <v>409</v>
      </c>
      <c r="H370" t="s">
        <v>57</v>
      </c>
      <c r="I370" t="s">
        <v>28</v>
      </c>
      <c r="J370">
        <v>477</v>
      </c>
      <c r="K370" t="s">
        <v>124</v>
      </c>
      <c r="L370">
        <v>10</v>
      </c>
      <c r="M370" s="28">
        <v>141750</v>
      </c>
      <c r="N370" s="36">
        <f t="shared" si="6"/>
        <v>14175</v>
      </c>
      <c r="O370" s="21">
        <v>152.41935483870967</v>
      </c>
      <c r="P370" t="s">
        <v>30</v>
      </c>
      <c r="Q370" t="s">
        <v>31</v>
      </c>
      <c r="R370" s="1">
        <v>46203</v>
      </c>
      <c r="S370" t="s">
        <v>32</v>
      </c>
      <c r="T370" s="2"/>
      <c r="U370" s="2"/>
    </row>
    <row r="371" spans="1:21" ht="15.75" x14ac:dyDescent="0.25">
      <c r="A371" t="s">
        <v>20</v>
      </c>
      <c r="B371" t="s">
        <v>348</v>
      </c>
      <c r="C371" t="s">
        <v>349</v>
      </c>
      <c r="D371" t="s">
        <v>450</v>
      </c>
      <c r="E371" t="s">
        <v>48</v>
      </c>
      <c r="F371" t="s">
        <v>59</v>
      </c>
      <c r="G371" t="s">
        <v>290</v>
      </c>
      <c r="H371" t="s">
        <v>57</v>
      </c>
      <c r="I371" t="s">
        <v>28</v>
      </c>
      <c r="J371">
        <v>477</v>
      </c>
      <c r="K371" t="s">
        <v>124</v>
      </c>
      <c r="L371">
        <v>140</v>
      </c>
      <c r="M371" s="28">
        <v>619500</v>
      </c>
      <c r="N371" s="36">
        <f t="shared" si="6"/>
        <v>4425</v>
      </c>
      <c r="O371" s="21">
        <v>666.12903225806451</v>
      </c>
      <c r="P371" t="s">
        <v>30</v>
      </c>
      <c r="Q371" t="s">
        <v>31</v>
      </c>
      <c r="R371" s="1">
        <v>46203</v>
      </c>
      <c r="S371" t="s">
        <v>32</v>
      </c>
      <c r="T371" s="2"/>
      <c r="U371" s="2"/>
    </row>
    <row r="372" spans="1:21" ht="15.75" x14ac:dyDescent="0.25">
      <c r="A372" t="s">
        <v>20</v>
      </c>
      <c r="B372" t="s">
        <v>447</v>
      </c>
      <c r="C372" s="41" t="s">
        <v>448</v>
      </c>
      <c r="D372" s="41" t="s">
        <v>450</v>
      </c>
      <c r="E372" s="41" t="s">
        <v>48</v>
      </c>
      <c r="F372" s="41" t="s">
        <v>25</v>
      </c>
      <c r="G372" s="41" t="s">
        <v>245</v>
      </c>
      <c r="H372" s="41" t="s">
        <v>27</v>
      </c>
      <c r="I372" s="41" t="s">
        <v>28</v>
      </c>
      <c r="J372" s="41">
        <v>478</v>
      </c>
      <c r="K372" s="41" t="s">
        <v>124</v>
      </c>
      <c r="L372" s="41">
        <v>20</v>
      </c>
      <c r="M372" s="42">
        <v>150000</v>
      </c>
      <c r="N372" s="36">
        <f t="shared" si="6"/>
        <v>7500</v>
      </c>
      <c r="O372" s="21">
        <v>161.29032258064515</v>
      </c>
      <c r="P372" t="s">
        <v>30</v>
      </c>
      <c r="Q372" t="s">
        <v>31</v>
      </c>
      <c r="R372" s="1">
        <v>46051</v>
      </c>
      <c r="S372" t="s">
        <v>32</v>
      </c>
      <c r="T372" s="2"/>
      <c r="U372" s="2"/>
    </row>
    <row r="373" spans="1:21" ht="15.75" x14ac:dyDescent="0.25">
      <c r="A373" t="s">
        <v>20</v>
      </c>
      <c r="B373" t="s">
        <v>109</v>
      </c>
      <c r="C373" t="s">
        <v>110</v>
      </c>
      <c r="D373" t="s">
        <v>450</v>
      </c>
      <c r="E373" t="s">
        <v>48</v>
      </c>
      <c r="F373" t="s">
        <v>59</v>
      </c>
      <c r="G373" t="s">
        <v>310</v>
      </c>
      <c r="H373" t="s">
        <v>57</v>
      </c>
      <c r="I373" t="s">
        <v>28</v>
      </c>
      <c r="J373">
        <v>479</v>
      </c>
      <c r="K373" t="s">
        <v>124</v>
      </c>
      <c r="L373">
        <v>24</v>
      </c>
      <c r="M373" s="28">
        <v>116400</v>
      </c>
      <c r="N373" s="36">
        <f t="shared" si="6"/>
        <v>4850</v>
      </c>
      <c r="O373" s="21">
        <v>125.16129032258064</v>
      </c>
      <c r="P373" t="s">
        <v>30</v>
      </c>
      <c r="Q373" t="s">
        <v>31</v>
      </c>
      <c r="R373" s="1">
        <v>46142</v>
      </c>
      <c r="S373" t="s">
        <v>32</v>
      </c>
      <c r="T373" s="2"/>
      <c r="U373" s="2"/>
    </row>
    <row r="374" spans="1:21" ht="15.75" x14ac:dyDescent="0.25">
      <c r="A374" t="s">
        <v>20</v>
      </c>
      <c r="B374" t="s">
        <v>109</v>
      </c>
      <c r="C374" t="s">
        <v>110</v>
      </c>
      <c r="D374" t="s">
        <v>450</v>
      </c>
      <c r="E374" t="s">
        <v>48</v>
      </c>
      <c r="F374" t="s">
        <v>59</v>
      </c>
      <c r="G374" t="s">
        <v>453</v>
      </c>
      <c r="H374" t="s">
        <v>57</v>
      </c>
      <c r="I374" t="s">
        <v>28</v>
      </c>
      <c r="J374">
        <v>479</v>
      </c>
      <c r="K374" t="s">
        <v>124</v>
      </c>
      <c r="L374">
        <v>24</v>
      </c>
      <c r="M374" s="28">
        <v>135120</v>
      </c>
      <c r="N374" s="36">
        <f t="shared" si="6"/>
        <v>5630</v>
      </c>
      <c r="O374" s="21">
        <v>145.29032258064515</v>
      </c>
      <c r="P374" t="s">
        <v>30</v>
      </c>
      <c r="Q374" t="s">
        <v>31</v>
      </c>
      <c r="R374" s="1">
        <v>46142</v>
      </c>
      <c r="S374" t="s">
        <v>32</v>
      </c>
      <c r="T374" s="2"/>
      <c r="U374" s="2"/>
    </row>
    <row r="375" spans="1:21" ht="15.75" x14ac:dyDescent="0.25">
      <c r="A375" t="s">
        <v>20</v>
      </c>
      <c r="B375" t="s">
        <v>109</v>
      </c>
      <c r="C375" t="s">
        <v>110</v>
      </c>
      <c r="D375" t="s">
        <v>450</v>
      </c>
      <c r="E375" t="s">
        <v>48</v>
      </c>
      <c r="F375" t="s">
        <v>59</v>
      </c>
      <c r="G375" t="s">
        <v>454</v>
      </c>
      <c r="H375" t="s">
        <v>57</v>
      </c>
      <c r="I375" t="s">
        <v>28</v>
      </c>
      <c r="J375">
        <v>479</v>
      </c>
      <c r="K375" t="s">
        <v>124</v>
      </c>
      <c r="L375">
        <v>12</v>
      </c>
      <c r="M375" s="28">
        <v>41568</v>
      </c>
      <c r="N375" s="36">
        <f t="shared" si="6"/>
        <v>3464</v>
      </c>
      <c r="O375" s="21">
        <v>44.696774193548386</v>
      </c>
      <c r="P375" t="s">
        <v>30</v>
      </c>
      <c r="Q375" t="s">
        <v>31</v>
      </c>
      <c r="R375" s="1">
        <v>46142</v>
      </c>
      <c r="S375" t="s">
        <v>32</v>
      </c>
      <c r="T375" s="2"/>
      <c r="U375" s="2"/>
    </row>
    <row r="376" spans="1:21" ht="15.75" x14ac:dyDescent="0.25">
      <c r="A376" t="s">
        <v>20</v>
      </c>
      <c r="B376" t="s">
        <v>109</v>
      </c>
      <c r="C376" t="s">
        <v>110</v>
      </c>
      <c r="D376" t="s">
        <v>450</v>
      </c>
      <c r="E376" t="s">
        <v>48</v>
      </c>
      <c r="F376" t="s">
        <v>59</v>
      </c>
      <c r="G376" t="s">
        <v>455</v>
      </c>
      <c r="H376" t="s">
        <v>57</v>
      </c>
      <c r="I376" t="s">
        <v>28</v>
      </c>
      <c r="J376">
        <v>479</v>
      </c>
      <c r="K376" t="s">
        <v>124</v>
      </c>
      <c r="L376">
        <v>24</v>
      </c>
      <c r="M376" s="28">
        <v>123672</v>
      </c>
      <c r="N376" s="36">
        <f t="shared" si="6"/>
        <v>5153</v>
      </c>
      <c r="O376" s="21">
        <v>132.98064516129031</v>
      </c>
      <c r="P376" t="s">
        <v>30</v>
      </c>
      <c r="Q376" t="s">
        <v>31</v>
      </c>
      <c r="R376" s="1">
        <v>46142</v>
      </c>
      <c r="S376" t="s">
        <v>32</v>
      </c>
      <c r="T376" s="2"/>
      <c r="U376" s="2"/>
    </row>
    <row r="377" spans="1:21" ht="15.75" x14ac:dyDescent="0.25">
      <c r="A377" t="s">
        <v>20</v>
      </c>
      <c r="B377" t="s">
        <v>109</v>
      </c>
      <c r="C377" t="s">
        <v>110</v>
      </c>
      <c r="D377" t="s">
        <v>450</v>
      </c>
      <c r="E377" t="s">
        <v>48</v>
      </c>
      <c r="F377" t="s">
        <v>59</v>
      </c>
      <c r="G377" t="s">
        <v>321</v>
      </c>
      <c r="H377" t="s">
        <v>57</v>
      </c>
      <c r="I377" t="s">
        <v>28</v>
      </c>
      <c r="J377">
        <v>480</v>
      </c>
      <c r="K377" t="s">
        <v>124</v>
      </c>
      <c r="L377">
        <v>10</v>
      </c>
      <c r="M377" s="28">
        <v>60550</v>
      </c>
      <c r="N377" s="36">
        <f t="shared" si="6"/>
        <v>6055</v>
      </c>
      <c r="O377" s="21">
        <v>65.107526881720432</v>
      </c>
      <c r="P377" t="s">
        <v>30</v>
      </c>
      <c r="Q377" t="s">
        <v>31</v>
      </c>
      <c r="R377" s="1">
        <v>46111</v>
      </c>
      <c r="S377" t="s">
        <v>32</v>
      </c>
      <c r="T377" s="2"/>
      <c r="U377" s="2"/>
    </row>
    <row r="378" spans="1:21" ht="15.75" x14ac:dyDescent="0.25">
      <c r="A378" t="s">
        <v>20</v>
      </c>
      <c r="B378" t="s">
        <v>177</v>
      </c>
      <c r="C378" t="s">
        <v>178</v>
      </c>
      <c r="D378" t="s">
        <v>450</v>
      </c>
      <c r="E378" t="s">
        <v>41</v>
      </c>
      <c r="F378" t="s">
        <v>37</v>
      </c>
      <c r="G378" t="s">
        <v>383</v>
      </c>
      <c r="H378" t="s">
        <v>57</v>
      </c>
      <c r="I378" t="s">
        <v>28</v>
      </c>
      <c r="J378">
        <v>481</v>
      </c>
      <c r="K378" t="s">
        <v>124</v>
      </c>
      <c r="L378">
        <v>20</v>
      </c>
      <c r="M378" s="28">
        <v>0</v>
      </c>
      <c r="N378" s="36">
        <f t="shared" si="6"/>
        <v>0</v>
      </c>
      <c r="O378" s="21">
        <v>118.27956989247312</v>
      </c>
      <c r="P378" t="s">
        <v>30</v>
      </c>
      <c r="Q378" t="s">
        <v>31</v>
      </c>
      <c r="R378" s="1">
        <v>46082</v>
      </c>
      <c r="S378" t="s">
        <v>32</v>
      </c>
      <c r="T378" s="2"/>
      <c r="U378" s="2"/>
    </row>
    <row r="379" spans="1:21" ht="15.75" x14ac:dyDescent="0.25">
      <c r="A379" t="s">
        <v>20</v>
      </c>
      <c r="B379" t="s">
        <v>177</v>
      </c>
      <c r="C379" t="s">
        <v>178</v>
      </c>
      <c r="D379" t="s">
        <v>450</v>
      </c>
      <c r="E379" t="s">
        <v>41</v>
      </c>
      <c r="F379" t="s">
        <v>37</v>
      </c>
      <c r="G379" t="s">
        <v>456</v>
      </c>
      <c r="H379" t="s">
        <v>57</v>
      </c>
      <c r="I379" t="s">
        <v>28</v>
      </c>
      <c r="J379">
        <v>481</v>
      </c>
      <c r="K379" t="s">
        <v>124</v>
      </c>
      <c r="L379">
        <v>10</v>
      </c>
      <c r="M379" s="28">
        <v>0</v>
      </c>
      <c r="N379" s="36">
        <f t="shared" si="6"/>
        <v>0</v>
      </c>
      <c r="O379" s="21">
        <v>59.13978494623656</v>
      </c>
      <c r="P379" t="s">
        <v>30</v>
      </c>
      <c r="Q379" t="s">
        <v>31</v>
      </c>
      <c r="R379" s="1">
        <v>46082</v>
      </c>
      <c r="S379" t="s">
        <v>32</v>
      </c>
      <c r="T379" s="2"/>
      <c r="U379" s="2"/>
    </row>
    <row r="380" spans="1:21" ht="15.75" x14ac:dyDescent="0.25">
      <c r="A380" t="s">
        <v>20</v>
      </c>
      <c r="B380" t="s">
        <v>62</v>
      </c>
      <c r="C380" s="41" t="s">
        <v>63</v>
      </c>
      <c r="D380" s="41" t="s">
        <v>450</v>
      </c>
      <c r="E380" s="41" t="s">
        <v>54</v>
      </c>
      <c r="F380" s="41" t="s">
        <v>25</v>
      </c>
      <c r="G380" s="41" t="s">
        <v>243</v>
      </c>
      <c r="H380" s="41" t="s">
        <v>27</v>
      </c>
      <c r="I380" s="41" t="s">
        <v>65</v>
      </c>
      <c r="J380" s="41">
        <v>181</v>
      </c>
      <c r="K380" s="41" t="s">
        <v>124</v>
      </c>
      <c r="L380" s="41">
        <v>40</v>
      </c>
      <c r="M380" s="42">
        <v>424000</v>
      </c>
      <c r="N380" s="36">
        <f t="shared" si="6"/>
        <v>10600</v>
      </c>
      <c r="O380" s="21">
        <v>455.91397849462368</v>
      </c>
      <c r="P380" t="s">
        <v>30</v>
      </c>
      <c r="Q380" t="s">
        <v>31</v>
      </c>
      <c r="R380" s="1">
        <v>46172</v>
      </c>
      <c r="S380" t="s">
        <v>32</v>
      </c>
      <c r="T380" s="2"/>
      <c r="U380" s="2"/>
    </row>
    <row r="381" spans="1:21" ht="15.75" x14ac:dyDescent="0.25">
      <c r="A381" t="s">
        <v>20</v>
      </c>
      <c r="B381" t="s">
        <v>62</v>
      </c>
      <c r="C381" s="41" t="s">
        <v>63</v>
      </c>
      <c r="D381" s="41" t="s">
        <v>450</v>
      </c>
      <c r="E381" s="41" t="s">
        <v>54</v>
      </c>
      <c r="F381" s="41" t="s">
        <v>25</v>
      </c>
      <c r="G381" s="41" t="s">
        <v>380</v>
      </c>
      <c r="H381" s="41" t="s">
        <v>27</v>
      </c>
      <c r="I381" s="41" t="s">
        <v>65</v>
      </c>
      <c r="J381" s="41">
        <v>181</v>
      </c>
      <c r="K381" s="41" t="s">
        <v>124</v>
      </c>
      <c r="L381" s="41">
        <v>80</v>
      </c>
      <c r="M381" s="42">
        <v>288000</v>
      </c>
      <c r="N381" s="36">
        <f t="shared" si="6"/>
        <v>3600</v>
      </c>
      <c r="O381" s="21">
        <v>309.67741935483872</v>
      </c>
      <c r="P381" t="s">
        <v>30</v>
      </c>
      <c r="Q381" t="s">
        <v>31</v>
      </c>
      <c r="R381" s="1">
        <v>46172</v>
      </c>
      <c r="S381" t="s">
        <v>32</v>
      </c>
      <c r="T381" s="2"/>
      <c r="U381" s="2"/>
    </row>
    <row r="382" spans="1:21" ht="15.75" x14ac:dyDescent="0.25">
      <c r="A382" t="s">
        <v>20</v>
      </c>
      <c r="B382" t="s">
        <v>458</v>
      </c>
      <c r="C382" t="s">
        <v>459</v>
      </c>
      <c r="D382" t="s">
        <v>457</v>
      </c>
      <c r="E382" t="s">
        <v>36</v>
      </c>
      <c r="F382" t="s">
        <v>37</v>
      </c>
      <c r="G382" t="s">
        <v>442</v>
      </c>
      <c r="H382" t="s">
        <v>57</v>
      </c>
      <c r="I382" t="s">
        <v>65</v>
      </c>
      <c r="J382">
        <v>184</v>
      </c>
      <c r="K382" t="s">
        <v>124</v>
      </c>
      <c r="L382">
        <v>1000</v>
      </c>
      <c r="M382" s="28">
        <v>2000000</v>
      </c>
      <c r="N382" s="36">
        <f t="shared" si="6"/>
        <v>2000</v>
      </c>
      <c r="O382" s="21">
        <v>2150.5376344086021</v>
      </c>
      <c r="P382" t="s">
        <v>30</v>
      </c>
      <c r="Q382" t="s">
        <v>31</v>
      </c>
      <c r="R382" s="1">
        <v>46254</v>
      </c>
      <c r="S382" t="s">
        <v>32</v>
      </c>
      <c r="T382" s="2"/>
      <c r="U382" s="2"/>
    </row>
    <row r="383" spans="1:21" ht="15.75" x14ac:dyDescent="0.25">
      <c r="A383" t="s">
        <v>20</v>
      </c>
      <c r="B383" t="s">
        <v>460</v>
      </c>
      <c r="C383" t="s">
        <v>461</v>
      </c>
      <c r="D383" t="s">
        <v>457</v>
      </c>
      <c r="E383" t="s">
        <v>462</v>
      </c>
      <c r="F383" t="s">
        <v>55</v>
      </c>
      <c r="G383" t="s">
        <v>463</v>
      </c>
      <c r="H383" t="s">
        <v>27</v>
      </c>
      <c r="I383" t="s">
        <v>65</v>
      </c>
      <c r="J383">
        <v>185</v>
      </c>
      <c r="K383" t="s">
        <v>124</v>
      </c>
      <c r="L383">
        <v>5</v>
      </c>
      <c r="M383" s="28">
        <v>32625</v>
      </c>
      <c r="N383" s="36">
        <f t="shared" si="6"/>
        <v>6525</v>
      </c>
      <c r="O383" s="21">
        <v>35.08064516129032</v>
      </c>
      <c r="P383" t="s">
        <v>30</v>
      </c>
      <c r="Q383" t="s">
        <v>31</v>
      </c>
      <c r="R383" s="1">
        <v>46172</v>
      </c>
      <c r="S383" t="s">
        <v>32</v>
      </c>
      <c r="T383" s="2"/>
      <c r="U383" s="2"/>
    </row>
    <row r="384" spans="1:21" ht="15.75" x14ac:dyDescent="0.25">
      <c r="A384" t="s">
        <v>20</v>
      </c>
      <c r="B384" t="s">
        <v>460</v>
      </c>
      <c r="C384" t="s">
        <v>461</v>
      </c>
      <c r="D384" t="s">
        <v>457</v>
      </c>
      <c r="E384" t="s">
        <v>36</v>
      </c>
      <c r="F384" t="s">
        <v>55</v>
      </c>
      <c r="G384" t="s">
        <v>276</v>
      </c>
      <c r="H384" t="s">
        <v>27</v>
      </c>
      <c r="I384" t="s">
        <v>65</v>
      </c>
      <c r="J384">
        <v>185</v>
      </c>
      <c r="K384" t="s">
        <v>277</v>
      </c>
      <c r="L384">
        <v>1</v>
      </c>
      <c r="M384" s="28">
        <v>28500</v>
      </c>
      <c r="N384" s="36">
        <f t="shared" si="6"/>
        <v>28500</v>
      </c>
      <c r="O384" s="21">
        <v>30.64516129032258</v>
      </c>
      <c r="P384" t="s">
        <v>30</v>
      </c>
      <c r="Q384" t="s">
        <v>31</v>
      </c>
      <c r="R384" s="1">
        <v>46172</v>
      </c>
      <c r="S384" t="s">
        <v>32</v>
      </c>
      <c r="T384" s="2"/>
      <c r="U384" s="2"/>
    </row>
    <row r="385" spans="1:21" ht="15.75" x14ac:dyDescent="0.25">
      <c r="A385" t="s">
        <v>20</v>
      </c>
      <c r="B385" t="s">
        <v>460</v>
      </c>
      <c r="C385" t="s">
        <v>461</v>
      </c>
      <c r="D385" t="s">
        <v>457</v>
      </c>
      <c r="E385" t="s">
        <v>462</v>
      </c>
      <c r="F385" t="s">
        <v>55</v>
      </c>
      <c r="G385" t="s">
        <v>464</v>
      </c>
      <c r="H385" t="s">
        <v>27</v>
      </c>
      <c r="I385" t="s">
        <v>65</v>
      </c>
      <c r="J385">
        <v>185</v>
      </c>
      <c r="K385" t="s">
        <v>124</v>
      </c>
      <c r="L385">
        <v>5</v>
      </c>
      <c r="M385" s="28">
        <v>53625</v>
      </c>
      <c r="N385" s="36">
        <f t="shared" si="6"/>
        <v>10725</v>
      </c>
      <c r="O385" s="21">
        <v>57.661290322580648</v>
      </c>
      <c r="P385" t="s">
        <v>30</v>
      </c>
      <c r="Q385" t="s">
        <v>31</v>
      </c>
      <c r="R385" s="1">
        <v>46172</v>
      </c>
      <c r="S385" t="s">
        <v>32</v>
      </c>
      <c r="T385" s="2"/>
      <c r="U385" s="2"/>
    </row>
    <row r="386" spans="1:21" ht="15.75" x14ac:dyDescent="0.25">
      <c r="A386" t="s">
        <v>20</v>
      </c>
      <c r="B386" t="s">
        <v>460</v>
      </c>
      <c r="C386" t="s">
        <v>461</v>
      </c>
      <c r="D386" t="s">
        <v>457</v>
      </c>
      <c r="E386" t="s">
        <v>36</v>
      </c>
      <c r="F386" t="s">
        <v>55</v>
      </c>
      <c r="G386" t="s">
        <v>252</v>
      </c>
      <c r="H386" t="s">
        <v>27</v>
      </c>
      <c r="I386" t="s">
        <v>65</v>
      </c>
      <c r="J386">
        <v>185</v>
      </c>
      <c r="K386" t="s">
        <v>124</v>
      </c>
      <c r="L386">
        <v>40</v>
      </c>
      <c r="M386" s="28">
        <v>151520</v>
      </c>
      <c r="N386" s="36">
        <f t="shared" si="6"/>
        <v>3788</v>
      </c>
      <c r="O386" s="21">
        <v>162.92473118279571</v>
      </c>
      <c r="P386" t="s">
        <v>30</v>
      </c>
      <c r="Q386" t="s">
        <v>31</v>
      </c>
      <c r="R386" s="1">
        <v>46172</v>
      </c>
      <c r="S386" t="s">
        <v>32</v>
      </c>
      <c r="T386" s="2"/>
      <c r="U386" s="2"/>
    </row>
    <row r="387" spans="1:21" ht="15.75" x14ac:dyDescent="0.25">
      <c r="A387" t="s">
        <v>20</v>
      </c>
      <c r="B387" t="s">
        <v>460</v>
      </c>
      <c r="C387" t="s">
        <v>461</v>
      </c>
      <c r="D387" t="s">
        <v>457</v>
      </c>
      <c r="E387" t="s">
        <v>462</v>
      </c>
      <c r="F387" t="s">
        <v>55</v>
      </c>
      <c r="G387" t="s">
        <v>311</v>
      </c>
      <c r="H387" t="s">
        <v>27</v>
      </c>
      <c r="I387" t="s">
        <v>65</v>
      </c>
      <c r="J387">
        <v>185</v>
      </c>
      <c r="K387" t="s">
        <v>124</v>
      </c>
      <c r="L387">
        <v>6</v>
      </c>
      <c r="M387" s="28">
        <v>37350</v>
      </c>
      <c r="N387" s="36">
        <f t="shared" si="6"/>
        <v>6225</v>
      </c>
      <c r="O387" s="21">
        <v>40.161290322580648</v>
      </c>
      <c r="P387" t="s">
        <v>30</v>
      </c>
      <c r="Q387" t="s">
        <v>31</v>
      </c>
      <c r="R387" s="1">
        <v>46172</v>
      </c>
      <c r="S387" t="s">
        <v>32</v>
      </c>
      <c r="T387" s="2"/>
      <c r="U387" s="2"/>
    </row>
    <row r="388" spans="1:21" ht="15.75" x14ac:dyDescent="0.25">
      <c r="A388" t="s">
        <v>20</v>
      </c>
      <c r="B388" t="s">
        <v>460</v>
      </c>
      <c r="C388" t="s">
        <v>461</v>
      </c>
      <c r="D388" t="s">
        <v>457</v>
      </c>
      <c r="E388" t="s">
        <v>36</v>
      </c>
      <c r="F388" t="s">
        <v>55</v>
      </c>
      <c r="G388" t="s">
        <v>310</v>
      </c>
      <c r="H388" t="s">
        <v>27</v>
      </c>
      <c r="I388" t="s">
        <v>65</v>
      </c>
      <c r="J388">
        <v>185</v>
      </c>
      <c r="K388" t="s">
        <v>124</v>
      </c>
      <c r="L388">
        <v>10</v>
      </c>
      <c r="M388" s="28">
        <v>62250</v>
      </c>
      <c r="N388" s="36">
        <f t="shared" si="6"/>
        <v>6225</v>
      </c>
      <c r="O388" s="21">
        <v>66.935483870967744</v>
      </c>
      <c r="P388" t="s">
        <v>30</v>
      </c>
      <c r="Q388" t="s">
        <v>31</v>
      </c>
      <c r="R388" s="1">
        <v>46172</v>
      </c>
      <c r="S388" t="s">
        <v>32</v>
      </c>
      <c r="T388" s="2"/>
      <c r="U388" s="2"/>
    </row>
    <row r="389" spans="1:21" ht="15.75" x14ac:dyDescent="0.25">
      <c r="A389" t="s">
        <v>20</v>
      </c>
      <c r="B389" t="s">
        <v>460</v>
      </c>
      <c r="C389" t="s">
        <v>461</v>
      </c>
      <c r="D389" t="s">
        <v>457</v>
      </c>
      <c r="E389" t="s">
        <v>462</v>
      </c>
      <c r="F389" t="s">
        <v>55</v>
      </c>
      <c r="G389" t="s">
        <v>465</v>
      </c>
      <c r="H389" t="s">
        <v>27</v>
      </c>
      <c r="I389" t="s">
        <v>65</v>
      </c>
      <c r="J389">
        <v>185</v>
      </c>
      <c r="K389" t="s">
        <v>124</v>
      </c>
      <c r="L389">
        <v>4</v>
      </c>
      <c r="M389" s="28">
        <v>58800</v>
      </c>
      <c r="N389" s="36">
        <f t="shared" si="6"/>
        <v>14700</v>
      </c>
      <c r="O389" s="21">
        <v>63.225806451612904</v>
      </c>
      <c r="P389" t="s">
        <v>30</v>
      </c>
      <c r="Q389" t="s">
        <v>31</v>
      </c>
      <c r="R389" s="1">
        <v>46172</v>
      </c>
      <c r="S389" t="s">
        <v>32</v>
      </c>
      <c r="T389" s="2"/>
      <c r="U389" s="2"/>
    </row>
    <row r="390" spans="1:21" ht="15.75" x14ac:dyDescent="0.25">
      <c r="A390" t="s">
        <v>20</v>
      </c>
      <c r="B390" t="s">
        <v>460</v>
      </c>
      <c r="C390" t="s">
        <v>461</v>
      </c>
      <c r="D390" t="s">
        <v>457</v>
      </c>
      <c r="E390" t="s">
        <v>36</v>
      </c>
      <c r="F390" t="s">
        <v>55</v>
      </c>
      <c r="G390" t="s">
        <v>466</v>
      </c>
      <c r="H390" t="s">
        <v>27</v>
      </c>
      <c r="I390" t="s">
        <v>65</v>
      </c>
      <c r="J390">
        <v>185</v>
      </c>
      <c r="K390" t="s">
        <v>124</v>
      </c>
      <c r="L390">
        <v>6</v>
      </c>
      <c r="M390" s="28">
        <v>54000</v>
      </c>
      <c r="N390" s="36">
        <f t="shared" si="6"/>
        <v>9000</v>
      </c>
      <c r="O390" s="21">
        <v>58.064516129032256</v>
      </c>
      <c r="P390" t="s">
        <v>30</v>
      </c>
      <c r="Q390" t="s">
        <v>31</v>
      </c>
      <c r="R390" s="1">
        <v>46172</v>
      </c>
      <c r="S390" t="s">
        <v>32</v>
      </c>
      <c r="T390" s="2"/>
      <c r="U390" s="2"/>
    </row>
    <row r="391" spans="1:21" ht="15.75" x14ac:dyDescent="0.25">
      <c r="A391" t="s">
        <v>20</v>
      </c>
      <c r="B391" t="s">
        <v>460</v>
      </c>
      <c r="C391" t="s">
        <v>461</v>
      </c>
      <c r="D391" t="s">
        <v>457</v>
      </c>
      <c r="E391" t="s">
        <v>462</v>
      </c>
      <c r="F391" t="s">
        <v>55</v>
      </c>
      <c r="G391" t="s">
        <v>328</v>
      </c>
      <c r="H391" t="s">
        <v>27</v>
      </c>
      <c r="I391" t="s">
        <v>65</v>
      </c>
      <c r="J391">
        <v>185</v>
      </c>
      <c r="K391" t="s">
        <v>124</v>
      </c>
      <c r="L391">
        <v>10</v>
      </c>
      <c r="M391" s="28">
        <v>86250</v>
      </c>
      <c r="N391" s="36">
        <f t="shared" si="6"/>
        <v>8625</v>
      </c>
      <c r="O391" s="21">
        <v>92.741935483870961</v>
      </c>
      <c r="P391" t="s">
        <v>30</v>
      </c>
      <c r="Q391" t="s">
        <v>31</v>
      </c>
      <c r="R391" s="1">
        <v>46172</v>
      </c>
      <c r="S391" t="s">
        <v>32</v>
      </c>
      <c r="T391" s="2"/>
      <c r="U391" s="2"/>
    </row>
    <row r="392" spans="1:21" ht="15.75" x14ac:dyDescent="0.25">
      <c r="A392" t="s">
        <v>20</v>
      </c>
      <c r="B392" t="s">
        <v>460</v>
      </c>
      <c r="C392" t="s">
        <v>461</v>
      </c>
      <c r="D392" t="s">
        <v>457</v>
      </c>
      <c r="E392" t="s">
        <v>36</v>
      </c>
      <c r="F392" t="s">
        <v>55</v>
      </c>
      <c r="G392" t="s">
        <v>467</v>
      </c>
      <c r="H392" t="s">
        <v>27</v>
      </c>
      <c r="I392" t="s">
        <v>65</v>
      </c>
      <c r="J392">
        <v>185</v>
      </c>
      <c r="K392" t="s">
        <v>124</v>
      </c>
      <c r="L392">
        <v>2</v>
      </c>
      <c r="M392" s="28">
        <v>39750</v>
      </c>
      <c r="N392" s="36">
        <f t="shared" si="6"/>
        <v>19875</v>
      </c>
      <c r="O392" s="21">
        <v>42.741935483870968</v>
      </c>
      <c r="P392" t="s">
        <v>30</v>
      </c>
      <c r="Q392" t="s">
        <v>31</v>
      </c>
      <c r="R392" s="1">
        <v>46172</v>
      </c>
      <c r="S392" t="s">
        <v>32</v>
      </c>
      <c r="T392" s="2"/>
      <c r="U392" s="2"/>
    </row>
    <row r="393" spans="1:21" ht="15.75" x14ac:dyDescent="0.25">
      <c r="A393" t="s">
        <v>20</v>
      </c>
      <c r="B393" t="s">
        <v>460</v>
      </c>
      <c r="C393" t="s">
        <v>461</v>
      </c>
      <c r="D393" t="s">
        <v>457</v>
      </c>
      <c r="E393" t="s">
        <v>462</v>
      </c>
      <c r="F393" t="s">
        <v>55</v>
      </c>
      <c r="G393" t="s">
        <v>288</v>
      </c>
      <c r="H393" t="s">
        <v>27</v>
      </c>
      <c r="I393" t="s">
        <v>65</v>
      </c>
      <c r="J393">
        <v>185</v>
      </c>
      <c r="K393" t="s">
        <v>124</v>
      </c>
      <c r="L393">
        <v>3</v>
      </c>
      <c r="M393" s="28">
        <v>49275</v>
      </c>
      <c r="N393" s="36">
        <f t="shared" si="6"/>
        <v>16425</v>
      </c>
      <c r="O393" s="21">
        <v>52.983870967741936</v>
      </c>
      <c r="P393" t="s">
        <v>30</v>
      </c>
      <c r="Q393" t="s">
        <v>31</v>
      </c>
      <c r="R393" s="1">
        <v>46172</v>
      </c>
      <c r="S393" t="s">
        <v>32</v>
      </c>
      <c r="T393" s="2"/>
      <c r="U393" s="2"/>
    </row>
    <row r="394" spans="1:21" ht="15.75" x14ac:dyDescent="0.25">
      <c r="A394" t="s">
        <v>20</v>
      </c>
      <c r="B394" t="s">
        <v>460</v>
      </c>
      <c r="C394" t="s">
        <v>461</v>
      </c>
      <c r="D394" t="s">
        <v>457</v>
      </c>
      <c r="E394" t="s">
        <v>36</v>
      </c>
      <c r="F394" t="s">
        <v>55</v>
      </c>
      <c r="G394" t="s">
        <v>466</v>
      </c>
      <c r="H394" t="s">
        <v>27</v>
      </c>
      <c r="I394" t="s">
        <v>65</v>
      </c>
      <c r="J394">
        <v>185</v>
      </c>
      <c r="K394" t="s">
        <v>124</v>
      </c>
      <c r="L394">
        <v>6</v>
      </c>
      <c r="M394" s="28">
        <v>54000</v>
      </c>
      <c r="N394" s="36">
        <f t="shared" si="6"/>
        <v>9000</v>
      </c>
      <c r="O394" s="21">
        <v>58.064516129032256</v>
      </c>
      <c r="P394" t="s">
        <v>30</v>
      </c>
      <c r="Q394" t="s">
        <v>31</v>
      </c>
      <c r="R394" s="1">
        <v>46172</v>
      </c>
      <c r="S394" t="s">
        <v>32</v>
      </c>
      <c r="T394" s="2"/>
      <c r="U394" s="2"/>
    </row>
    <row r="395" spans="1:21" ht="15.75" x14ac:dyDescent="0.25">
      <c r="A395" t="s">
        <v>20</v>
      </c>
      <c r="B395" t="s">
        <v>460</v>
      </c>
      <c r="C395" t="s">
        <v>461</v>
      </c>
      <c r="D395" t="s">
        <v>457</v>
      </c>
      <c r="E395" t="s">
        <v>462</v>
      </c>
      <c r="F395" t="s">
        <v>55</v>
      </c>
      <c r="G395" t="s">
        <v>435</v>
      </c>
      <c r="H395" t="s">
        <v>27</v>
      </c>
      <c r="I395" t="s">
        <v>65</v>
      </c>
      <c r="J395">
        <v>185</v>
      </c>
      <c r="K395" t="s">
        <v>124</v>
      </c>
      <c r="L395">
        <v>8</v>
      </c>
      <c r="M395" s="28">
        <v>49800</v>
      </c>
      <c r="N395" s="36">
        <f t="shared" si="6"/>
        <v>6225</v>
      </c>
      <c r="O395" s="21">
        <v>53.548387096774192</v>
      </c>
      <c r="P395" t="s">
        <v>30</v>
      </c>
      <c r="Q395" t="s">
        <v>31</v>
      </c>
      <c r="R395" s="1">
        <v>46172</v>
      </c>
      <c r="S395" t="s">
        <v>32</v>
      </c>
      <c r="T395" s="2"/>
      <c r="U395" s="2"/>
    </row>
    <row r="396" spans="1:21" ht="15.75" x14ac:dyDescent="0.25">
      <c r="A396" t="s">
        <v>20</v>
      </c>
      <c r="B396" t="s">
        <v>460</v>
      </c>
      <c r="C396" t="s">
        <v>461</v>
      </c>
      <c r="D396" t="s">
        <v>457</v>
      </c>
      <c r="E396" t="s">
        <v>36</v>
      </c>
      <c r="F396" t="s">
        <v>55</v>
      </c>
      <c r="G396" t="s">
        <v>310</v>
      </c>
      <c r="H396" t="s">
        <v>27</v>
      </c>
      <c r="I396" t="s">
        <v>65</v>
      </c>
      <c r="J396">
        <v>185</v>
      </c>
      <c r="K396" t="s">
        <v>124</v>
      </c>
      <c r="L396">
        <v>10</v>
      </c>
      <c r="M396" s="28">
        <v>62250</v>
      </c>
      <c r="N396" s="36">
        <f t="shared" ref="N396:N458" si="7">M396/L396</f>
        <v>6225</v>
      </c>
      <c r="O396" s="21">
        <v>66.935483870967744</v>
      </c>
      <c r="P396" t="s">
        <v>30</v>
      </c>
      <c r="Q396" t="s">
        <v>31</v>
      </c>
      <c r="R396" s="1">
        <v>46172</v>
      </c>
      <c r="S396" t="s">
        <v>32</v>
      </c>
      <c r="T396" s="2"/>
      <c r="U396" s="2"/>
    </row>
    <row r="397" spans="1:21" ht="15.75" x14ac:dyDescent="0.25">
      <c r="A397" t="s">
        <v>20</v>
      </c>
      <c r="B397" t="s">
        <v>460</v>
      </c>
      <c r="C397" t="s">
        <v>461</v>
      </c>
      <c r="D397" t="s">
        <v>457</v>
      </c>
      <c r="E397" t="s">
        <v>462</v>
      </c>
      <c r="F397" t="s">
        <v>55</v>
      </c>
      <c r="G397" t="s">
        <v>328</v>
      </c>
      <c r="H397" t="s">
        <v>27</v>
      </c>
      <c r="I397" t="s">
        <v>65</v>
      </c>
      <c r="J397">
        <v>185</v>
      </c>
      <c r="K397" t="s">
        <v>124</v>
      </c>
      <c r="L397">
        <v>10</v>
      </c>
      <c r="M397" s="28">
        <v>86250</v>
      </c>
      <c r="N397" s="36">
        <f t="shared" si="7"/>
        <v>8625</v>
      </c>
      <c r="O397" s="21">
        <v>92.741935483870961</v>
      </c>
      <c r="P397" t="s">
        <v>30</v>
      </c>
      <c r="Q397" t="s">
        <v>31</v>
      </c>
      <c r="R397" s="1">
        <v>46172</v>
      </c>
      <c r="S397" t="s">
        <v>32</v>
      </c>
      <c r="T397" s="2"/>
      <c r="U397" s="2"/>
    </row>
    <row r="398" spans="1:21" ht="15.75" x14ac:dyDescent="0.25">
      <c r="A398" t="s">
        <v>20</v>
      </c>
      <c r="B398" t="s">
        <v>460</v>
      </c>
      <c r="C398" t="s">
        <v>461</v>
      </c>
      <c r="D398" t="s">
        <v>457</v>
      </c>
      <c r="E398" t="s">
        <v>36</v>
      </c>
      <c r="F398" t="s">
        <v>55</v>
      </c>
      <c r="G398" t="s">
        <v>311</v>
      </c>
      <c r="H398" t="s">
        <v>27</v>
      </c>
      <c r="I398" t="s">
        <v>65</v>
      </c>
      <c r="J398">
        <v>185</v>
      </c>
      <c r="K398" t="s">
        <v>124</v>
      </c>
      <c r="L398">
        <v>6</v>
      </c>
      <c r="M398" s="28">
        <v>37350</v>
      </c>
      <c r="N398" s="36">
        <f t="shared" si="7"/>
        <v>6225</v>
      </c>
      <c r="O398" s="21">
        <v>40.161290322580648</v>
      </c>
      <c r="P398" t="s">
        <v>30</v>
      </c>
      <c r="Q398" t="s">
        <v>31</v>
      </c>
      <c r="R398" s="1">
        <v>46172</v>
      </c>
      <c r="S398" t="s">
        <v>32</v>
      </c>
      <c r="T398" s="2"/>
      <c r="U398" s="2"/>
    </row>
    <row r="399" spans="1:21" ht="15.75" x14ac:dyDescent="0.25">
      <c r="A399" t="s">
        <v>20</v>
      </c>
      <c r="B399" t="s">
        <v>460</v>
      </c>
      <c r="C399" t="s">
        <v>461</v>
      </c>
      <c r="D399" t="s">
        <v>457</v>
      </c>
      <c r="E399" t="s">
        <v>462</v>
      </c>
      <c r="F399" t="s">
        <v>55</v>
      </c>
      <c r="G399" t="s">
        <v>455</v>
      </c>
      <c r="H399" t="s">
        <v>27</v>
      </c>
      <c r="I399" t="s">
        <v>65</v>
      </c>
      <c r="J399">
        <v>185</v>
      </c>
      <c r="K399" t="s">
        <v>124</v>
      </c>
      <c r="L399">
        <v>8</v>
      </c>
      <c r="M399" s="28">
        <v>52200</v>
      </c>
      <c r="N399" s="36">
        <f t="shared" si="7"/>
        <v>6525</v>
      </c>
      <c r="O399" s="21">
        <v>56.12903225806452</v>
      </c>
      <c r="P399" t="s">
        <v>30</v>
      </c>
      <c r="Q399" t="s">
        <v>31</v>
      </c>
      <c r="R399" s="1">
        <v>46172</v>
      </c>
      <c r="S399" t="s">
        <v>32</v>
      </c>
      <c r="T399" s="2"/>
      <c r="U399" s="2"/>
    </row>
    <row r="400" spans="1:21" ht="15.75" x14ac:dyDescent="0.25">
      <c r="A400" t="s">
        <v>20</v>
      </c>
      <c r="B400" t="s">
        <v>460</v>
      </c>
      <c r="C400" t="s">
        <v>461</v>
      </c>
      <c r="D400" t="s">
        <v>457</v>
      </c>
      <c r="E400" t="s">
        <v>36</v>
      </c>
      <c r="F400" t="s">
        <v>55</v>
      </c>
      <c r="G400" t="s">
        <v>276</v>
      </c>
      <c r="H400" t="s">
        <v>27</v>
      </c>
      <c r="I400" t="s">
        <v>65</v>
      </c>
      <c r="J400">
        <v>185</v>
      </c>
      <c r="K400" t="s">
        <v>277</v>
      </c>
      <c r="L400">
        <v>1</v>
      </c>
      <c r="M400" s="28">
        <v>28500</v>
      </c>
      <c r="N400" s="36">
        <f t="shared" si="7"/>
        <v>28500</v>
      </c>
      <c r="O400" s="21">
        <v>30.64516129032258</v>
      </c>
      <c r="P400" t="s">
        <v>30</v>
      </c>
      <c r="Q400" t="s">
        <v>31</v>
      </c>
      <c r="R400" s="1">
        <v>46172</v>
      </c>
      <c r="S400" t="s">
        <v>32</v>
      </c>
      <c r="T400" s="2"/>
      <c r="U400" s="2"/>
    </row>
    <row r="401" spans="1:21" ht="15.75" x14ac:dyDescent="0.25">
      <c r="A401" t="s">
        <v>20</v>
      </c>
      <c r="B401" t="s">
        <v>460</v>
      </c>
      <c r="C401" t="s">
        <v>461</v>
      </c>
      <c r="D401" t="s">
        <v>457</v>
      </c>
      <c r="E401" t="s">
        <v>462</v>
      </c>
      <c r="F401" t="s">
        <v>55</v>
      </c>
      <c r="G401" t="s">
        <v>468</v>
      </c>
      <c r="H401" t="s">
        <v>57</v>
      </c>
      <c r="I401" t="s">
        <v>65</v>
      </c>
      <c r="J401">
        <v>185</v>
      </c>
      <c r="K401" t="s">
        <v>277</v>
      </c>
      <c r="L401">
        <v>6</v>
      </c>
      <c r="M401" s="28">
        <v>157500</v>
      </c>
      <c r="N401" s="36">
        <f t="shared" si="7"/>
        <v>26250</v>
      </c>
      <c r="O401" s="21">
        <v>169.35483870967741</v>
      </c>
      <c r="P401" t="s">
        <v>30</v>
      </c>
      <c r="Q401" t="s">
        <v>31</v>
      </c>
      <c r="R401" s="1">
        <v>46172</v>
      </c>
      <c r="S401" t="s">
        <v>32</v>
      </c>
      <c r="T401" s="2"/>
      <c r="U401" s="2"/>
    </row>
    <row r="402" spans="1:21" ht="15.75" x14ac:dyDescent="0.25">
      <c r="A402" t="s">
        <v>20</v>
      </c>
      <c r="B402" t="s">
        <v>236</v>
      </c>
      <c r="C402" t="s">
        <v>237</v>
      </c>
      <c r="D402" t="s">
        <v>457</v>
      </c>
      <c r="E402" t="s">
        <v>326</v>
      </c>
      <c r="F402" t="s">
        <v>55</v>
      </c>
      <c r="G402" t="s">
        <v>469</v>
      </c>
      <c r="H402" t="s">
        <v>57</v>
      </c>
      <c r="I402" t="s">
        <v>65</v>
      </c>
      <c r="J402">
        <v>187</v>
      </c>
      <c r="K402" t="s">
        <v>124</v>
      </c>
      <c r="L402">
        <v>2000</v>
      </c>
      <c r="M402" s="28">
        <v>3780000</v>
      </c>
      <c r="N402" s="36">
        <f t="shared" si="7"/>
        <v>1890</v>
      </c>
      <c r="O402" s="21">
        <v>4064.516129032258</v>
      </c>
      <c r="P402" t="s">
        <v>30</v>
      </c>
      <c r="Q402" t="s">
        <v>31</v>
      </c>
      <c r="R402" s="1">
        <v>46174</v>
      </c>
      <c r="S402" t="s">
        <v>32</v>
      </c>
      <c r="T402" s="2"/>
      <c r="U402" s="2"/>
    </row>
    <row r="403" spans="1:21" ht="15.75" x14ac:dyDescent="0.25">
      <c r="A403" t="s">
        <v>470</v>
      </c>
      <c r="B403" t="s">
        <v>471</v>
      </c>
      <c r="C403" t="s">
        <v>472</v>
      </c>
      <c r="D403" t="s">
        <v>473</v>
      </c>
      <c r="E403" t="s">
        <v>48</v>
      </c>
      <c r="F403" t="s">
        <v>25</v>
      </c>
      <c r="G403" t="s">
        <v>408</v>
      </c>
      <c r="H403" t="s">
        <v>27</v>
      </c>
      <c r="I403" t="s">
        <v>28</v>
      </c>
      <c r="J403">
        <v>483</v>
      </c>
      <c r="K403" t="s">
        <v>124</v>
      </c>
      <c r="L403">
        <v>20</v>
      </c>
      <c r="M403" s="28">
        <v>300000</v>
      </c>
      <c r="N403" s="36">
        <f t="shared" si="7"/>
        <v>15000</v>
      </c>
      <c r="O403" s="21">
        <v>322.58064516129031</v>
      </c>
      <c r="P403" t="s">
        <v>30</v>
      </c>
      <c r="Q403" t="s">
        <v>31</v>
      </c>
      <c r="R403" s="1">
        <v>46085</v>
      </c>
      <c r="S403" t="s">
        <v>32</v>
      </c>
      <c r="T403" s="2"/>
      <c r="U403" s="2"/>
    </row>
    <row r="404" spans="1:21" ht="15.75" x14ac:dyDescent="0.25">
      <c r="A404" t="s">
        <v>470</v>
      </c>
      <c r="B404" t="s">
        <v>471</v>
      </c>
      <c r="C404" t="s">
        <v>472</v>
      </c>
      <c r="D404" t="s">
        <v>473</v>
      </c>
      <c r="E404" t="s">
        <v>48</v>
      </c>
      <c r="F404" t="s">
        <v>25</v>
      </c>
      <c r="G404" t="s">
        <v>409</v>
      </c>
      <c r="H404" t="s">
        <v>27</v>
      </c>
      <c r="I404" t="s">
        <v>28</v>
      </c>
      <c r="J404">
        <v>483</v>
      </c>
      <c r="K404" t="s">
        <v>124</v>
      </c>
      <c r="L404">
        <v>5</v>
      </c>
      <c r="M404" s="28">
        <v>75000</v>
      </c>
      <c r="N404" s="36">
        <f t="shared" si="7"/>
        <v>15000</v>
      </c>
      <c r="O404" s="21">
        <v>80.645161290322577</v>
      </c>
      <c r="P404" t="s">
        <v>30</v>
      </c>
      <c r="Q404" t="s">
        <v>31</v>
      </c>
      <c r="R404" s="1">
        <v>46085</v>
      </c>
      <c r="S404" t="s">
        <v>32</v>
      </c>
      <c r="T404" s="2"/>
      <c r="U404" s="2"/>
    </row>
    <row r="405" spans="1:21" ht="15.75" x14ac:dyDescent="0.25">
      <c r="A405" t="s">
        <v>470</v>
      </c>
      <c r="B405" t="s">
        <v>471</v>
      </c>
      <c r="C405" t="s">
        <v>472</v>
      </c>
      <c r="D405" t="s">
        <v>473</v>
      </c>
      <c r="E405" t="s">
        <v>48</v>
      </c>
      <c r="F405" t="s">
        <v>25</v>
      </c>
      <c r="G405" t="s">
        <v>288</v>
      </c>
      <c r="H405" t="s">
        <v>27</v>
      </c>
      <c r="I405" t="s">
        <v>28</v>
      </c>
      <c r="J405">
        <v>483</v>
      </c>
      <c r="K405" t="s">
        <v>124</v>
      </c>
      <c r="L405">
        <v>1</v>
      </c>
      <c r="M405" s="28">
        <v>15000</v>
      </c>
      <c r="N405" s="36">
        <f t="shared" si="7"/>
        <v>15000</v>
      </c>
      <c r="O405" s="21">
        <v>16.129032258064516</v>
      </c>
      <c r="P405" t="s">
        <v>30</v>
      </c>
      <c r="Q405" t="s">
        <v>31</v>
      </c>
      <c r="R405" s="1">
        <v>46085</v>
      </c>
      <c r="S405" t="s">
        <v>32</v>
      </c>
      <c r="T405" s="2"/>
      <c r="U405" s="2"/>
    </row>
    <row r="406" spans="1:21" ht="15.75" x14ac:dyDescent="0.25">
      <c r="A406" t="s">
        <v>470</v>
      </c>
      <c r="B406" t="s">
        <v>471</v>
      </c>
      <c r="C406" t="s">
        <v>472</v>
      </c>
      <c r="D406" t="s">
        <v>473</v>
      </c>
      <c r="E406" t="s">
        <v>48</v>
      </c>
      <c r="F406" t="s">
        <v>25</v>
      </c>
      <c r="G406" t="s">
        <v>474</v>
      </c>
      <c r="H406" t="s">
        <v>27</v>
      </c>
      <c r="I406" t="s">
        <v>28</v>
      </c>
      <c r="J406">
        <v>483</v>
      </c>
      <c r="K406" t="s">
        <v>124</v>
      </c>
      <c r="L406">
        <v>20</v>
      </c>
      <c r="M406" s="28">
        <v>80000</v>
      </c>
      <c r="N406" s="36">
        <f t="shared" si="7"/>
        <v>4000</v>
      </c>
      <c r="O406" s="21">
        <v>86.021505376344081</v>
      </c>
      <c r="P406" t="s">
        <v>30</v>
      </c>
      <c r="Q406" t="s">
        <v>31</v>
      </c>
      <c r="R406" s="1">
        <v>46085</v>
      </c>
      <c r="S406" t="s">
        <v>32</v>
      </c>
      <c r="T406" s="2"/>
      <c r="U406" s="2"/>
    </row>
    <row r="407" spans="1:21" ht="15.75" x14ac:dyDescent="0.25">
      <c r="A407" t="s">
        <v>470</v>
      </c>
      <c r="B407" t="s">
        <v>471</v>
      </c>
      <c r="C407" t="s">
        <v>472</v>
      </c>
      <c r="D407" t="s">
        <v>473</v>
      </c>
      <c r="E407" t="s">
        <v>48</v>
      </c>
      <c r="F407" t="s">
        <v>25</v>
      </c>
      <c r="G407" t="s">
        <v>295</v>
      </c>
      <c r="H407" t="s">
        <v>27</v>
      </c>
      <c r="I407" t="s">
        <v>28</v>
      </c>
      <c r="J407">
        <v>483</v>
      </c>
      <c r="K407" t="s">
        <v>124</v>
      </c>
      <c r="L407">
        <v>5</v>
      </c>
      <c r="M407" s="28">
        <v>20000</v>
      </c>
      <c r="N407" s="36">
        <f t="shared" si="7"/>
        <v>4000</v>
      </c>
      <c r="O407" s="21">
        <v>21.50537634408602</v>
      </c>
      <c r="P407" t="s">
        <v>30</v>
      </c>
      <c r="Q407" t="s">
        <v>31</v>
      </c>
      <c r="R407" s="1">
        <v>46085</v>
      </c>
      <c r="S407" t="s">
        <v>32</v>
      </c>
      <c r="T407" s="2"/>
      <c r="U407" s="2"/>
    </row>
    <row r="408" spans="1:21" ht="15.75" x14ac:dyDescent="0.25">
      <c r="A408" t="s">
        <v>470</v>
      </c>
      <c r="B408" t="s">
        <v>471</v>
      </c>
      <c r="C408" t="s">
        <v>472</v>
      </c>
      <c r="D408" t="s">
        <v>473</v>
      </c>
      <c r="E408" t="s">
        <v>48</v>
      </c>
      <c r="F408" t="s">
        <v>25</v>
      </c>
      <c r="G408" t="s">
        <v>475</v>
      </c>
      <c r="H408" t="s">
        <v>27</v>
      </c>
      <c r="I408" t="s">
        <v>28</v>
      </c>
      <c r="J408">
        <v>483</v>
      </c>
      <c r="K408" t="s">
        <v>124</v>
      </c>
      <c r="L408">
        <v>1</v>
      </c>
      <c r="M408" s="28">
        <v>4000</v>
      </c>
      <c r="N408" s="36">
        <f t="shared" si="7"/>
        <v>4000</v>
      </c>
      <c r="O408" s="21">
        <v>4.301075268817204</v>
      </c>
      <c r="P408" t="s">
        <v>30</v>
      </c>
      <c r="Q408" t="s">
        <v>31</v>
      </c>
      <c r="R408" s="1">
        <v>46085</v>
      </c>
      <c r="S408" t="s">
        <v>32</v>
      </c>
      <c r="T408" s="2"/>
      <c r="U408" s="2"/>
    </row>
    <row r="409" spans="1:21" ht="15.75" x14ac:dyDescent="0.25">
      <c r="A409" t="s">
        <v>470</v>
      </c>
      <c r="B409" t="s">
        <v>471</v>
      </c>
      <c r="C409" t="s">
        <v>472</v>
      </c>
      <c r="D409" t="s">
        <v>473</v>
      </c>
      <c r="E409" t="s">
        <v>48</v>
      </c>
      <c r="F409" t="s">
        <v>25</v>
      </c>
      <c r="G409" t="s">
        <v>411</v>
      </c>
      <c r="H409" t="s">
        <v>27</v>
      </c>
      <c r="I409" t="s">
        <v>28</v>
      </c>
      <c r="J409">
        <v>483</v>
      </c>
      <c r="K409" t="s">
        <v>124</v>
      </c>
      <c r="L409">
        <v>20</v>
      </c>
      <c r="M409" s="28">
        <v>80000</v>
      </c>
      <c r="N409" s="36">
        <f t="shared" si="7"/>
        <v>4000</v>
      </c>
      <c r="O409" s="21">
        <v>86.021505376344081</v>
      </c>
      <c r="P409" t="s">
        <v>30</v>
      </c>
      <c r="Q409" t="s">
        <v>31</v>
      </c>
      <c r="R409" s="1">
        <v>46085</v>
      </c>
      <c r="S409" t="s">
        <v>32</v>
      </c>
      <c r="T409" s="2"/>
      <c r="U409" s="2"/>
    </row>
    <row r="410" spans="1:21" ht="15.75" x14ac:dyDescent="0.25">
      <c r="A410" t="s">
        <v>470</v>
      </c>
      <c r="B410" t="s">
        <v>471</v>
      </c>
      <c r="C410" t="s">
        <v>472</v>
      </c>
      <c r="D410" t="s">
        <v>473</v>
      </c>
      <c r="E410" t="s">
        <v>48</v>
      </c>
      <c r="F410" t="s">
        <v>25</v>
      </c>
      <c r="G410" t="s">
        <v>296</v>
      </c>
      <c r="H410" t="s">
        <v>27</v>
      </c>
      <c r="I410" t="s">
        <v>28</v>
      </c>
      <c r="J410">
        <v>483</v>
      </c>
      <c r="K410" t="s">
        <v>124</v>
      </c>
      <c r="L410">
        <v>5</v>
      </c>
      <c r="M410" s="28">
        <v>20000</v>
      </c>
      <c r="N410" s="36">
        <f t="shared" si="7"/>
        <v>4000</v>
      </c>
      <c r="O410" s="21">
        <v>21.50537634408602</v>
      </c>
      <c r="P410" t="s">
        <v>30</v>
      </c>
      <c r="Q410" t="s">
        <v>31</v>
      </c>
      <c r="R410" s="1">
        <v>46085</v>
      </c>
      <c r="S410" t="s">
        <v>32</v>
      </c>
      <c r="T410" s="2"/>
      <c r="U410" s="2"/>
    </row>
    <row r="411" spans="1:21" ht="15.75" x14ac:dyDescent="0.25">
      <c r="A411" t="s">
        <v>470</v>
      </c>
      <c r="B411" t="s">
        <v>471</v>
      </c>
      <c r="C411" t="s">
        <v>472</v>
      </c>
      <c r="D411" t="s">
        <v>473</v>
      </c>
      <c r="E411" t="s">
        <v>48</v>
      </c>
      <c r="F411" t="s">
        <v>25</v>
      </c>
      <c r="G411" t="s">
        <v>311</v>
      </c>
      <c r="H411" t="s">
        <v>27</v>
      </c>
      <c r="I411" t="s">
        <v>28</v>
      </c>
      <c r="J411">
        <v>483</v>
      </c>
      <c r="K411" t="s">
        <v>124</v>
      </c>
      <c r="L411">
        <v>1</v>
      </c>
      <c r="M411" s="28">
        <v>4000</v>
      </c>
      <c r="N411" s="36">
        <f t="shared" si="7"/>
        <v>4000</v>
      </c>
      <c r="O411" s="21">
        <v>4.301075268817204</v>
      </c>
      <c r="P411" t="s">
        <v>30</v>
      </c>
      <c r="Q411" t="s">
        <v>31</v>
      </c>
      <c r="R411" s="1">
        <v>46085</v>
      </c>
      <c r="S411" t="s">
        <v>32</v>
      </c>
      <c r="T411" s="2"/>
      <c r="U411" s="2"/>
    </row>
    <row r="412" spans="1:21" ht="15.75" x14ac:dyDescent="0.25">
      <c r="A412" t="s">
        <v>470</v>
      </c>
      <c r="B412" t="s">
        <v>177</v>
      </c>
      <c r="C412" t="s">
        <v>178</v>
      </c>
      <c r="D412" t="s">
        <v>473</v>
      </c>
      <c r="E412" t="s">
        <v>41</v>
      </c>
      <c r="F412" t="s">
        <v>37</v>
      </c>
      <c r="G412" t="s">
        <v>383</v>
      </c>
      <c r="H412" t="s">
        <v>27</v>
      </c>
      <c r="I412" t="s">
        <v>28</v>
      </c>
      <c r="J412">
        <v>484</v>
      </c>
      <c r="K412" t="s">
        <v>124</v>
      </c>
      <c r="L412">
        <v>20</v>
      </c>
      <c r="M412" s="28">
        <v>110000</v>
      </c>
      <c r="N412" s="36">
        <f t="shared" si="7"/>
        <v>5500</v>
      </c>
      <c r="O412" s="21">
        <v>118.27956989247312</v>
      </c>
      <c r="P412" t="s">
        <v>30</v>
      </c>
      <c r="Q412" t="s">
        <v>31</v>
      </c>
      <c r="R412" s="1">
        <v>46082</v>
      </c>
      <c r="S412" t="s">
        <v>32</v>
      </c>
      <c r="T412" s="2"/>
      <c r="U412" s="2"/>
    </row>
    <row r="413" spans="1:21" ht="15.75" x14ac:dyDescent="0.25">
      <c r="A413" t="s">
        <v>470</v>
      </c>
      <c r="B413" t="s">
        <v>177</v>
      </c>
      <c r="C413" t="s">
        <v>178</v>
      </c>
      <c r="D413" t="s">
        <v>473</v>
      </c>
      <c r="E413" t="s">
        <v>41</v>
      </c>
      <c r="F413" t="s">
        <v>37</v>
      </c>
      <c r="G413" t="s">
        <v>456</v>
      </c>
      <c r="H413" t="s">
        <v>27</v>
      </c>
      <c r="I413" t="s">
        <v>28</v>
      </c>
      <c r="J413">
        <v>484</v>
      </c>
      <c r="K413" t="s">
        <v>124</v>
      </c>
      <c r="L413">
        <v>5</v>
      </c>
      <c r="M413" s="28">
        <v>27500</v>
      </c>
      <c r="N413" s="36">
        <f t="shared" si="7"/>
        <v>5500</v>
      </c>
      <c r="O413" s="21">
        <v>29.56989247311828</v>
      </c>
      <c r="P413" t="s">
        <v>30</v>
      </c>
      <c r="Q413" t="s">
        <v>31</v>
      </c>
      <c r="R413" s="1">
        <v>46082</v>
      </c>
      <c r="S413" t="s">
        <v>32</v>
      </c>
      <c r="T413" s="2"/>
      <c r="U413" s="2"/>
    </row>
    <row r="414" spans="1:21" ht="15.75" x14ac:dyDescent="0.25">
      <c r="A414" t="s">
        <v>470</v>
      </c>
      <c r="B414" t="s">
        <v>21</v>
      </c>
      <c r="C414" t="s">
        <v>22</v>
      </c>
      <c r="D414" t="s">
        <v>473</v>
      </c>
      <c r="E414" s="38" t="s">
        <v>24</v>
      </c>
      <c r="F414" t="s">
        <v>25</v>
      </c>
      <c r="G414" t="s">
        <v>243</v>
      </c>
      <c r="H414" t="s">
        <v>27</v>
      </c>
      <c r="I414" t="s">
        <v>28</v>
      </c>
      <c r="J414">
        <v>485</v>
      </c>
      <c r="K414" t="s">
        <v>124</v>
      </c>
      <c r="L414">
        <v>40</v>
      </c>
      <c r="M414" s="28">
        <v>0</v>
      </c>
      <c r="N414" s="36">
        <f t="shared" si="7"/>
        <v>0</v>
      </c>
      <c r="O414" s="21">
        <v>0</v>
      </c>
      <c r="P414" t="s">
        <v>30</v>
      </c>
      <c r="Q414" t="s">
        <v>31</v>
      </c>
      <c r="R414" s="1">
        <v>46142</v>
      </c>
      <c r="S414" t="s">
        <v>32</v>
      </c>
      <c r="T414" s="2" t="s">
        <v>476</v>
      </c>
      <c r="U414" s="3">
        <v>46044</v>
      </c>
    </row>
    <row r="415" spans="1:21" ht="15.75" x14ac:dyDescent="0.25">
      <c r="A415" t="s">
        <v>470</v>
      </c>
      <c r="B415" t="s">
        <v>477</v>
      </c>
      <c r="C415" t="s">
        <v>478</v>
      </c>
      <c r="D415" t="s">
        <v>473</v>
      </c>
      <c r="E415" t="s">
        <v>238</v>
      </c>
      <c r="F415" t="s">
        <v>25</v>
      </c>
      <c r="G415" t="s">
        <v>468</v>
      </c>
      <c r="H415" t="s">
        <v>27</v>
      </c>
      <c r="I415" t="s">
        <v>28</v>
      </c>
      <c r="J415">
        <v>486</v>
      </c>
      <c r="K415" t="s">
        <v>277</v>
      </c>
      <c r="L415">
        <v>100</v>
      </c>
      <c r="M415" s="28">
        <v>2600000</v>
      </c>
      <c r="N415" s="36">
        <f t="shared" si="7"/>
        <v>26000</v>
      </c>
      <c r="O415" s="21">
        <v>0</v>
      </c>
      <c r="P415" t="s">
        <v>30</v>
      </c>
      <c r="Q415" t="s">
        <v>31</v>
      </c>
      <c r="R415" s="1">
        <v>46085</v>
      </c>
      <c r="S415" t="s">
        <v>32</v>
      </c>
      <c r="T415" s="2" t="s">
        <v>479</v>
      </c>
      <c r="U415" s="3">
        <v>46055</v>
      </c>
    </row>
    <row r="416" spans="1:21" ht="15.75" x14ac:dyDescent="0.25">
      <c r="A416" t="s">
        <v>470</v>
      </c>
      <c r="B416" t="s">
        <v>477</v>
      </c>
      <c r="C416" t="s">
        <v>478</v>
      </c>
      <c r="D416" t="s">
        <v>473</v>
      </c>
      <c r="E416" t="s">
        <v>238</v>
      </c>
      <c r="F416" t="s">
        <v>25</v>
      </c>
      <c r="G416" t="s">
        <v>468</v>
      </c>
      <c r="H416" t="s">
        <v>27</v>
      </c>
      <c r="I416" t="s">
        <v>65</v>
      </c>
      <c r="J416">
        <v>188</v>
      </c>
      <c r="K416" t="s">
        <v>277</v>
      </c>
      <c r="L416">
        <v>100</v>
      </c>
      <c r="M416" s="28">
        <v>0</v>
      </c>
      <c r="N416" s="36">
        <f t="shared" si="7"/>
        <v>0</v>
      </c>
      <c r="O416" s="21">
        <v>0</v>
      </c>
      <c r="P416" t="s">
        <v>30</v>
      </c>
      <c r="Q416" t="s">
        <v>31</v>
      </c>
      <c r="R416" s="1">
        <v>46085</v>
      </c>
      <c r="S416" t="s">
        <v>32</v>
      </c>
      <c r="T416" s="2"/>
      <c r="U416" s="2"/>
    </row>
    <row r="417" spans="1:21" ht="15.75" x14ac:dyDescent="0.25">
      <c r="A417" t="s">
        <v>470</v>
      </c>
      <c r="B417" t="s">
        <v>139</v>
      </c>
      <c r="C417" t="s">
        <v>140</v>
      </c>
      <c r="D417" t="s">
        <v>473</v>
      </c>
      <c r="E417" t="s">
        <v>48</v>
      </c>
      <c r="F417" t="s">
        <v>59</v>
      </c>
      <c r="G417" t="s">
        <v>252</v>
      </c>
      <c r="H417" t="s">
        <v>27</v>
      </c>
      <c r="I417" t="s">
        <v>65</v>
      </c>
      <c r="J417">
        <v>189</v>
      </c>
      <c r="K417" t="s">
        <v>124</v>
      </c>
      <c r="L417">
        <v>100</v>
      </c>
      <c r="M417" s="28">
        <v>270000</v>
      </c>
      <c r="N417" s="36">
        <f t="shared" si="7"/>
        <v>2700</v>
      </c>
      <c r="O417" s="21">
        <v>290.32258064516128</v>
      </c>
      <c r="P417" t="s">
        <v>30</v>
      </c>
      <c r="Q417" t="s">
        <v>31</v>
      </c>
      <c r="R417" s="1">
        <v>46173</v>
      </c>
      <c r="S417" t="s">
        <v>32</v>
      </c>
      <c r="T417" s="2"/>
      <c r="U417" s="2"/>
    </row>
    <row r="418" spans="1:21" ht="15.75" x14ac:dyDescent="0.25">
      <c r="A418" t="s">
        <v>470</v>
      </c>
      <c r="B418" t="s">
        <v>139</v>
      </c>
      <c r="C418" t="s">
        <v>140</v>
      </c>
      <c r="D418" t="s">
        <v>473</v>
      </c>
      <c r="E418" t="s">
        <v>48</v>
      </c>
      <c r="F418" t="s">
        <v>59</v>
      </c>
      <c r="G418" t="s">
        <v>443</v>
      </c>
      <c r="H418" t="s">
        <v>27</v>
      </c>
      <c r="I418" t="s">
        <v>65</v>
      </c>
      <c r="J418">
        <v>189</v>
      </c>
      <c r="K418" t="s">
        <v>124</v>
      </c>
      <c r="L418">
        <v>400</v>
      </c>
      <c r="M418" s="28">
        <v>1000000</v>
      </c>
      <c r="N418" s="36">
        <f t="shared" si="7"/>
        <v>2500</v>
      </c>
      <c r="O418" s="21">
        <v>1075.2688172043011</v>
      </c>
      <c r="P418" t="s">
        <v>30</v>
      </c>
      <c r="Q418" t="s">
        <v>31</v>
      </c>
      <c r="R418" s="1">
        <v>46173</v>
      </c>
      <c r="S418" t="s">
        <v>32</v>
      </c>
      <c r="T418" s="2"/>
      <c r="U418" s="2"/>
    </row>
    <row r="419" spans="1:21" x14ac:dyDescent="0.25">
      <c r="A419" t="s">
        <v>470</v>
      </c>
      <c r="B419" t="s">
        <v>387</v>
      </c>
      <c r="C419" t="s">
        <v>388</v>
      </c>
      <c r="D419" t="s">
        <v>480</v>
      </c>
      <c r="E419" t="s">
        <v>48</v>
      </c>
      <c r="F419" t="s">
        <v>59</v>
      </c>
      <c r="G419" t="s">
        <v>408</v>
      </c>
      <c r="H419" t="s">
        <v>27</v>
      </c>
      <c r="I419" t="s">
        <v>28</v>
      </c>
      <c r="J419">
        <v>487</v>
      </c>
      <c r="K419" t="s">
        <v>124</v>
      </c>
      <c r="L419">
        <v>20</v>
      </c>
      <c r="M419" s="28">
        <v>235600</v>
      </c>
      <c r="N419" s="36">
        <f t="shared" si="7"/>
        <v>11780</v>
      </c>
      <c r="O419" s="21">
        <v>253.33333333333334</v>
      </c>
      <c r="P419" t="s">
        <v>30</v>
      </c>
      <c r="Q419" t="s">
        <v>31</v>
      </c>
      <c r="R419" s="1">
        <v>46086</v>
      </c>
      <c r="S419" t="s">
        <v>32</v>
      </c>
    </row>
    <row r="420" spans="1:21" x14ac:dyDescent="0.25">
      <c r="A420" t="s">
        <v>470</v>
      </c>
      <c r="B420" t="s">
        <v>387</v>
      </c>
      <c r="C420" t="s">
        <v>388</v>
      </c>
      <c r="D420" t="s">
        <v>480</v>
      </c>
      <c r="E420" t="s">
        <v>48</v>
      </c>
      <c r="F420" t="s">
        <v>59</v>
      </c>
      <c r="G420" t="s">
        <v>296</v>
      </c>
      <c r="H420" t="s">
        <v>27</v>
      </c>
      <c r="I420" t="s">
        <v>28</v>
      </c>
      <c r="J420">
        <v>487</v>
      </c>
      <c r="K420" t="s">
        <v>124</v>
      </c>
      <c r="L420">
        <v>10</v>
      </c>
      <c r="M420" s="28">
        <v>43300</v>
      </c>
      <c r="N420" s="36">
        <f t="shared" si="7"/>
        <v>4330</v>
      </c>
      <c r="O420" s="21">
        <v>46.55913978494624</v>
      </c>
      <c r="P420" t="s">
        <v>30</v>
      </c>
      <c r="Q420" t="s">
        <v>31</v>
      </c>
      <c r="R420" s="1">
        <v>46086</v>
      </c>
      <c r="S420" t="s">
        <v>32</v>
      </c>
    </row>
    <row r="421" spans="1:21" x14ac:dyDescent="0.25">
      <c r="A421" t="s">
        <v>470</v>
      </c>
      <c r="B421" t="s">
        <v>481</v>
      </c>
      <c r="C421" t="s">
        <v>482</v>
      </c>
      <c r="D421" t="s">
        <v>480</v>
      </c>
      <c r="E421" s="38" t="s">
        <v>24</v>
      </c>
      <c r="F421" t="s">
        <v>483</v>
      </c>
      <c r="G421" t="s">
        <v>399</v>
      </c>
      <c r="H421" t="s">
        <v>57</v>
      </c>
      <c r="I421" t="s">
        <v>28</v>
      </c>
      <c r="J421">
        <v>488</v>
      </c>
      <c r="K421" t="s">
        <v>277</v>
      </c>
      <c r="L421">
        <v>20</v>
      </c>
      <c r="M421" s="28">
        <v>0</v>
      </c>
      <c r="N421" s="36">
        <f t="shared" si="7"/>
        <v>0</v>
      </c>
      <c r="O421" s="21">
        <v>72.27956989247312</v>
      </c>
      <c r="P421" t="s">
        <v>30</v>
      </c>
      <c r="Q421" t="s">
        <v>31</v>
      </c>
      <c r="R421" s="1">
        <v>46056</v>
      </c>
      <c r="S421" t="s">
        <v>32</v>
      </c>
    </row>
    <row r="422" spans="1:21" x14ac:dyDescent="0.25">
      <c r="A422" t="s">
        <v>470</v>
      </c>
      <c r="B422" t="s">
        <v>481</v>
      </c>
      <c r="C422" t="s">
        <v>482</v>
      </c>
      <c r="D422" t="s">
        <v>480</v>
      </c>
      <c r="E422" s="38" t="s">
        <v>24</v>
      </c>
      <c r="F422" t="s">
        <v>483</v>
      </c>
      <c r="G422" t="s">
        <v>397</v>
      </c>
      <c r="H422" t="s">
        <v>57</v>
      </c>
      <c r="I422" t="s">
        <v>28</v>
      </c>
      <c r="J422">
        <v>488</v>
      </c>
      <c r="K422" t="s">
        <v>277</v>
      </c>
      <c r="L422">
        <v>5</v>
      </c>
      <c r="M422" s="28">
        <v>0</v>
      </c>
      <c r="N422" s="36">
        <f t="shared" si="7"/>
        <v>0</v>
      </c>
      <c r="O422" s="21">
        <v>17.161290322580644</v>
      </c>
      <c r="P422" t="s">
        <v>30</v>
      </c>
      <c r="Q422" t="s">
        <v>31</v>
      </c>
      <c r="R422" s="1">
        <v>46056</v>
      </c>
      <c r="S422" t="s">
        <v>32</v>
      </c>
    </row>
    <row r="423" spans="1:21" x14ac:dyDescent="0.25">
      <c r="A423" t="s">
        <v>470</v>
      </c>
      <c r="B423" t="s">
        <v>481</v>
      </c>
      <c r="C423" t="s">
        <v>482</v>
      </c>
      <c r="D423" t="s">
        <v>480</v>
      </c>
      <c r="E423" s="38" t="s">
        <v>24</v>
      </c>
      <c r="F423" t="s">
        <v>483</v>
      </c>
      <c r="G423" t="s">
        <v>484</v>
      </c>
      <c r="H423" t="s">
        <v>57</v>
      </c>
      <c r="I423" t="s">
        <v>28</v>
      </c>
      <c r="J423">
        <v>488</v>
      </c>
      <c r="K423" t="s">
        <v>277</v>
      </c>
      <c r="L423">
        <v>1</v>
      </c>
      <c r="M423" s="28">
        <v>0</v>
      </c>
      <c r="N423" s="36">
        <f t="shared" si="7"/>
        <v>0</v>
      </c>
      <c r="O423" s="21">
        <v>12.334408602150537</v>
      </c>
      <c r="P423" t="s">
        <v>30</v>
      </c>
      <c r="Q423" t="s">
        <v>31</v>
      </c>
      <c r="R423" s="1">
        <v>46056</v>
      </c>
      <c r="S423" t="s">
        <v>32</v>
      </c>
    </row>
    <row r="424" spans="1:21" x14ac:dyDescent="0.25">
      <c r="A424" t="s">
        <v>470</v>
      </c>
      <c r="B424" t="s">
        <v>481</v>
      </c>
      <c r="C424" t="s">
        <v>482</v>
      </c>
      <c r="D424" t="s">
        <v>480</v>
      </c>
      <c r="E424" s="38" t="s">
        <v>24</v>
      </c>
      <c r="F424" t="s">
        <v>483</v>
      </c>
      <c r="G424" t="s">
        <v>420</v>
      </c>
      <c r="H424" t="s">
        <v>57</v>
      </c>
      <c r="I424" t="s">
        <v>28</v>
      </c>
      <c r="J424">
        <v>488</v>
      </c>
      <c r="K424" t="s">
        <v>277</v>
      </c>
      <c r="L424">
        <v>3</v>
      </c>
      <c r="M424" s="28">
        <v>0</v>
      </c>
      <c r="N424" s="36">
        <f t="shared" si="7"/>
        <v>0</v>
      </c>
      <c r="O424" s="21">
        <v>19.35483870967742</v>
      </c>
      <c r="P424" t="s">
        <v>30</v>
      </c>
      <c r="Q424" t="s">
        <v>31</v>
      </c>
      <c r="R424" s="1">
        <v>46056</v>
      </c>
      <c r="S424" t="s">
        <v>32</v>
      </c>
    </row>
    <row r="425" spans="1:21" x14ac:dyDescent="0.25">
      <c r="A425" t="s">
        <v>470</v>
      </c>
      <c r="B425" t="s">
        <v>481</v>
      </c>
      <c r="C425" t="s">
        <v>482</v>
      </c>
      <c r="D425" t="s">
        <v>480</v>
      </c>
      <c r="E425" s="38" t="s">
        <v>24</v>
      </c>
      <c r="F425" t="s">
        <v>483</v>
      </c>
      <c r="G425" t="s">
        <v>400</v>
      </c>
      <c r="H425" t="s">
        <v>57</v>
      </c>
      <c r="I425" t="s">
        <v>28</v>
      </c>
      <c r="J425">
        <v>488</v>
      </c>
      <c r="K425" t="s">
        <v>277</v>
      </c>
      <c r="L425">
        <v>5</v>
      </c>
      <c r="M425" s="28">
        <v>0</v>
      </c>
      <c r="N425" s="36">
        <f t="shared" si="7"/>
        <v>0</v>
      </c>
      <c r="O425" s="21">
        <v>29.56989247311828</v>
      </c>
      <c r="P425" t="s">
        <v>30</v>
      </c>
      <c r="Q425" t="s">
        <v>31</v>
      </c>
      <c r="R425" s="1">
        <v>46056</v>
      </c>
      <c r="S425" t="s">
        <v>32</v>
      </c>
    </row>
    <row r="426" spans="1:21" ht="15.75" x14ac:dyDescent="0.25">
      <c r="A426" t="s">
        <v>470</v>
      </c>
      <c r="B426" t="s">
        <v>375</v>
      </c>
      <c r="C426" t="s">
        <v>376</v>
      </c>
      <c r="D426" t="s">
        <v>485</v>
      </c>
      <c r="E426" s="38" t="s">
        <v>24</v>
      </c>
      <c r="F426" t="s">
        <v>55</v>
      </c>
      <c r="G426" t="s">
        <v>42</v>
      </c>
      <c r="H426" t="s">
        <v>57</v>
      </c>
      <c r="I426" t="s">
        <v>28</v>
      </c>
      <c r="J426">
        <v>489</v>
      </c>
      <c r="K426" t="s">
        <v>29</v>
      </c>
      <c r="L426">
        <v>200</v>
      </c>
      <c r="M426" s="28">
        <v>0</v>
      </c>
      <c r="N426" s="36">
        <f t="shared" si="7"/>
        <v>0</v>
      </c>
      <c r="O426" s="21">
        <v>0</v>
      </c>
      <c r="P426" t="s">
        <v>30</v>
      </c>
      <c r="Q426" t="s">
        <v>31</v>
      </c>
      <c r="R426" s="1">
        <v>46061</v>
      </c>
      <c r="S426" t="s">
        <v>32</v>
      </c>
      <c r="T426" s="2" t="s">
        <v>486</v>
      </c>
      <c r="U426" s="3">
        <v>46001</v>
      </c>
    </row>
    <row r="427" spans="1:21" ht="15.75" x14ac:dyDescent="0.25">
      <c r="A427" t="s">
        <v>470</v>
      </c>
      <c r="B427" t="s">
        <v>375</v>
      </c>
      <c r="C427" t="s">
        <v>376</v>
      </c>
      <c r="D427" t="s">
        <v>485</v>
      </c>
      <c r="E427" s="38" t="s">
        <v>24</v>
      </c>
      <c r="F427" t="s">
        <v>55</v>
      </c>
      <c r="G427" t="s">
        <v>42</v>
      </c>
      <c r="H427" t="s">
        <v>57</v>
      </c>
      <c r="I427" t="s">
        <v>28</v>
      </c>
      <c r="J427">
        <v>490</v>
      </c>
      <c r="K427" t="s">
        <v>29</v>
      </c>
      <c r="L427">
        <v>300</v>
      </c>
      <c r="M427" s="28">
        <v>0</v>
      </c>
      <c r="N427" s="36">
        <f t="shared" si="7"/>
        <v>0</v>
      </c>
      <c r="O427" s="21">
        <v>0</v>
      </c>
      <c r="P427" t="s">
        <v>30</v>
      </c>
      <c r="Q427" t="s">
        <v>31</v>
      </c>
      <c r="R427" s="1">
        <v>46067</v>
      </c>
      <c r="S427" t="s">
        <v>32</v>
      </c>
      <c r="T427" s="2" t="s">
        <v>487</v>
      </c>
      <c r="U427" s="3">
        <v>46372</v>
      </c>
    </row>
    <row r="428" spans="1:21" ht="15.75" x14ac:dyDescent="0.25">
      <c r="A428" t="s">
        <v>470</v>
      </c>
      <c r="B428" t="s">
        <v>406</v>
      </c>
      <c r="C428" t="s">
        <v>407</v>
      </c>
      <c r="D428" t="s">
        <v>485</v>
      </c>
      <c r="E428" t="s">
        <v>48</v>
      </c>
      <c r="F428" t="s">
        <v>59</v>
      </c>
      <c r="G428" t="s">
        <v>408</v>
      </c>
      <c r="H428" t="s">
        <v>57</v>
      </c>
      <c r="I428" t="s">
        <v>28</v>
      </c>
      <c r="J428">
        <v>491</v>
      </c>
      <c r="K428" t="s">
        <v>124</v>
      </c>
      <c r="L428">
        <v>120</v>
      </c>
      <c r="M428" s="28">
        <v>0</v>
      </c>
      <c r="N428" s="36">
        <f t="shared" si="7"/>
        <v>0</v>
      </c>
      <c r="O428" s="21">
        <v>0</v>
      </c>
      <c r="P428" t="s">
        <v>30</v>
      </c>
      <c r="Q428" t="s">
        <v>31</v>
      </c>
      <c r="R428" s="1">
        <v>46164</v>
      </c>
      <c r="S428" t="s">
        <v>32</v>
      </c>
      <c r="T428" s="2" t="s">
        <v>488</v>
      </c>
      <c r="U428" s="3">
        <v>46045</v>
      </c>
    </row>
    <row r="429" spans="1:21" ht="15.75" x14ac:dyDescent="0.25">
      <c r="A429" t="s">
        <v>470</v>
      </c>
      <c r="B429" t="s">
        <v>406</v>
      </c>
      <c r="C429" t="s">
        <v>407</v>
      </c>
      <c r="D429" t="s">
        <v>485</v>
      </c>
      <c r="E429" t="s">
        <v>48</v>
      </c>
      <c r="F429" t="s">
        <v>59</v>
      </c>
      <c r="G429" t="s">
        <v>409</v>
      </c>
      <c r="H429" t="s">
        <v>57</v>
      </c>
      <c r="I429" t="s">
        <v>28</v>
      </c>
      <c r="J429">
        <v>491</v>
      </c>
      <c r="K429" t="s">
        <v>124</v>
      </c>
      <c r="L429">
        <v>5</v>
      </c>
      <c r="M429" s="28">
        <v>0</v>
      </c>
      <c r="N429" s="36">
        <f t="shared" si="7"/>
        <v>0</v>
      </c>
      <c r="O429" s="21">
        <v>0</v>
      </c>
      <c r="P429" t="s">
        <v>30</v>
      </c>
      <c r="Q429" t="s">
        <v>31</v>
      </c>
      <c r="R429" s="1">
        <v>46164</v>
      </c>
      <c r="S429" t="s">
        <v>32</v>
      </c>
      <c r="T429" s="2" t="s">
        <v>488</v>
      </c>
      <c r="U429" s="3">
        <v>46045</v>
      </c>
    </row>
    <row r="430" spans="1:21" ht="15.75" x14ac:dyDescent="0.25">
      <c r="A430" t="s">
        <v>470</v>
      </c>
      <c r="B430" t="s">
        <v>406</v>
      </c>
      <c r="C430" t="s">
        <v>407</v>
      </c>
      <c r="D430" t="s">
        <v>485</v>
      </c>
      <c r="E430" t="s">
        <v>48</v>
      </c>
      <c r="F430" t="s">
        <v>59</v>
      </c>
      <c r="G430" t="s">
        <v>288</v>
      </c>
      <c r="H430" t="s">
        <v>57</v>
      </c>
      <c r="I430" t="s">
        <v>28</v>
      </c>
      <c r="J430">
        <v>491</v>
      </c>
      <c r="K430" t="s">
        <v>124</v>
      </c>
      <c r="L430">
        <v>1</v>
      </c>
      <c r="M430" s="28">
        <v>0</v>
      </c>
      <c r="N430" s="36">
        <f t="shared" si="7"/>
        <v>0</v>
      </c>
      <c r="O430" s="21">
        <v>0</v>
      </c>
      <c r="P430" t="s">
        <v>30</v>
      </c>
      <c r="Q430" t="s">
        <v>31</v>
      </c>
      <c r="R430" s="1">
        <v>46164</v>
      </c>
      <c r="S430" t="s">
        <v>32</v>
      </c>
      <c r="T430" s="2" t="s">
        <v>488</v>
      </c>
      <c r="U430" s="3">
        <v>46045</v>
      </c>
    </row>
    <row r="431" spans="1:21" ht="15.75" x14ac:dyDescent="0.25">
      <c r="A431" t="s">
        <v>470</v>
      </c>
      <c r="B431" t="s">
        <v>406</v>
      </c>
      <c r="C431" t="s">
        <v>407</v>
      </c>
      <c r="D431" t="s">
        <v>485</v>
      </c>
      <c r="E431" t="s">
        <v>48</v>
      </c>
      <c r="F431" t="s">
        <v>59</v>
      </c>
      <c r="G431" t="s">
        <v>410</v>
      </c>
      <c r="H431" t="s">
        <v>27</v>
      </c>
      <c r="I431" t="s">
        <v>28</v>
      </c>
      <c r="J431">
        <v>492</v>
      </c>
      <c r="K431" t="s">
        <v>124</v>
      </c>
      <c r="L431">
        <v>60</v>
      </c>
      <c r="M431" s="28">
        <v>0</v>
      </c>
      <c r="N431" s="36">
        <f t="shared" si="7"/>
        <v>0</v>
      </c>
      <c r="O431" s="21">
        <v>0</v>
      </c>
      <c r="P431" t="s">
        <v>30</v>
      </c>
      <c r="Q431" t="s">
        <v>31</v>
      </c>
      <c r="R431" s="1">
        <v>46164</v>
      </c>
      <c r="S431" t="s">
        <v>32</v>
      </c>
      <c r="T431" s="2" t="s">
        <v>489</v>
      </c>
      <c r="U431" s="3">
        <v>46045</v>
      </c>
    </row>
    <row r="432" spans="1:21" ht="15.75" x14ac:dyDescent="0.25">
      <c r="A432" t="s">
        <v>470</v>
      </c>
      <c r="B432" t="s">
        <v>406</v>
      </c>
      <c r="C432" t="s">
        <v>407</v>
      </c>
      <c r="D432" t="s">
        <v>485</v>
      </c>
      <c r="E432" t="s">
        <v>48</v>
      </c>
      <c r="F432" t="s">
        <v>59</v>
      </c>
      <c r="G432" t="s">
        <v>411</v>
      </c>
      <c r="H432" t="s">
        <v>27</v>
      </c>
      <c r="I432" t="s">
        <v>28</v>
      </c>
      <c r="J432">
        <v>492</v>
      </c>
      <c r="K432" t="s">
        <v>124</v>
      </c>
      <c r="L432">
        <v>480</v>
      </c>
      <c r="M432" s="28">
        <v>0</v>
      </c>
      <c r="N432" s="36">
        <f t="shared" si="7"/>
        <v>0</v>
      </c>
      <c r="O432" s="21">
        <v>0</v>
      </c>
      <c r="P432" t="s">
        <v>30</v>
      </c>
      <c r="Q432" t="s">
        <v>31</v>
      </c>
      <c r="R432" s="1">
        <v>46164</v>
      </c>
      <c r="S432" t="s">
        <v>32</v>
      </c>
      <c r="T432" s="2" t="s">
        <v>489</v>
      </c>
      <c r="U432" s="3">
        <v>46045</v>
      </c>
    </row>
    <row r="433" spans="1:21" ht="15.75" x14ac:dyDescent="0.25">
      <c r="A433" t="s">
        <v>470</v>
      </c>
      <c r="B433" t="s">
        <v>406</v>
      </c>
      <c r="C433" t="s">
        <v>407</v>
      </c>
      <c r="D433" t="s">
        <v>485</v>
      </c>
      <c r="E433" t="s">
        <v>48</v>
      </c>
      <c r="F433" t="s">
        <v>59</v>
      </c>
      <c r="G433" t="s">
        <v>290</v>
      </c>
      <c r="H433" t="s">
        <v>27</v>
      </c>
      <c r="I433" t="s">
        <v>28</v>
      </c>
      <c r="J433">
        <v>492</v>
      </c>
      <c r="K433" t="s">
        <v>124</v>
      </c>
      <c r="L433">
        <v>440</v>
      </c>
      <c r="M433" s="28">
        <v>0</v>
      </c>
      <c r="N433" s="36">
        <f t="shared" si="7"/>
        <v>0</v>
      </c>
      <c r="O433" s="21">
        <v>0</v>
      </c>
      <c r="P433" t="s">
        <v>30</v>
      </c>
      <c r="Q433" t="s">
        <v>31</v>
      </c>
      <c r="R433" s="1">
        <v>46164</v>
      </c>
      <c r="S433" t="s">
        <v>32</v>
      </c>
      <c r="T433" s="2" t="s">
        <v>489</v>
      </c>
      <c r="U433" s="3">
        <v>46045</v>
      </c>
    </row>
    <row r="434" spans="1:21" ht="15.75" x14ac:dyDescent="0.25">
      <c r="A434" t="s">
        <v>470</v>
      </c>
      <c r="B434" t="s">
        <v>490</v>
      </c>
      <c r="C434" t="s">
        <v>491</v>
      </c>
      <c r="D434" t="s">
        <v>492</v>
      </c>
      <c r="E434" t="s">
        <v>89</v>
      </c>
      <c r="F434" t="s">
        <v>25</v>
      </c>
      <c r="G434" t="s">
        <v>42</v>
      </c>
      <c r="H434" t="s">
        <v>27</v>
      </c>
      <c r="I434" t="s">
        <v>28</v>
      </c>
      <c r="J434">
        <v>493</v>
      </c>
      <c r="K434" t="s">
        <v>29</v>
      </c>
      <c r="L434">
        <v>320</v>
      </c>
      <c r="M434" s="28">
        <v>0</v>
      </c>
      <c r="N434" s="36">
        <f t="shared" si="7"/>
        <v>0</v>
      </c>
      <c r="O434" s="21">
        <v>0</v>
      </c>
      <c r="P434" t="s">
        <v>30</v>
      </c>
      <c r="Q434" t="s">
        <v>31</v>
      </c>
      <c r="R434" s="1">
        <v>46088</v>
      </c>
      <c r="S434" t="s">
        <v>32</v>
      </c>
      <c r="T434" s="2" t="s">
        <v>493</v>
      </c>
      <c r="U434" s="3">
        <v>45978</v>
      </c>
    </row>
    <row r="435" spans="1:21" ht="15.75" x14ac:dyDescent="0.25">
      <c r="A435" t="s">
        <v>470</v>
      </c>
      <c r="B435" t="s">
        <v>490</v>
      </c>
      <c r="C435" t="s">
        <v>491</v>
      </c>
      <c r="D435" t="s">
        <v>492</v>
      </c>
      <c r="E435" t="s">
        <v>89</v>
      </c>
      <c r="F435" t="s">
        <v>25</v>
      </c>
      <c r="G435" t="s">
        <v>303</v>
      </c>
      <c r="H435" t="s">
        <v>27</v>
      </c>
      <c r="I435" t="s">
        <v>28</v>
      </c>
      <c r="J435">
        <v>493</v>
      </c>
      <c r="K435" t="s">
        <v>29</v>
      </c>
      <c r="L435">
        <v>80</v>
      </c>
      <c r="M435" s="28">
        <v>0</v>
      </c>
      <c r="N435" s="36">
        <f t="shared" si="7"/>
        <v>0</v>
      </c>
      <c r="O435" s="21">
        <v>0</v>
      </c>
      <c r="P435" t="s">
        <v>30</v>
      </c>
      <c r="Q435" t="s">
        <v>31</v>
      </c>
      <c r="R435" s="1">
        <v>46088</v>
      </c>
      <c r="S435" t="s">
        <v>32</v>
      </c>
      <c r="T435" s="2" t="s">
        <v>493</v>
      </c>
      <c r="U435" s="3">
        <v>45978</v>
      </c>
    </row>
    <row r="436" spans="1:21" ht="15.75" x14ac:dyDescent="0.25">
      <c r="A436" t="s">
        <v>470</v>
      </c>
      <c r="B436" t="s">
        <v>490</v>
      </c>
      <c r="C436" t="s">
        <v>491</v>
      </c>
      <c r="D436" t="s">
        <v>492</v>
      </c>
      <c r="E436" t="s">
        <v>89</v>
      </c>
      <c r="F436" t="s">
        <v>25</v>
      </c>
      <c r="G436" t="s">
        <v>494</v>
      </c>
      <c r="H436" t="s">
        <v>27</v>
      </c>
      <c r="I436" t="s">
        <v>28</v>
      </c>
      <c r="J436">
        <v>493</v>
      </c>
      <c r="K436" t="s">
        <v>29</v>
      </c>
      <c r="L436">
        <v>10</v>
      </c>
      <c r="M436" s="28">
        <v>0</v>
      </c>
      <c r="N436" s="36">
        <f t="shared" si="7"/>
        <v>0</v>
      </c>
      <c r="O436" s="21">
        <v>0</v>
      </c>
      <c r="P436" t="s">
        <v>30</v>
      </c>
      <c r="Q436" t="s">
        <v>31</v>
      </c>
      <c r="R436" s="1">
        <v>46088</v>
      </c>
      <c r="S436" t="s">
        <v>32</v>
      </c>
      <c r="T436" s="2" t="s">
        <v>493</v>
      </c>
      <c r="U436" s="3">
        <v>45978</v>
      </c>
    </row>
    <row r="437" spans="1:21" ht="15.75" x14ac:dyDescent="0.25">
      <c r="A437" t="s">
        <v>470</v>
      </c>
      <c r="B437" t="s">
        <v>490</v>
      </c>
      <c r="C437" t="s">
        <v>491</v>
      </c>
      <c r="D437" t="s">
        <v>492</v>
      </c>
      <c r="E437" t="s">
        <v>89</v>
      </c>
      <c r="F437" t="s">
        <v>25</v>
      </c>
      <c r="G437" t="s">
        <v>154</v>
      </c>
      <c r="H437" t="s">
        <v>27</v>
      </c>
      <c r="I437" t="s">
        <v>28</v>
      </c>
      <c r="J437">
        <v>493</v>
      </c>
      <c r="K437" t="s">
        <v>29</v>
      </c>
      <c r="L437">
        <v>80</v>
      </c>
      <c r="M437" s="28">
        <v>0</v>
      </c>
      <c r="N437" s="36">
        <f t="shared" si="7"/>
        <v>0</v>
      </c>
      <c r="O437" s="21">
        <v>0</v>
      </c>
      <c r="P437" t="s">
        <v>30</v>
      </c>
      <c r="Q437" t="s">
        <v>31</v>
      </c>
      <c r="R437" s="1">
        <v>46088</v>
      </c>
      <c r="S437" t="s">
        <v>32</v>
      </c>
      <c r="T437" s="2" t="s">
        <v>493</v>
      </c>
      <c r="U437" s="3">
        <v>45978</v>
      </c>
    </row>
    <row r="438" spans="1:21" ht="15.75" x14ac:dyDescent="0.25">
      <c r="A438" t="s">
        <v>470</v>
      </c>
      <c r="B438" t="s">
        <v>490</v>
      </c>
      <c r="C438" t="s">
        <v>491</v>
      </c>
      <c r="D438" t="s">
        <v>492</v>
      </c>
      <c r="E438" t="s">
        <v>89</v>
      </c>
      <c r="F438" t="s">
        <v>25</v>
      </c>
      <c r="G438" t="s">
        <v>495</v>
      </c>
      <c r="H438" t="s">
        <v>27</v>
      </c>
      <c r="I438" t="s">
        <v>28</v>
      </c>
      <c r="J438">
        <v>493</v>
      </c>
      <c r="K438" t="s">
        <v>29</v>
      </c>
      <c r="L438">
        <v>10</v>
      </c>
      <c r="M438" s="28">
        <v>0</v>
      </c>
      <c r="N438" s="36">
        <f t="shared" si="7"/>
        <v>0</v>
      </c>
      <c r="O438" s="21">
        <v>0</v>
      </c>
      <c r="P438" t="s">
        <v>30</v>
      </c>
      <c r="Q438" t="s">
        <v>31</v>
      </c>
      <c r="R438" s="1">
        <v>46088</v>
      </c>
      <c r="S438" t="s">
        <v>32</v>
      </c>
      <c r="T438" s="2" t="s">
        <v>493</v>
      </c>
      <c r="U438" s="3">
        <v>45978</v>
      </c>
    </row>
    <row r="439" spans="1:21" ht="15.75" x14ac:dyDescent="0.25">
      <c r="A439" t="s">
        <v>470</v>
      </c>
      <c r="B439" t="s">
        <v>490</v>
      </c>
      <c r="C439" t="s">
        <v>491</v>
      </c>
      <c r="D439" t="s">
        <v>492</v>
      </c>
      <c r="E439" t="s">
        <v>89</v>
      </c>
      <c r="F439" t="s">
        <v>25</v>
      </c>
      <c r="G439" t="s">
        <v>159</v>
      </c>
      <c r="H439" t="s">
        <v>27</v>
      </c>
      <c r="I439" t="s">
        <v>28</v>
      </c>
      <c r="J439">
        <v>493</v>
      </c>
      <c r="K439" t="s">
        <v>29</v>
      </c>
      <c r="L439">
        <v>320</v>
      </c>
      <c r="M439" s="28">
        <v>0</v>
      </c>
      <c r="N439" s="36">
        <f t="shared" si="7"/>
        <v>0</v>
      </c>
      <c r="O439" s="21">
        <v>0</v>
      </c>
      <c r="P439" t="s">
        <v>30</v>
      </c>
      <c r="Q439" t="s">
        <v>31</v>
      </c>
      <c r="R439" s="1">
        <v>46088</v>
      </c>
      <c r="S439" t="s">
        <v>32</v>
      </c>
      <c r="T439" s="2" t="s">
        <v>493</v>
      </c>
      <c r="U439" s="3">
        <v>45978</v>
      </c>
    </row>
    <row r="440" spans="1:21" ht="15.75" x14ac:dyDescent="0.25">
      <c r="A440" t="s">
        <v>470</v>
      </c>
      <c r="B440" t="s">
        <v>490</v>
      </c>
      <c r="C440" t="s">
        <v>491</v>
      </c>
      <c r="D440" t="s">
        <v>492</v>
      </c>
      <c r="E440" t="s">
        <v>89</v>
      </c>
      <c r="F440" t="s">
        <v>25</v>
      </c>
      <c r="G440" t="s">
        <v>123</v>
      </c>
      <c r="H440" t="s">
        <v>27</v>
      </c>
      <c r="I440" t="s">
        <v>28</v>
      </c>
      <c r="J440">
        <v>493</v>
      </c>
      <c r="K440" t="s">
        <v>29</v>
      </c>
      <c r="L440">
        <v>280</v>
      </c>
      <c r="M440" s="28">
        <v>0</v>
      </c>
      <c r="N440" s="36">
        <f t="shared" si="7"/>
        <v>0</v>
      </c>
      <c r="O440" s="21">
        <v>0</v>
      </c>
      <c r="P440" t="s">
        <v>30</v>
      </c>
      <c r="Q440" t="s">
        <v>31</v>
      </c>
      <c r="R440" s="1">
        <v>46088</v>
      </c>
      <c r="S440" t="s">
        <v>32</v>
      </c>
      <c r="T440" s="2" t="s">
        <v>493</v>
      </c>
      <c r="U440" s="3">
        <v>45978</v>
      </c>
    </row>
    <row r="441" spans="1:21" ht="15.75" x14ac:dyDescent="0.25">
      <c r="A441" t="s">
        <v>470</v>
      </c>
      <c r="B441" t="s">
        <v>490</v>
      </c>
      <c r="C441" t="s">
        <v>491</v>
      </c>
      <c r="D441" t="s">
        <v>492</v>
      </c>
      <c r="E441" t="s">
        <v>89</v>
      </c>
      <c r="F441" t="s">
        <v>25</v>
      </c>
      <c r="G441" t="s">
        <v>496</v>
      </c>
      <c r="H441" t="s">
        <v>27</v>
      </c>
      <c r="I441" t="s">
        <v>28</v>
      </c>
      <c r="J441">
        <v>493</v>
      </c>
      <c r="K441" t="s">
        <v>29</v>
      </c>
      <c r="L441">
        <v>140</v>
      </c>
      <c r="M441" s="28">
        <v>0</v>
      </c>
      <c r="N441" s="36">
        <f t="shared" si="7"/>
        <v>0</v>
      </c>
      <c r="O441" s="21">
        <v>0</v>
      </c>
      <c r="P441" t="s">
        <v>30</v>
      </c>
      <c r="Q441" t="s">
        <v>31</v>
      </c>
      <c r="R441" s="1">
        <v>46088</v>
      </c>
      <c r="S441" t="s">
        <v>32</v>
      </c>
      <c r="T441" s="2" t="s">
        <v>493</v>
      </c>
      <c r="U441" s="3">
        <v>45978</v>
      </c>
    </row>
    <row r="442" spans="1:21" ht="15.75" x14ac:dyDescent="0.25">
      <c r="A442" t="s">
        <v>470</v>
      </c>
      <c r="B442" t="s">
        <v>490</v>
      </c>
      <c r="C442" t="s">
        <v>491</v>
      </c>
      <c r="D442" t="s">
        <v>492</v>
      </c>
      <c r="E442" t="s">
        <v>89</v>
      </c>
      <c r="F442" t="s">
        <v>25</v>
      </c>
      <c r="G442" t="s">
        <v>497</v>
      </c>
      <c r="H442" t="s">
        <v>27</v>
      </c>
      <c r="I442" t="s">
        <v>28</v>
      </c>
      <c r="J442">
        <v>493</v>
      </c>
      <c r="K442" t="s">
        <v>7</v>
      </c>
      <c r="L442">
        <v>28</v>
      </c>
      <c r="M442" s="28">
        <v>0</v>
      </c>
      <c r="N442" s="36">
        <f t="shared" si="7"/>
        <v>0</v>
      </c>
      <c r="O442" s="21">
        <v>0</v>
      </c>
      <c r="P442" t="s">
        <v>30</v>
      </c>
      <c r="Q442" t="s">
        <v>31</v>
      </c>
      <c r="R442" s="1">
        <v>46088</v>
      </c>
      <c r="S442" t="s">
        <v>32</v>
      </c>
      <c r="T442" s="2" t="s">
        <v>493</v>
      </c>
      <c r="U442" s="3">
        <v>45978</v>
      </c>
    </row>
    <row r="443" spans="1:21" ht="15.75" x14ac:dyDescent="0.25">
      <c r="A443" t="s">
        <v>470</v>
      </c>
      <c r="B443" t="s">
        <v>490</v>
      </c>
      <c r="C443" t="s">
        <v>491</v>
      </c>
      <c r="D443" t="s">
        <v>492</v>
      </c>
      <c r="E443" t="s">
        <v>89</v>
      </c>
      <c r="F443" t="s">
        <v>25</v>
      </c>
      <c r="G443" t="s">
        <v>45</v>
      </c>
      <c r="H443" t="s">
        <v>27</v>
      </c>
      <c r="I443" t="s">
        <v>28</v>
      </c>
      <c r="J443">
        <v>493</v>
      </c>
      <c r="K443" t="s">
        <v>29</v>
      </c>
      <c r="L443">
        <v>460</v>
      </c>
      <c r="M443" s="28">
        <v>0</v>
      </c>
      <c r="N443" s="36">
        <f t="shared" si="7"/>
        <v>0</v>
      </c>
      <c r="O443" s="21">
        <v>0</v>
      </c>
      <c r="P443" t="s">
        <v>30</v>
      </c>
      <c r="Q443" t="s">
        <v>31</v>
      </c>
      <c r="R443" s="1">
        <v>46088</v>
      </c>
      <c r="S443" t="s">
        <v>32</v>
      </c>
      <c r="T443" s="2" t="s">
        <v>493</v>
      </c>
      <c r="U443" s="3">
        <v>45978</v>
      </c>
    </row>
    <row r="444" spans="1:21" ht="15.75" x14ac:dyDescent="0.25">
      <c r="A444" t="s">
        <v>470</v>
      </c>
      <c r="B444" t="s">
        <v>498</v>
      </c>
      <c r="C444" t="s">
        <v>499</v>
      </c>
      <c r="D444" t="s">
        <v>492</v>
      </c>
      <c r="E444" t="s">
        <v>89</v>
      </c>
      <c r="F444" t="s">
        <v>59</v>
      </c>
      <c r="G444" t="s">
        <v>254</v>
      </c>
      <c r="H444" t="s">
        <v>57</v>
      </c>
      <c r="I444" t="s">
        <v>65</v>
      </c>
      <c r="J444">
        <v>194</v>
      </c>
      <c r="K444" t="s">
        <v>124</v>
      </c>
      <c r="L444">
        <v>80</v>
      </c>
      <c r="M444" s="28">
        <v>336175</v>
      </c>
      <c r="N444" s="36">
        <f t="shared" si="7"/>
        <v>4202.1875</v>
      </c>
      <c r="O444" s="21">
        <v>361.47849462365593</v>
      </c>
      <c r="P444" t="s">
        <v>30</v>
      </c>
      <c r="Q444" t="s">
        <v>31</v>
      </c>
      <c r="R444" s="1">
        <v>46178</v>
      </c>
      <c r="S444" t="s">
        <v>32</v>
      </c>
      <c r="T444" s="2"/>
      <c r="U444" s="2"/>
    </row>
    <row r="445" spans="1:21" ht="15.75" x14ac:dyDescent="0.25">
      <c r="A445" t="s">
        <v>470</v>
      </c>
      <c r="B445" t="s">
        <v>498</v>
      </c>
      <c r="C445" t="s">
        <v>499</v>
      </c>
      <c r="D445" t="s">
        <v>492</v>
      </c>
      <c r="E445" t="s">
        <v>89</v>
      </c>
      <c r="F445" t="s">
        <v>59</v>
      </c>
      <c r="G445" t="s">
        <v>321</v>
      </c>
      <c r="H445" t="s">
        <v>57</v>
      </c>
      <c r="I445" t="s">
        <v>65</v>
      </c>
      <c r="J445">
        <v>194</v>
      </c>
      <c r="K445" t="s">
        <v>124</v>
      </c>
      <c r="L445">
        <v>10</v>
      </c>
      <c r="M445" s="28">
        <v>42022</v>
      </c>
      <c r="N445" s="36">
        <f t="shared" si="7"/>
        <v>4202.2</v>
      </c>
      <c r="O445" s="21">
        <v>45.184946236559142</v>
      </c>
      <c r="P445" t="s">
        <v>30</v>
      </c>
      <c r="Q445" t="s">
        <v>31</v>
      </c>
      <c r="R445" s="1">
        <v>46178</v>
      </c>
      <c r="S445" t="s">
        <v>32</v>
      </c>
      <c r="T445" s="2"/>
      <c r="U445" s="2"/>
    </row>
    <row r="446" spans="1:21" ht="15.75" x14ac:dyDescent="0.25">
      <c r="A446" t="s">
        <v>470</v>
      </c>
      <c r="B446" t="s">
        <v>500</v>
      </c>
      <c r="C446" t="s">
        <v>501</v>
      </c>
      <c r="D446" t="s">
        <v>502</v>
      </c>
      <c r="E446" t="s">
        <v>48</v>
      </c>
      <c r="F446" t="s">
        <v>25</v>
      </c>
      <c r="G446" t="s">
        <v>243</v>
      </c>
      <c r="H446" t="s">
        <v>27</v>
      </c>
      <c r="I446" t="s">
        <v>65</v>
      </c>
      <c r="J446">
        <v>195</v>
      </c>
      <c r="K446" t="s">
        <v>124</v>
      </c>
      <c r="L446">
        <v>20</v>
      </c>
      <c r="M446" s="28">
        <v>178400</v>
      </c>
      <c r="N446" s="36">
        <f t="shared" si="7"/>
        <v>8920</v>
      </c>
      <c r="O446" s="21">
        <v>191.8279569892473</v>
      </c>
      <c r="P446" t="s">
        <v>30</v>
      </c>
      <c r="Q446" t="s">
        <v>31</v>
      </c>
      <c r="R446" s="1">
        <v>46089</v>
      </c>
      <c r="S446" t="s">
        <v>32</v>
      </c>
      <c r="T446" s="2"/>
      <c r="U446" s="2"/>
    </row>
    <row r="447" spans="1:21" ht="15.75" x14ac:dyDescent="0.25">
      <c r="A447" t="s">
        <v>470</v>
      </c>
      <c r="B447" t="s">
        <v>500</v>
      </c>
      <c r="C447" t="s">
        <v>501</v>
      </c>
      <c r="D447" t="s">
        <v>502</v>
      </c>
      <c r="E447" t="s">
        <v>48</v>
      </c>
      <c r="F447" t="s">
        <v>25</v>
      </c>
      <c r="G447" t="s">
        <v>166</v>
      </c>
      <c r="H447" t="s">
        <v>27</v>
      </c>
      <c r="I447" t="s">
        <v>65</v>
      </c>
      <c r="J447">
        <v>195</v>
      </c>
      <c r="K447" t="s">
        <v>124</v>
      </c>
      <c r="L447">
        <v>20</v>
      </c>
      <c r="M447" s="28">
        <v>104800</v>
      </c>
      <c r="N447" s="36">
        <f t="shared" si="7"/>
        <v>5240</v>
      </c>
      <c r="O447" s="21">
        <v>112.68817204301075</v>
      </c>
      <c r="P447" t="s">
        <v>30</v>
      </c>
      <c r="Q447" t="s">
        <v>31</v>
      </c>
      <c r="R447" s="1">
        <v>46089</v>
      </c>
      <c r="S447" t="s">
        <v>32</v>
      </c>
      <c r="T447" s="2"/>
      <c r="U447" s="2"/>
    </row>
    <row r="448" spans="1:21" ht="15.75" x14ac:dyDescent="0.25">
      <c r="A448" t="s">
        <v>470</v>
      </c>
      <c r="B448" t="s">
        <v>500</v>
      </c>
      <c r="C448" t="s">
        <v>501</v>
      </c>
      <c r="D448" t="s">
        <v>502</v>
      </c>
      <c r="E448" t="s">
        <v>48</v>
      </c>
      <c r="F448" t="s">
        <v>25</v>
      </c>
      <c r="G448" t="s">
        <v>327</v>
      </c>
      <c r="H448" t="s">
        <v>27</v>
      </c>
      <c r="I448" t="s">
        <v>65</v>
      </c>
      <c r="J448">
        <v>195</v>
      </c>
      <c r="K448" t="s">
        <v>124</v>
      </c>
      <c r="L448">
        <v>5</v>
      </c>
      <c r="M448" s="28">
        <v>28895</v>
      </c>
      <c r="N448" s="36">
        <f t="shared" si="7"/>
        <v>5779</v>
      </c>
      <c r="O448" s="21">
        <v>31.06989247311828</v>
      </c>
      <c r="P448" t="s">
        <v>30</v>
      </c>
      <c r="Q448" t="s">
        <v>31</v>
      </c>
      <c r="R448" s="1">
        <v>46089</v>
      </c>
      <c r="S448" t="s">
        <v>32</v>
      </c>
      <c r="T448" s="2"/>
      <c r="U448" s="2"/>
    </row>
    <row r="449" spans="1:21" ht="15.75" x14ac:dyDescent="0.25">
      <c r="A449" t="s">
        <v>470</v>
      </c>
      <c r="B449" t="s">
        <v>500</v>
      </c>
      <c r="C449" t="s">
        <v>501</v>
      </c>
      <c r="D449" t="s">
        <v>502</v>
      </c>
      <c r="E449" t="s">
        <v>48</v>
      </c>
      <c r="F449" t="s">
        <v>25</v>
      </c>
      <c r="G449" t="s">
        <v>276</v>
      </c>
      <c r="H449" t="s">
        <v>27</v>
      </c>
      <c r="I449" t="s">
        <v>65</v>
      </c>
      <c r="J449">
        <v>195</v>
      </c>
      <c r="K449" t="s">
        <v>277</v>
      </c>
      <c r="L449">
        <v>3</v>
      </c>
      <c r="M449" s="28">
        <v>114000</v>
      </c>
      <c r="N449" s="36">
        <f t="shared" si="7"/>
        <v>38000</v>
      </c>
      <c r="O449" s="21">
        <v>122.58064516129032</v>
      </c>
      <c r="P449" t="s">
        <v>30</v>
      </c>
      <c r="Q449" t="s">
        <v>31</v>
      </c>
      <c r="R449" s="1">
        <v>46089</v>
      </c>
      <c r="S449" t="s">
        <v>32</v>
      </c>
      <c r="T449" s="2"/>
      <c r="U449" s="2"/>
    </row>
    <row r="450" spans="1:21" ht="15.75" x14ac:dyDescent="0.25">
      <c r="A450" t="s">
        <v>470</v>
      </c>
      <c r="B450" t="s">
        <v>500</v>
      </c>
      <c r="C450" t="s">
        <v>501</v>
      </c>
      <c r="D450" t="s">
        <v>502</v>
      </c>
      <c r="E450" t="s">
        <v>48</v>
      </c>
      <c r="F450" t="s">
        <v>25</v>
      </c>
      <c r="G450" t="s">
        <v>198</v>
      </c>
      <c r="H450" t="s">
        <v>27</v>
      </c>
      <c r="I450" t="s">
        <v>65</v>
      </c>
      <c r="J450">
        <v>195</v>
      </c>
      <c r="K450" t="s">
        <v>277</v>
      </c>
      <c r="L450">
        <v>1</v>
      </c>
      <c r="M450" s="28">
        <v>28000</v>
      </c>
      <c r="N450" s="36">
        <f t="shared" si="7"/>
        <v>28000</v>
      </c>
      <c r="O450" s="21">
        <v>30.107526881720432</v>
      </c>
      <c r="P450" t="s">
        <v>30</v>
      </c>
      <c r="Q450" t="s">
        <v>31</v>
      </c>
      <c r="R450" s="1">
        <v>46089</v>
      </c>
      <c r="S450" t="s">
        <v>32</v>
      </c>
      <c r="T450" s="2"/>
      <c r="U450" s="2"/>
    </row>
    <row r="451" spans="1:21" ht="15.75" x14ac:dyDescent="0.25">
      <c r="A451" t="s">
        <v>470</v>
      </c>
      <c r="B451" t="s">
        <v>500</v>
      </c>
      <c r="C451" t="s">
        <v>501</v>
      </c>
      <c r="D451" t="s">
        <v>502</v>
      </c>
      <c r="E451" t="s">
        <v>48</v>
      </c>
      <c r="F451" t="s">
        <v>25</v>
      </c>
      <c r="G451" t="s">
        <v>468</v>
      </c>
      <c r="H451" t="s">
        <v>27</v>
      </c>
      <c r="I451" t="s">
        <v>65</v>
      </c>
      <c r="J451">
        <v>195</v>
      </c>
      <c r="K451" t="s">
        <v>277</v>
      </c>
      <c r="L451">
        <v>1</v>
      </c>
      <c r="M451" s="28">
        <v>28000</v>
      </c>
      <c r="N451" s="36">
        <f t="shared" si="7"/>
        <v>28000</v>
      </c>
      <c r="O451" s="21">
        <v>30.107526881720432</v>
      </c>
      <c r="P451" t="s">
        <v>30</v>
      </c>
      <c r="Q451" t="s">
        <v>31</v>
      </c>
      <c r="R451" s="1">
        <v>46089</v>
      </c>
      <c r="S451" t="s">
        <v>32</v>
      </c>
      <c r="T451" s="2"/>
      <c r="U451" s="2"/>
    </row>
    <row r="452" spans="1:21" ht="15.75" x14ac:dyDescent="0.25">
      <c r="A452" t="s">
        <v>470</v>
      </c>
      <c r="B452" t="s">
        <v>503</v>
      </c>
      <c r="C452" t="s">
        <v>504</v>
      </c>
      <c r="D452" t="s">
        <v>502</v>
      </c>
      <c r="E452" t="s">
        <v>89</v>
      </c>
      <c r="F452" t="s">
        <v>25</v>
      </c>
      <c r="G452" t="s">
        <v>380</v>
      </c>
      <c r="H452" t="s">
        <v>27</v>
      </c>
      <c r="I452" t="s">
        <v>65</v>
      </c>
      <c r="J452">
        <v>196</v>
      </c>
      <c r="K452" t="s">
        <v>124</v>
      </c>
      <c r="L452">
        <v>20</v>
      </c>
      <c r="M452" s="28">
        <v>80000</v>
      </c>
      <c r="N452" s="36">
        <f t="shared" si="7"/>
        <v>4000</v>
      </c>
      <c r="O452" s="21">
        <v>86.021505376344081</v>
      </c>
      <c r="P452" t="s">
        <v>30</v>
      </c>
      <c r="Q452" t="s">
        <v>31</v>
      </c>
      <c r="R452" s="1">
        <v>46089</v>
      </c>
      <c r="S452" t="s">
        <v>32</v>
      </c>
      <c r="T452" s="2"/>
      <c r="U452" s="2"/>
    </row>
    <row r="453" spans="1:21" ht="15.75" x14ac:dyDescent="0.25">
      <c r="A453" t="s">
        <v>470</v>
      </c>
      <c r="B453" t="s">
        <v>503</v>
      </c>
      <c r="C453" t="s">
        <v>504</v>
      </c>
      <c r="D453" t="s">
        <v>502</v>
      </c>
      <c r="E453" t="s">
        <v>89</v>
      </c>
      <c r="F453" t="s">
        <v>25</v>
      </c>
      <c r="G453" t="s">
        <v>468</v>
      </c>
      <c r="H453" t="s">
        <v>27</v>
      </c>
      <c r="I453" t="s">
        <v>65</v>
      </c>
      <c r="J453">
        <v>196</v>
      </c>
      <c r="K453" t="s">
        <v>277</v>
      </c>
      <c r="L453">
        <v>2</v>
      </c>
      <c r="M453" s="28">
        <v>56000</v>
      </c>
      <c r="N453" s="36">
        <f t="shared" si="7"/>
        <v>28000</v>
      </c>
      <c r="O453" s="21">
        <v>60.215053763440864</v>
      </c>
      <c r="P453" t="s">
        <v>30</v>
      </c>
      <c r="Q453" t="s">
        <v>31</v>
      </c>
      <c r="R453" s="1">
        <v>46089</v>
      </c>
      <c r="S453" t="s">
        <v>32</v>
      </c>
      <c r="T453" s="2"/>
      <c r="U453" s="2"/>
    </row>
    <row r="454" spans="1:21" ht="15.75" x14ac:dyDescent="0.25">
      <c r="A454" t="s">
        <v>470</v>
      </c>
      <c r="B454" t="s">
        <v>503</v>
      </c>
      <c r="C454" t="s">
        <v>504</v>
      </c>
      <c r="D454" t="s">
        <v>502</v>
      </c>
      <c r="E454" t="s">
        <v>89</v>
      </c>
      <c r="F454" t="s">
        <v>25</v>
      </c>
      <c r="G454" t="s">
        <v>283</v>
      </c>
      <c r="H454" t="s">
        <v>27</v>
      </c>
      <c r="I454" t="s">
        <v>65</v>
      </c>
      <c r="J454">
        <v>196</v>
      </c>
      <c r="K454" t="s">
        <v>124</v>
      </c>
      <c r="L454">
        <v>10</v>
      </c>
      <c r="M454" s="28">
        <v>103000</v>
      </c>
      <c r="N454" s="36">
        <f t="shared" si="7"/>
        <v>10300</v>
      </c>
      <c r="O454" s="21">
        <v>110.75268817204301</v>
      </c>
      <c r="P454" t="s">
        <v>30</v>
      </c>
      <c r="Q454" t="s">
        <v>31</v>
      </c>
      <c r="R454" s="1">
        <v>46089</v>
      </c>
      <c r="S454" t="s">
        <v>32</v>
      </c>
      <c r="T454" s="2"/>
      <c r="U454" s="2"/>
    </row>
    <row r="455" spans="1:21" ht="15.75" x14ac:dyDescent="0.25">
      <c r="A455" t="s">
        <v>470</v>
      </c>
      <c r="B455" t="s">
        <v>384</v>
      </c>
      <c r="C455" t="s">
        <v>385</v>
      </c>
      <c r="D455" t="s">
        <v>505</v>
      </c>
      <c r="E455" t="s">
        <v>48</v>
      </c>
      <c r="F455" t="s">
        <v>59</v>
      </c>
      <c r="G455" t="s">
        <v>290</v>
      </c>
      <c r="H455" t="s">
        <v>27</v>
      </c>
      <c r="I455" t="s">
        <v>28</v>
      </c>
      <c r="J455">
        <v>494</v>
      </c>
      <c r="K455" t="s">
        <v>124</v>
      </c>
      <c r="L455">
        <v>60</v>
      </c>
      <c r="M455" s="28">
        <v>143520</v>
      </c>
      <c r="N455" s="36">
        <f t="shared" si="7"/>
        <v>2392</v>
      </c>
      <c r="O455" s="21">
        <v>154.32258064516128</v>
      </c>
      <c r="P455" t="s">
        <v>30</v>
      </c>
      <c r="Q455" t="s">
        <v>31</v>
      </c>
      <c r="R455" s="1">
        <v>46093</v>
      </c>
      <c r="S455" t="s">
        <v>32</v>
      </c>
      <c r="T455" s="2"/>
      <c r="U455" s="2"/>
    </row>
    <row r="456" spans="1:21" ht="15.75" x14ac:dyDescent="0.25">
      <c r="A456" t="s">
        <v>470</v>
      </c>
      <c r="B456" t="s">
        <v>506</v>
      </c>
      <c r="C456" t="s">
        <v>507</v>
      </c>
      <c r="D456" t="s">
        <v>505</v>
      </c>
      <c r="E456" t="s">
        <v>382</v>
      </c>
      <c r="F456" t="s">
        <v>37</v>
      </c>
      <c r="G456" t="s">
        <v>443</v>
      </c>
      <c r="H456" t="s">
        <v>27</v>
      </c>
      <c r="I456" t="s">
        <v>28</v>
      </c>
      <c r="J456">
        <v>495</v>
      </c>
      <c r="K456" t="s">
        <v>124</v>
      </c>
      <c r="L456">
        <v>1000</v>
      </c>
      <c r="M456" s="28">
        <v>2300000</v>
      </c>
      <c r="N456" s="36">
        <f t="shared" si="7"/>
        <v>2300</v>
      </c>
      <c r="O456" s="21">
        <v>2473.1182795698924</v>
      </c>
      <c r="P456" t="s">
        <v>30</v>
      </c>
      <c r="Q456" t="s">
        <v>31</v>
      </c>
      <c r="R456" s="1">
        <v>46144</v>
      </c>
      <c r="S456" t="s">
        <v>32</v>
      </c>
      <c r="T456" s="2"/>
      <c r="U456" s="2"/>
    </row>
    <row r="457" spans="1:21" ht="15.75" x14ac:dyDescent="0.25">
      <c r="A457" t="s">
        <v>470</v>
      </c>
      <c r="B457" t="s">
        <v>506</v>
      </c>
      <c r="C457" t="s">
        <v>507</v>
      </c>
      <c r="D457" t="s">
        <v>505</v>
      </c>
      <c r="E457" t="s">
        <v>382</v>
      </c>
      <c r="F457" t="s">
        <v>37</v>
      </c>
      <c r="G457" t="s">
        <v>252</v>
      </c>
      <c r="H457" t="s">
        <v>27</v>
      </c>
      <c r="I457" t="s">
        <v>28</v>
      </c>
      <c r="J457">
        <v>495</v>
      </c>
      <c r="K457" t="s">
        <v>124</v>
      </c>
      <c r="L457">
        <v>80</v>
      </c>
      <c r="M457" s="28">
        <v>184000</v>
      </c>
      <c r="N457" s="36">
        <f t="shared" si="7"/>
        <v>2300</v>
      </c>
      <c r="O457" s="21">
        <v>197.84946236559139</v>
      </c>
      <c r="P457" t="s">
        <v>30</v>
      </c>
      <c r="Q457" t="s">
        <v>31</v>
      </c>
      <c r="R457" s="1">
        <v>46144</v>
      </c>
      <c r="S457" t="s">
        <v>32</v>
      </c>
      <c r="T457" s="2"/>
      <c r="U457" s="2"/>
    </row>
    <row r="458" spans="1:21" ht="15.75" x14ac:dyDescent="0.25">
      <c r="A458" t="s">
        <v>470</v>
      </c>
      <c r="B458" t="s">
        <v>508</v>
      </c>
      <c r="C458" t="s">
        <v>509</v>
      </c>
      <c r="D458" t="s">
        <v>505</v>
      </c>
      <c r="E458" t="s">
        <v>158</v>
      </c>
      <c r="F458" t="s">
        <v>90</v>
      </c>
      <c r="G458" t="s">
        <v>245</v>
      </c>
      <c r="H458" t="s">
        <v>27</v>
      </c>
      <c r="I458" t="s">
        <v>28</v>
      </c>
      <c r="J458">
        <v>496</v>
      </c>
      <c r="K458" t="s">
        <v>124</v>
      </c>
      <c r="L458">
        <v>100</v>
      </c>
      <c r="M458" s="28">
        <v>840000</v>
      </c>
      <c r="N458" s="36">
        <f t="shared" si="7"/>
        <v>8400</v>
      </c>
      <c r="O458" s="21">
        <v>903.22580645161293</v>
      </c>
      <c r="P458" t="s">
        <v>30</v>
      </c>
      <c r="Q458" t="s">
        <v>31</v>
      </c>
      <c r="R458" s="1">
        <v>46063</v>
      </c>
      <c r="S458" t="s">
        <v>32</v>
      </c>
      <c r="T458" s="2"/>
      <c r="U458" s="2"/>
    </row>
    <row r="459" spans="1:21" ht="15.75" x14ac:dyDescent="0.25">
      <c r="A459" t="s">
        <v>470</v>
      </c>
      <c r="B459" t="s">
        <v>510</v>
      </c>
      <c r="C459" t="s">
        <v>511</v>
      </c>
      <c r="D459" t="s">
        <v>505</v>
      </c>
      <c r="E459" t="s">
        <v>512</v>
      </c>
      <c r="F459" t="s">
        <v>49</v>
      </c>
      <c r="G459" t="s">
        <v>513</v>
      </c>
      <c r="H459" t="s">
        <v>86</v>
      </c>
      <c r="I459" t="s">
        <v>28</v>
      </c>
      <c r="J459">
        <v>497</v>
      </c>
      <c r="K459" t="s">
        <v>7</v>
      </c>
      <c r="L459">
        <v>2</v>
      </c>
      <c r="M459" s="28">
        <v>0</v>
      </c>
      <c r="N459" s="36">
        <f t="shared" ref="N459:N523" si="8">M459/L459</f>
        <v>0</v>
      </c>
      <c r="O459" s="21">
        <v>112.68817204301075</v>
      </c>
      <c r="P459" t="s">
        <v>30</v>
      </c>
      <c r="Q459" t="s">
        <v>31</v>
      </c>
      <c r="R459" s="1">
        <v>46063</v>
      </c>
      <c r="S459" t="s">
        <v>32</v>
      </c>
      <c r="T459" s="2"/>
      <c r="U459" s="2"/>
    </row>
    <row r="460" spans="1:21" ht="15.75" x14ac:dyDescent="0.25">
      <c r="A460" t="s">
        <v>470</v>
      </c>
      <c r="B460" t="s">
        <v>146</v>
      </c>
      <c r="C460" t="s">
        <v>147</v>
      </c>
      <c r="D460" t="s">
        <v>505</v>
      </c>
      <c r="E460" t="s">
        <v>512</v>
      </c>
      <c r="F460" t="s">
        <v>49</v>
      </c>
      <c r="G460" t="s">
        <v>514</v>
      </c>
      <c r="H460" t="s">
        <v>86</v>
      </c>
      <c r="I460" t="s">
        <v>28</v>
      </c>
      <c r="J460">
        <v>498</v>
      </c>
      <c r="K460" t="s">
        <v>7</v>
      </c>
      <c r="L460">
        <v>1</v>
      </c>
      <c r="M460" s="28">
        <v>0</v>
      </c>
      <c r="N460" s="36">
        <f t="shared" si="8"/>
        <v>0</v>
      </c>
      <c r="O460" s="21">
        <v>56.344086021505376</v>
      </c>
      <c r="P460" t="s">
        <v>30</v>
      </c>
      <c r="Q460" t="s">
        <v>31</v>
      </c>
      <c r="R460" s="1">
        <v>46063</v>
      </c>
      <c r="S460" t="s">
        <v>32</v>
      </c>
      <c r="T460" s="2"/>
      <c r="U460" s="2"/>
    </row>
    <row r="461" spans="1:21" ht="15.75" x14ac:dyDescent="0.25">
      <c r="A461" t="s">
        <v>470</v>
      </c>
      <c r="B461" t="s">
        <v>146</v>
      </c>
      <c r="C461" t="s">
        <v>147</v>
      </c>
      <c r="D461" t="s">
        <v>505</v>
      </c>
      <c r="E461" t="s">
        <v>512</v>
      </c>
      <c r="F461" t="s">
        <v>49</v>
      </c>
      <c r="G461" t="s">
        <v>515</v>
      </c>
      <c r="H461" t="s">
        <v>57</v>
      </c>
      <c r="I461" t="s">
        <v>28</v>
      </c>
      <c r="J461">
        <v>498</v>
      </c>
      <c r="K461" t="s">
        <v>7</v>
      </c>
      <c r="L461">
        <v>1</v>
      </c>
      <c r="M461" s="28">
        <v>0</v>
      </c>
      <c r="N461" s="36">
        <f t="shared" si="8"/>
        <v>0</v>
      </c>
      <c r="O461" s="21">
        <v>56.344086021505376</v>
      </c>
      <c r="P461" t="s">
        <v>30</v>
      </c>
      <c r="Q461" t="s">
        <v>31</v>
      </c>
      <c r="R461" s="1">
        <v>46063</v>
      </c>
      <c r="S461" t="s">
        <v>32</v>
      </c>
      <c r="T461" s="2"/>
      <c r="U461" s="2"/>
    </row>
    <row r="462" spans="1:21" ht="15.75" x14ac:dyDescent="0.25">
      <c r="A462" t="s">
        <v>470</v>
      </c>
      <c r="B462" t="s">
        <v>516</v>
      </c>
      <c r="C462" t="s">
        <v>517</v>
      </c>
      <c r="D462" t="s">
        <v>505</v>
      </c>
      <c r="E462" t="s">
        <v>48</v>
      </c>
      <c r="F462" t="s">
        <v>25</v>
      </c>
      <c r="G462" t="s">
        <v>245</v>
      </c>
      <c r="H462" t="s">
        <v>57</v>
      </c>
      <c r="I462" t="s">
        <v>28</v>
      </c>
      <c r="J462">
        <v>499</v>
      </c>
      <c r="K462" t="s">
        <v>124</v>
      </c>
      <c r="L462">
        <v>40</v>
      </c>
      <c r="M462" s="28">
        <v>0</v>
      </c>
      <c r="N462" s="36">
        <f t="shared" si="8"/>
        <v>0</v>
      </c>
      <c r="O462" s="21">
        <v>0</v>
      </c>
      <c r="P462" t="s">
        <v>30</v>
      </c>
      <c r="Q462" t="s">
        <v>31</v>
      </c>
      <c r="R462" s="1">
        <v>46093</v>
      </c>
      <c r="S462" t="s">
        <v>32</v>
      </c>
      <c r="T462" s="2" t="s">
        <v>518</v>
      </c>
      <c r="U462" s="3">
        <v>46055</v>
      </c>
    </row>
    <row r="463" spans="1:21" ht="15.75" x14ac:dyDescent="0.25">
      <c r="A463" t="s">
        <v>470</v>
      </c>
      <c r="B463" t="s">
        <v>516</v>
      </c>
      <c r="C463" t="s">
        <v>517</v>
      </c>
      <c r="D463" t="s">
        <v>505</v>
      </c>
      <c r="E463" t="s">
        <v>48</v>
      </c>
      <c r="F463" t="s">
        <v>25</v>
      </c>
      <c r="G463" t="s">
        <v>328</v>
      </c>
      <c r="H463" t="s">
        <v>57</v>
      </c>
      <c r="I463" t="s">
        <v>28</v>
      </c>
      <c r="J463">
        <v>499</v>
      </c>
      <c r="K463" t="s">
        <v>124</v>
      </c>
      <c r="L463">
        <v>10</v>
      </c>
      <c r="M463" s="28">
        <v>0</v>
      </c>
      <c r="N463" s="36">
        <f t="shared" si="8"/>
        <v>0</v>
      </c>
      <c r="O463" s="21">
        <v>0</v>
      </c>
      <c r="P463" t="s">
        <v>30</v>
      </c>
      <c r="Q463" t="s">
        <v>31</v>
      </c>
      <c r="R463" s="1">
        <v>46093</v>
      </c>
      <c r="S463" t="s">
        <v>32</v>
      </c>
      <c r="T463" s="2" t="s">
        <v>518</v>
      </c>
      <c r="U463" s="3">
        <v>46055</v>
      </c>
    </row>
    <row r="464" spans="1:21" ht="15.75" x14ac:dyDescent="0.25">
      <c r="A464" t="s">
        <v>470</v>
      </c>
      <c r="B464" t="s">
        <v>519</v>
      </c>
      <c r="C464" t="s">
        <v>520</v>
      </c>
      <c r="D464" t="s">
        <v>505</v>
      </c>
      <c r="E464" s="38" t="s">
        <v>24</v>
      </c>
      <c r="F464" t="s">
        <v>25</v>
      </c>
      <c r="G464" t="s">
        <v>322</v>
      </c>
      <c r="H464" t="s">
        <v>27</v>
      </c>
      <c r="I464" t="s">
        <v>28</v>
      </c>
      <c r="J464">
        <v>500</v>
      </c>
      <c r="K464" t="s">
        <v>124</v>
      </c>
      <c r="L464">
        <v>60</v>
      </c>
      <c r="M464" s="28">
        <v>858000</v>
      </c>
      <c r="N464" s="36">
        <f t="shared" si="8"/>
        <v>14300</v>
      </c>
      <c r="O464" s="21">
        <v>922.58064516129036</v>
      </c>
      <c r="P464" t="s">
        <v>30</v>
      </c>
      <c r="Q464" t="s">
        <v>31</v>
      </c>
      <c r="R464" s="1">
        <v>46093</v>
      </c>
      <c r="S464" t="s">
        <v>32</v>
      </c>
      <c r="T464" s="2"/>
      <c r="U464" s="2"/>
    </row>
    <row r="465" spans="1:21" ht="15.75" x14ac:dyDescent="0.25">
      <c r="A465" t="s">
        <v>470</v>
      </c>
      <c r="B465" t="s">
        <v>516</v>
      </c>
      <c r="C465" t="s">
        <v>517</v>
      </c>
      <c r="D465" t="s">
        <v>505</v>
      </c>
      <c r="E465" t="s">
        <v>48</v>
      </c>
      <c r="F465" t="s">
        <v>25</v>
      </c>
      <c r="G465" t="s">
        <v>245</v>
      </c>
      <c r="H465" t="s">
        <v>27</v>
      </c>
      <c r="I465" t="s">
        <v>28</v>
      </c>
      <c r="J465">
        <v>501</v>
      </c>
      <c r="K465" t="s">
        <v>124</v>
      </c>
      <c r="L465">
        <v>40</v>
      </c>
      <c r="M465" s="28">
        <v>300000</v>
      </c>
      <c r="N465" s="36">
        <f t="shared" si="8"/>
        <v>7500</v>
      </c>
      <c r="O465" s="21">
        <v>322.58064516129031</v>
      </c>
      <c r="P465" t="s">
        <v>30</v>
      </c>
      <c r="Q465" t="s">
        <v>31</v>
      </c>
      <c r="R465" s="1">
        <v>46093</v>
      </c>
      <c r="S465" t="s">
        <v>32</v>
      </c>
      <c r="T465" s="2"/>
      <c r="U465" s="2"/>
    </row>
    <row r="466" spans="1:21" ht="15.75" x14ac:dyDescent="0.25">
      <c r="A466" t="s">
        <v>470</v>
      </c>
      <c r="B466" t="s">
        <v>516</v>
      </c>
      <c r="C466" t="s">
        <v>517</v>
      </c>
      <c r="D466" t="s">
        <v>505</v>
      </c>
      <c r="E466" t="s">
        <v>48</v>
      </c>
      <c r="F466" t="s">
        <v>25</v>
      </c>
      <c r="G466" t="s">
        <v>328</v>
      </c>
      <c r="H466" t="s">
        <v>27</v>
      </c>
      <c r="I466" t="s">
        <v>28</v>
      </c>
      <c r="J466">
        <v>501</v>
      </c>
      <c r="K466" t="s">
        <v>124</v>
      </c>
      <c r="L466">
        <v>10</v>
      </c>
      <c r="M466" s="28">
        <v>75000</v>
      </c>
      <c r="N466" s="36">
        <f t="shared" si="8"/>
        <v>7500</v>
      </c>
      <c r="O466" s="21">
        <v>80.645161290322577</v>
      </c>
      <c r="P466" t="s">
        <v>30</v>
      </c>
      <c r="Q466" t="s">
        <v>31</v>
      </c>
      <c r="R466" s="1">
        <v>46093</v>
      </c>
      <c r="S466" t="s">
        <v>32</v>
      </c>
      <c r="T466" s="2"/>
      <c r="U466" s="2"/>
    </row>
    <row r="467" spans="1:21" ht="15.75" x14ac:dyDescent="0.25">
      <c r="A467" t="s">
        <v>470</v>
      </c>
      <c r="B467" t="s">
        <v>521</v>
      </c>
      <c r="C467" s="30" t="s">
        <v>639</v>
      </c>
      <c r="D467" t="s">
        <v>505</v>
      </c>
      <c r="E467" t="s">
        <v>89</v>
      </c>
      <c r="F467" t="s">
        <v>25</v>
      </c>
      <c r="G467" t="s">
        <v>408</v>
      </c>
      <c r="H467" t="s">
        <v>27</v>
      </c>
      <c r="I467" t="s">
        <v>28</v>
      </c>
      <c r="J467">
        <v>502</v>
      </c>
      <c r="K467" t="s">
        <v>124</v>
      </c>
      <c r="L467">
        <v>20</v>
      </c>
      <c r="M467" s="28">
        <v>300000</v>
      </c>
      <c r="N467" s="36">
        <f t="shared" si="8"/>
        <v>15000</v>
      </c>
      <c r="O467" s="21">
        <v>322.58064516129031</v>
      </c>
      <c r="P467" t="s">
        <v>30</v>
      </c>
      <c r="Q467" t="s">
        <v>31</v>
      </c>
      <c r="R467" s="1">
        <v>46183</v>
      </c>
      <c r="S467" t="s">
        <v>32</v>
      </c>
      <c r="T467" s="2"/>
      <c r="U467" s="2"/>
    </row>
    <row r="468" spans="1:21" ht="15.75" x14ac:dyDescent="0.25">
      <c r="A468" t="s">
        <v>470</v>
      </c>
      <c r="B468" t="s">
        <v>503</v>
      </c>
      <c r="C468" t="s">
        <v>504</v>
      </c>
      <c r="D468" t="s">
        <v>505</v>
      </c>
      <c r="E468" t="s">
        <v>89</v>
      </c>
      <c r="F468" t="s">
        <v>25</v>
      </c>
      <c r="G468" t="s">
        <v>380</v>
      </c>
      <c r="H468" t="s">
        <v>27</v>
      </c>
      <c r="I468" t="s">
        <v>28</v>
      </c>
      <c r="J468">
        <v>503</v>
      </c>
      <c r="K468" t="s">
        <v>124</v>
      </c>
      <c r="L468">
        <v>20</v>
      </c>
      <c r="M468" s="28">
        <v>0</v>
      </c>
      <c r="N468" s="36">
        <f t="shared" si="8"/>
        <v>0</v>
      </c>
      <c r="O468" s="21">
        <v>0</v>
      </c>
      <c r="P468" t="s">
        <v>30</v>
      </c>
      <c r="Q468" t="s">
        <v>31</v>
      </c>
      <c r="R468" s="1">
        <v>46093</v>
      </c>
      <c r="S468" t="s">
        <v>32</v>
      </c>
      <c r="T468" s="2" t="s">
        <v>522</v>
      </c>
      <c r="U468" s="3">
        <v>46059</v>
      </c>
    </row>
    <row r="469" spans="1:21" ht="15.75" x14ac:dyDescent="0.25">
      <c r="A469" t="s">
        <v>470</v>
      </c>
      <c r="B469" t="s">
        <v>503</v>
      </c>
      <c r="C469" t="s">
        <v>504</v>
      </c>
      <c r="D469" t="s">
        <v>505</v>
      </c>
      <c r="E469" t="s">
        <v>89</v>
      </c>
      <c r="F469" t="s">
        <v>25</v>
      </c>
      <c r="G469" t="s">
        <v>468</v>
      </c>
      <c r="H469" t="s">
        <v>27</v>
      </c>
      <c r="I469" t="s">
        <v>28</v>
      </c>
      <c r="J469">
        <v>503</v>
      </c>
      <c r="K469" t="s">
        <v>277</v>
      </c>
      <c r="L469">
        <v>2</v>
      </c>
      <c r="M469" s="28">
        <v>0</v>
      </c>
      <c r="N469" s="36">
        <f t="shared" si="8"/>
        <v>0</v>
      </c>
      <c r="O469" s="21">
        <v>0</v>
      </c>
      <c r="P469" t="s">
        <v>30</v>
      </c>
      <c r="Q469" t="s">
        <v>31</v>
      </c>
      <c r="R469" s="1">
        <v>46093</v>
      </c>
      <c r="S469" t="s">
        <v>32</v>
      </c>
      <c r="T469" s="2" t="s">
        <v>522</v>
      </c>
      <c r="U469" s="3">
        <v>46059</v>
      </c>
    </row>
    <row r="470" spans="1:21" ht="15.75" x14ac:dyDescent="0.25">
      <c r="A470" t="s">
        <v>470</v>
      </c>
      <c r="B470" t="s">
        <v>503</v>
      </c>
      <c r="C470" t="s">
        <v>504</v>
      </c>
      <c r="D470" t="s">
        <v>505</v>
      </c>
      <c r="E470" t="s">
        <v>89</v>
      </c>
      <c r="F470" t="s">
        <v>25</v>
      </c>
      <c r="G470" t="s">
        <v>283</v>
      </c>
      <c r="H470" t="s">
        <v>27</v>
      </c>
      <c r="I470" t="s">
        <v>28</v>
      </c>
      <c r="J470">
        <v>503</v>
      </c>
      <c r="K470" t="s">
        <v>124</v>
      </c>
      <c r="L470">
        <v>10</v>
      </c>
      <c r="M470" s="28">
        <v>0</v>
      </c>
      <c r="N470" s="36">
        <f t="shared" si="8"/>
        <v>0</v>
      </c>
      <c r="O470" s="21">
        <v>0</v>
      </c>
      <c r="P470" t="s">
        <v>30</v>
      </c>
      <c r="Q470" t="s">
        <v>31</v>
      </c>
      <c r="R470" s="1">
        <v>46093</v>
      </c>
      <c r="S470" t="s">
        <v>32</v>
      </c>
      <c r="T470" s="2" t="s">
        <v>522</v>
      </c>
      <c r="U470" s="3">
        <v>46059</v>
      </c>
    </row>
    <row r="471" spans="1:21" ht="15.75" x14ac:dyDescent="0.25">
      <c r="A471" t="s">
        <v>470</v>
      </c>
      <c r="B471" t="s">
        <v>120</v>
      </c>
      <c r="C471" t="s">
        <v>121</v>
      </c>
      <c r="D471" t="s">
        <v>505</v>
      </c>
      <c r="E471" t="s">
        <v>48</v>
      </c>
      <c r="F471" t="s">
        <v>55</v>
      </c>
      <c r="G471" t="s">
        <v>328</v>
      </c>
      <c r="H471" t="s">
        <v>57</v>
      </c>
      <c r="I471" t="s">
        <v>28</v>
      </c>
      <c r="J471">
        <v>504</v>
      </c>
      <c r="K471" t="s">
        <v>124</v>
      </c>
      <c r="L471">
        <v>5</v>
      </c>
      <c r="M471" s="28">
        <v>42713</v>
      </c>
      <c r="N471" s="36">
        <f t="shared" si="8"/>
        <v>8542.6</v>
      </c>
      <c r="O471" s="21">
        <v>0</v>
      </c>
      <c r="P471" t="s">
        <v>30</v>
      </c>
      <c r="Q471" t="s">
        <v>31</v>
      </c>
      <c r="R471" s="1">
        <v>46063</v>
      </c>
      <c r="S471" t="s">
        <v>32</v>
      </c>
      <c r="T471" s="2" t="s">
        <v>523</v>
      </c>
      <c r="U471" s="3">
        <v>46063</v>
      </c>
    </row>
    <row r="472" spans="1:21" ht="15.75" x14ac:dyDescent="0.25">
      <c r="A472" t="s">
        <v>470</v>
      </c>
      <c r="B472" t="s">
        <v>120</v>
      </c>
      <c r="C472" t="s">
        <v>121</v>
      </c>
      <c r="D472" t="s">
        <v>505</v>
      </c>
      <c r="E472" t="s">
        <v>48</v>
      </c>
      <c r="F472" t="s">
        <v>55</v>
      </c>
      <c r="G472" t="s">
        <v>131</v>
      </c>
      <c r="H472" t="s">
        <v>57</v>
      </c>
      <c r="I472" t="s">
        <v>28</v>
      </c>
      <c r="J472">
        <v>505</v>
      </c>
      <c r="K472" t="s">
        <v>29</v>
      </c>
      <c r="L472">
        <v>5</v>
      </c>
      <c r="M472" s="28">
        <v>0</v>
      </c>
      <c r="N472" s="36">
        <f t="shared" si="8"/>
        <v>0</v>
      </c>
      <c r="O472" s="21">
        <v>0</v>
      </c>
      <c r="P472" t="s">
        <v>30</v>
      </c>
      <c r="Q472" t="s">
        <v>31</v>
      </c>
      <c r="R472" s="1">
        <v>46094</v>
      </c>
      <c r="S472" t="s">
        <v>32</v>
      </c>
      <c r="T472" s="2" t="s">
        <v>524</v>
      </c>
      <c r="U472" s="3">
        <v>46036</v>
      </c>
    </row>
    <row r="473" spans="1:21" ht="15.75" x14ac:dyDescent="0.25">
      <c r="A473" t="s">
        <v>470</v>
      </c>
      <c r="B473" t="s">
        <v>120</v>
      </c>
      <c r="C473" t="s">
        <v>121</v>
      </c>
      <c r="D473" t="s">
        <v>505</v>
      </c>
      <c r="E473" t="s">
        <v>48</v>
      </c>
      <c r="F473" t="s">
        <v>55</v>
      </c>
      <c r="G473" t="s">
        <v>247</v>
      </c>
      <c r="H473" t="s">
        <v>57</v>
      </c>
      <c r="I473" t="s">
        <v>28</v>
      </c>
      <c r="J473">
        <v>505</v>
      </c>
      <c r="K473" t="s">
        <v>29</v>
      </c>
      <c r="L473">
        <v>5</v>
      </c>
      <c r="M473" s="28">
        <v>0</v>
      </c>
      <c r="N473" s="36">
        <f t="shared" si="8"/>
        <v>0</v>
      </c>
      <c r="O473" s="21">
        <v>0</v>
      </c>
      <c r="P473" t="s">
        <v>30</v>
      </c>
      <c r="Q473" t="s">
        <v>31</v>
      </c>
      <c r="R473" s="1">
        <v>46094</v>
      </c>
      <c r="S473" t="s">
        <v>32</v>
      </c>
      <c r="T473" s="2" t="s">
        <v>524</v>
      </c>
      <c r="U473" s="3">
        <v>46036</v>
      </c>
    </row>
    <row r="474" spans="1:21" ht="15.75" x14ac:dyDescent="0.25">
      <c r="A474" t="s">
        <v>470</v>
      </c>
      <c r="B474" t="s">
        <v>120</v>
      </c>
      <c r="C474" t="s">
        <v>121</v>
      </c>
      <c r="D474" t="s">
        <v>505</v>
      </c>
      <c r="E474" t="s">
        <v>48</v>
      </c>
      <c r="F474" t="s">
        <v>55</v>
      </c>
      <c r="G474" t="s">
        <v>167</v>
      </c>
      <c r="H474" t="s">
        <v>57</v>
      </c>
      <c r="I474" t="s">
        <v>28</v>
      </c>
      <c r="J474">
        <v>505</v>
      </c>
      <c r="K474" t="s">
        <v>29</v>
      </c>
      <c r="L474">
        <v>2</v>
      </c>
      <c r="M474" s="28">
        <v>0</v>
      </c>
      <c r="N474" s="36">
        <f t="shared" si="8"/>
        <v>0</v>
      </c>
      <c r="O474" s="21">
        <v>0</v>
      </c>
      <c r="P474" t="s">
        <v>30</v>
      </c>
      <c r="Q474" t="s">
        <v>31</v>
      </c>
      <c r="R474" s="1">
        <v>46094</v>
      </c>
      <c r="S474" t="s">
        <v>32</v>
      </c>
      <c r="T474" s="2" t="s">
        <v>524</v>
      </c>
      <c r="U474" s="3">
        <v>46036</v>
      </c>
    </row>
    <row r="475" spans="1:21" ht="15.75" x14ac:dyDescent="0.25">
      <c r="A475" t="s">
        <v>470</v>
      </c>
      <c r="B475" t="s">
        <v>120</v>
      </c>
      <c r="C475" t="s">
        <v>121</v>
      </c>
      <c r="D475" t="s">
        <v>505</v>
      </c>
      <c r="E475" t="s">
        <v>48</v>
      </c>
      <c r="F475" t="s">
        <v>55</v>
      </c>
      <c r="G475" t="s">
        <v>248</v>
      </c>
      <c r="H475" t="s">
        <v>57</v>
      </c>
      <c r="I475" t="s">
        <v>28</v>
      </c>
      <c r="J475">
        <v>505</v>
      </c>
      <c r="K475" t="s">
        <v>7</v>
      </c>
      <c r="L475">
        <v>1</v>
      </c>
      <c r="M475" s="28">
        <v>0</v>
      </c>
      <c r="N475" s="36">
        <f t="shared" si="8"/>
        <v>0</v>
      </c>
      <c r="O475" s="21">
        <v>0</v>
      </c>
      <c r="P475" t="s">
        <v>30</v>
      </c>
      <c r="Q475" t="s">
        <v>31</v>
      </c>
      <c r="R475" s="1">
        <v>46094</v>
      </c>
      <c r="S475" t="s">
        <v>32</v>
      </c>
      <c r="T475" s="2" t="s">
        <v>524</v>
      </c>
      <c r="U475" s="3">
        <v>46036</v>
      </c>
    </row>
    <row r="476" spans="1:21" ht="15.75" x14ac:dyDescent="0.25">
      <c r="A476" t="s">
        <v>470</v>
      </c>
      <c r="B476" t="s">
        <v>120</v>
      </c>
      <c r="C476" t="s">
        <v>121</v>
      </c>
      <c r="D476" t="s">
        <v>505</v>
      </c>
      <c r="E476" t="s">
        <v>48</v>
      </c>
      <c r="F476" t="s">
        <v>55</v>
      </c>
      <c r="G476" t="s">
        <v>328</v>
      </c>
      <c r="H476" t="s">
        <v>57</v>
      </c>
      <c r="I476" t="s">
        <v>28</v>
      </c>
      <c r="J476">
        <v>506</v>
      </c>
      <c r="K476" t="s">
        <v>124</v>
      </c>
      <c r="L476">
        <v>5</v>
      </c>
      <c r="M476" s="28">
        <v>0</v>
      </c>
      <c r="N476" s="36">
        <f t="shared" si="8"/>
        <v>0</v>
      </c>
      <c r="O476" s="21">
        <v>0</v>
      </c>
      <c r="P476" t="s">
        <v>30</v>
      </c>
      <c r="Q476" t="s">
        <v>31</v>
      </c>
      <c r="R476" s="1">
        <v>46104</v>
      </c>
      <c r="S476" t="s">
        <v>32</v>
      </c>
      <c r="T476" s="2" t="s">
        <v>525</v>
      </c>
      <c r="U476" s="3">
        <v>46044</v>
      </c>
    </row>
    <row r="477" spans="1:21" ht="15.75" x14ac:dyDescent="0.25">
      <c r="A477" t="s">
        <v>470</v>
      </c>
      <c r="B477" t="s">
        <v>249</v>
      </c>
      <c r="C477" t="s">
        <v>250</v>
      </c>
      <c r="D477" t="s">
        <v>505</v>
      </c>
      <c r="E477" t="s">
        <v>382</v>
      </c>
      <c r="F477" t="s">
        <v>37</v>
      </c>
      <c r="G477" t="s">
        <v>252</v>
      </c>
      <c r="H477" t="s">
        <v>27</v>
      </c>
      <c r="I477" t="s">
        <v>65</v>
      </c>
      <c r="J477">
        <v>197</v>
      </c>
      <c r="K477" t="s">
        <v>124</v>
      </c>
      <c r="L477">
        <v>200</v>
      </c>
      <c r="M477" s="28">
        <v>500000</v>
      </c>
      <c r="N477" s="36">
        <f t="shared" si="8"/>
        <v>2500</v>
      </c>
      <c r="O477" s="21">
        <v>537.63440860215053</v>
      </c>
      <c r="P477" t="s">
        <v>30</v>
      </c>
      <c r="Q477" t="s">
        <v>31</v>
      </c>
      <c r="R477" s="1">
        <v>46235</v>
      </c>
      <c r="S477" t="s">
        <v>32</v>
      </c>
      <c r="T477" s="2"/>
      <c r="U477" s="2"/>
    </row>
    <row r="478" spans="1:21" ht="15.75" x14ac:dyDescent="0.25">
      <c r="A478" t="s">
        <v>470</v>
      </c>
      <c r="B478" t="s">
        <v>249</v>
      </c>
      <c r="C478" t="s">
        <v>250</v>
      </c>
      <c r="D478" t="s">
        <v>505</v>
      </c>
      <c r="E478" t="s">
        <v>41</v>
      </c>
      <c r="F478" t="s">
        <v>37</v>
      </c>
      <c r="G478" t="s">
        <v>322</v>
      </c>
      <c r="H478" t="s">
        <v>27</v>
      </c>
      <c r="I478" t="s">
        <v>65</v>
      </c>
      <c r="J478">
        <v>197</v>
      </c>
      <c r="K478" t="s">
        <v>124</v>
      </c>
      <c r="L478">
        <v>60</v>
      </c>
      <c r="M478" s="28">
        <v>510000</v>
      </c>
      <c r="N478" s="36">
        <f t="shared" si="8"/>
        <v>8500</v>
      </c>
      <c r="O478" s="21">
        <v>548.38709677419354</v>
      </c>
      <c r="P478" t="s">
        <v>30</v>
      </c>
      <c r="Q478" t="s">
        <v>31</v>
      </c>
      <c r="R478" s="1">
        <v>46235</v>
      </c>
      <c r="S478" t="s">
        <v>32</v>
      </c>
      <c r="T478" s="2"/>
      <c r="U478" s="2"/>
    </row>
    <row r="479" spans="1:21" ht="15.75" x14ac:dyDescent="0.25">
      <c r="A479" t="s">
        <v>470</v>
      </c>
      <c r="B479" t="s">
        <v>516</v>
      </c>
      <c r="C479" t="s">
        <v>517</v>
      </c>
      <c r="D479" t="s">
        <v>505</v>
      </c>
      <c r="E479" t="s">
        <v>48</v>
      </c>
      <c r="F479" t="s">
        <v>25</v>
      </c>
      <c r="G479" t="s">
        <v>245</v>
      </c>
      <c r="H479" t="s">
        <v>57</v>
      </c>
      <c r="I479" t="s">
        <v>65</v>
      </c>
      <c r="J479">
        <v>198</v>
      </c>
      <c r="K479" t="s">
        <v>124</v>
      </c>
      <c r="L479">
        <v>40</v>
      </c>
      <c r="M479" s="28">
        <v>0</v>
      </c>
      <c r="N479" s="36">
        <f t="shared" si="8"/>
        <v>0</v>
      </c>
      <c r="O479" s="21">
        <v>0</v>
      </c>
      <c r="P479" t="s">
        <v>30</v>
      </c>
      <c r="Q479" t="s">
        <v>31</v>
      </c>
      <c r="R479" s="1">
        <v>46093</v>
      </c>
      <c r="S479" t="s">
        <v>32</v>
      </c>
      <c r="T479" s="2"/>
      <c r="U479" s="2"/>
    </row>
    <row r="480" spans="1:21" ht="15.75" x14ac:dyDescent="0.25">
      <c r="A480" t="s">
        <v>470</v>
      </c>
      <c r="B480" t="s">
        <v>516</v>
      </c>
      <c r="C480" t="s">
        <v>517</v>
      </c>
      <c r="D480" t="s">
        <v>505</v>
      </c>
      <c r="E480" t="s">
        <v>48</v>
      </c>
      <c r="F480" t="s">
        <v>25</v>
      </c>
      <c r="G480" t="s">
        <v>328</v>
      </c>
      <c r="H480" t="s">
        <v>57</v>
      </c>
      <c r="I480" t="s">
        <v>65</v>
      </c>
      <c r="J480">
        <v>198</v>
      </c>
      <c r="K480" t="s">
        <v>124</v>
      </c>
      <c r="L480">
        <v>10</v>
      </c>
      <c r="M480" s="28">
        <v>0</v>
      </c>
      <c r="N480" s="36">
        <f t="shared" si="8"/>
        <v>0</v>
      </c>
      <c r="O480" s="21">
        <v>0</v>
      </c>
      <c r="P480" t="s">
        <v>30</v>
      </c>
      <c r="Q480" t="s">
        <v>31</v>
      </c>
      <c r="R480" s="1">
        <v>46093</v>
      </c>
      <c r="S480" t="s">
        <v>32</v>
      </c>
      <c r="T480" s="2"/>
      <c r="U480" s="2"/>
    </row>
    <row r="481" spans="1:21" ht="15.75" x14ac:dyDescent="0.25">
      <c r="A481" t="s">
        <v>470</v>
      </c>
      <c r="B481" t="s">
        <v>120</v>
      </c>
      <c r="C481" t="s">
        <v>121</v>
      </c>
      <c r="D481" t="s">
        <v>505</v>
      </c>
      <c r="E481" t="s">
        <v>48</v>
      </c>
      <c r="F481" t="s">
        <v>55</v>
      </c>
      <c r="G481" t="s">
        <v>328</v>
      </c>
      <c r="H481" t="s">
        <v>57</v>
      </c>
      <c r="I481" t="s">
        <v>65</v>
      </c>
      <c r="J481">
        <v>200</v>
      </c>
      <c r="K481" t="s">
        <v>124</v>
      </c>
      <c r="L481">
        <v>5</v>
      </c>
      <c r="M481" s="28">
        <v>0</v>
      </c>
      <c r="N481" s="36">
        <f t="shared" si="8"/>
        <v>0</v>
      </c>
      <c r="O481" s="21">
        <v>0</v>
      </c>
      <c r="P481" t="s">
        <v>30</v>
      </c>
      <c r="Q481" t="s">
        <v>31</v>
      </c>
      <c r="R481" s="1">
        <v>46093</v>
      </c>
      <c r="S481" t="s">
        <v>32</v>
      </c>
      <c r="T481" s="2"/>
      <c r="U481" s="2"/>
    </row>
    <row r="482" spans="1:21" ht="15.75" x14ac:dyDescent="0.25">
      <c r="A482" t="s">
        <v>470</v>
      </c>
      <c r="B482" t="s">
        <v>142</v>
      </c>
      <c r="C482" t="s">
        <v>143</v>
      </c>
      <c r="D482" t="s">
        <v>526</v>
      </c>
      <c r="E482" t="s">
        <v>48</v>
      </c>
      <c r="F482" t="s">
        <v>55</v>
      </c>
      <c r="G482" t="s">
        <v>323</v>
      </c>
      <c r="H482" t="s">
        <v>57</v>
      </c>
      <c r="I482" t="s">
        <v>28</v>
      </c>
      <c r="J482">
        <v>507</v>
      </c>
      <c r="K482" t="s">
        <v>124</v>
      </c>
      <c r="L482">
        <v>5</v>
      </c>
      <c r="M482" s="28">
        <v>94167</v>
      </c>
      <c r="N482" s="36">
        <f t="shared" si="8"/>
        <v>18833.400000000001</v>
      </c>
      <c r="O482" s="21">
        <v>101.25483870967741</v>
      </c>
      <c r="P482" t="s">
        <v>30</v>
      </c>
      <c r="Q482" t="s">
        <v>31</v>
      </c>
      <c r="R482" s="1">
        <v>46064</v>
      </c>
      <c r="S482" t="s">
        <v>32</v>
      </c>
      <c r="T482" s="2"/>
      <c r="U482" s="2"/>
    </row>
    <row r="483" spans="1:21" ht="15.75" x14ac:dyDescent="0.25">
      <c r="A483" t="s">
        <v>470</v>
      </c>
      <c r="B483" t="s">
        <v>142</v>
      </c>
      <c r="C483" t="s">
        <v>143</v>
      </c>
      <c r="D483" t="s">
        <v>526</v>
      </c>
      <c r="E483" t="s">
        <v>48</v>
      </c>
      <c r="F483" t="s">
        <v>55</v>
      </c>
      <c r="G483" t="s">
        <v>409</v>
      </c>
      <c r="H483" t="s">
        <v>57</v>
      </c>
      <c r="I483" t="s">
        <v>28</v>
      </c>
      <c r="J483">
        <v>507</v>
      </c>
      <c r="K483" t="s">
        <v>124</v>
      </c>
      <c r="L483">
        <v>5</v>
      </c>
      <c r="M483" s="28">
        <v>77045</v>
      </c>
      <c r="N483" s="36">
        <f t="shared" si="8"/>
        <v>15409</v>
      </c>
      <c r="O483" s="21">
        <v>82.844086021505376</v>
      </c>
      <c r="P483" t="s">
        <v>30</v>
      </c>
      <c r="Q483" t="s">
        <v>31</v>
      </c>
      <c r="R483" s="1">
        <v>46064</v>
      </c>
      <c r="S483" t="s">
        <v>32</v>
      </c>
      <c r="T483" s="2"/>
      <c r="U483" s="2"/>
    </row>
    <row r="484" spans="1:21" ht="15.75" x14ac:dyDescent="0.25">
      <c r="A484" t="s">
        <v>470</v>
      </c>
      <c r="B484" t="s">
        <v>142</v>
      </c>
      <c r="C484" t="s">
        <v>143</v>
      </c>
      <c r="D484" t="s">
        <v>526</v>
      </c>
      <c r="E484" t="s">
        <v>48</v>
      </c>
      <c r="F484" t="s">
        <v>55</v>
      </c>
      <c r="G484" t="s">
        <v>294</v>
      </c>
      <c r="H484" t="s">
        <v>57</v>
      </c>
      <c r="I484" t="s">
        <v>28</v>
      </c>
      <c r="J484">
        <v>507</v>
      </c>
      <c r="K484" t="s">
        <v>124</v>
      </c>
      <c r="L484">
        <v>20</v>
      </c>
      <c r="M484" s="28">
        <v>154091</v>
      </c>
      <c r="N484" s="36">
        <f t="shared" si="8"/>
        <v>7704.55</v>
      </c>
      <c r="O484" s="21">
        <v>165.68924731182796</v>
      </c>
      <c r="P484" t="s">
        <v>30</v>
      </c>
      <c r="Q484" t="s">
        <v>31</v>
      </c>
      <c r="R484" s="1">
        <v>46064</v>
      </c>
      <c r="S484" t="s">
        <v>32</v>
      </c>
      <c r="T484" s="2"/>
      <c r="U484" s="2"/>
    </row>
    <row r="485" spans="1:21" ht="15.75" x14ac:dyDescent="0.25">
      <c r="A485" t="s">
        <v>470</v>
      </c>
      <c r="B485" t="s">
        <v>142</v>
      </c>
      <c r="C485" t="s">
        <v>143</v>
      </c>
      <c r="D485" t="s">
        <v>526</v>
      </c>
      <c r="E485" t="s">
        <v>48</v>
      </c>
      <c r="F485" t="s">
        <v>55</v>
      </c>
      <c r="G485" t="s">
        <v>436</v>
      </c>
      <c r="H485" t="s">
        <v>57</v>
      </c>
      <c r="I485" t="s">
        <v>28</v>
      </c>
      <c r="J485">
        <v>507</v>
      </c>
      <c r="K485" t="s">
        <v>124</v>
      </c>
      <c r="L485">
        <v>20</v>
      </c>
      <c r="M485" s="28">
        <v>85606</v>
      </c>
      <c r="N485" s="36">
        <f t="shared" si="8"/>
        <v>4280.3</v>
      </c>
      <c r="O485" s="21">
        <v>92.049462365591395</v>
      </c>
      <c r="P485" t="s">
        <v>30</v>
      </c>
      <c r="Q485" t="s">
        <v>31</v>
      </c>
      <c r="R485" s="1">
        <v>46064</v>
      </c>
      <c r="S485" t="s">
        <v>32</v>
      </c>
      <c r="T485" s="2"/>
      <c r="U485" s="2"/>
    </row>
    <row r="486" spans="1:21" ht="15.75" x14ac:dyDescent="0.25">
      <c r="A486" t="s">
        <v>470</v>
      </c>
      <c r="B486" t="s">
        <v>142</v>
      </c>
      <c r="C486" t="s">
        <v>143</v>
      </c>
      <c r="D486" t="s">
        <v>526</v>
      </c>
      <c r="E486" t="s">
        <v>48</v>
      </c>
      <c r="F486" t="s">
        <v>55</v>
      </c>
      <c r="G486" t="s">
        <v>309</v>
      </c>
      <c r="H486" t="s">
        <v>57</v>
      </c>
      <c r="I486" t="s">
        <v>28</v>
      </c>
      <c r="J486">
        <v>507</v>
      </c>
      <c r="K486" t="s">
        <v>124</v>
      </c>
      <c r="L486">
        <v>20</v>
      </c>
      <c r="M486" s="28">
        <v>85606</v>
      </c>
      <c r="N486" s="36">
        <f t="shared" si="8"/>
        <v>4280.3</v>
      </c>
      <c r="O486" s="21">
        <v>92.049462365591395</v>
      </c>
      <c r="P486" t="s">
        <v>30</v>
      </c>
      <c r="Q486" t="s">
        <v>31</v>
      </c>
      <c r="R486" s="1">
        <v>46064</v>
      </c>
      <c r="S486" t="s">
        <v>32</v>
      </c>
      <c r="T486" s="2"/>
      <c r="U486" s="2"/>
    </row>
    <row r="487" spans="1:21" ht="15.75" x14ac:dyDescent="0.25">
      <c r="A487" t="s">
        <v>470</v>
      </c>
      <c r="B487" t="s">
        <v>142</v>
      </c>
      <c r="C487" t="s">
        <v>143</v>
      </c>
      <c r="D487" t="s">
        <v>526</v>
      </c>
      <c r="E487" t="s">
        <v>48</v>
      </c>
      <c r="F487" t="s">
        <v>55</v>
      </c>
      <c r="G487" t="s">
        <v>439</v>
      </c>
      <c r="H487" t="s">
        <v>57</v>
      </c>
      <c r="I487" t="s">
        <v>28</v>
      </c>
      <c r="J487">
        <v>507</v>
      </c>
      <c r="K487" t="s">
        <v>124</v>
      </c>
      <c r="L487">
        <v>20</v>
      </c>
      <c r="M487" s="28">
        <v>119848</v>
      </c>
      <c r="N487" s="36">
        <f t="shared" si="8"/>
        <v>5992.4</v>
      </c>
      <c r="O487" s="21">
        <v>128.86881720430108</v>
      </c>
      <c r="P487" t="s">
        <v>30</v>
      </c>
      <c r="Q487" t="s">
        <v>31</v>
      </c>
      <c r="R487" s="1">
        <v>46064</v>
      </c>
      <c r="S487" t="s">
        <v>32</v>
      </c>
      <c r="T487" s="2"/>
      <c r="U487" s="2"/>
    </row>
    <row r="488" spans="1:21" ht="15.75" x14ac:dyDescent="0.25">
      <c r="A488" t="s">
        <v>470</v>
      </c>
      <c r="B488" t="s">
        <v>503</v>
      </c>
      <c r="C488" t="s">
        <v>504</v>
      </c>
      <c r="D488" t="s">
        <v>526</v>
      </c>
      <c r="E488" t="s">
        <v>89</v>
      </c>
      <c r="F488" t="s">
        <v>25</v>
      </c>
      <c r="G488" t="s">
        <v>287</v>
      </c>
      <c r="H488" t="s">
        <v>27</v>
      </c>
      <c r="I488" t="s">
        <v>28</v>
      </c>
      <c r="J488">
        <v>508</v>
      </c>
      <c r="K488" t="s">
        <v>124</v>
      </c>
      <c r="L488">
        <v>1</v>
      </c>
      <c r="M488" s="28">
        <v>12800</v>
      </c>
      <c r="N488" s="36">
        <f t="shared" si="8"/>
        <v>12800</v>
      </c>
      <c r="O488" s="21">
        <v>13.763440860215054</v>
      </c>
      <c r="P488" t="s">
        <v>30</v>
      </c>
      <c r="Q488" t="s">
        <v>31</v>
      </c>
      <c r="R488" s="1">
        <v>46064</v>
      </c>
      <c r="S488" t="s">
        <v>32</v>
      </c>
      <c r="T488" s="2"/>
      <c r="U488" s="2"/>
    </row>
    <row r="489" spans="1:21" ht="15.75" x14ac:dyDescent="0.25">
      <c r="A489" t="s">
        <v>470</v>
      </c>
      <c r="B489" t="s">
        <v>527</v>
      </c>
      <c r="C489" t="s">
        <v>528</v>
      </c>
      <c r="D489" t="s">
        <v>529</v>
      </c>
      <c r="E489" t="s">
        <v>530</v>
      </c>
      <c r="F489" t="s">
        <v>25</v>
      </c>
      <c r="G489" t="s">
        <v>283</v>
      </c>
      <c r="H489" t="s">
        <v>27</v>
      </c>
      <c r="I489" t="s">
        <v>28</v>
      </c>
      <c r="J489">
        <v>509</v>
      </c>
      <c r="K489" t="s">
        <v>124</v>
      </c>
      <c r="L489">
        <v>5</v>
      </c>
      <c r="M489" s="28">
        <v>51500</v>
      </c>
      <c r="N489" s="36">
        <f t="shared" si="8"/>
        <v>10300</v>
      </c>
      <c r="O489" s="21">
        <v>55.376344086021504</v>
      </c>
      <c r="P489" t="s">
        <v>30</v>
      </c>
      <c r="Q489" t="s">
        <v>31</v>
      </c>
      <c r="R489" s="1">
        <v>46065</v>
      </c>
      <c r="S489" t="s">
        <v>32</v>
      </c>
      <c r="T489" s="2"/>
      <c r="U489" s="2"/>
    </row>
    <row r="490" spans="1:21" ht="15.75" x14ac:dyDescent="0.25">
      <c r="A490" t="s">
        <v>470</v>
      </c>
      <c r="B490" t="s">
        <v>527</v>
      </c>
      <c r="C490" t="s">
        <v>528</v>
      </c>
      <c r="D490" t="s">
        <v>529</v>
      </c>
      <c r="E490" t="s">
        <v>530</v>
      </c>
      <c r="F490" t="s">
        <v>25</v>
      </c>
      <c r="G490" t="s">
        <v>81</v>
      </c>
      <c r="H490" t="s">
        <v>27</v>
      </c>
      <c r="I490" t="s">
        <v>28</v>
      </c>
      <c r="J490">
        <v>509</v>
      </c>
      <c r="K490" t="s">
        <v>124</v>
      </c>
      <c r="L490">
        <v>5</v>
      </c>
      <c r="M490" s="28">
        <v>65000</v>
      </c>
      <c r="N490" s="36">
        <f t="shared" si="8"/>
        <v>13000</v>
      </c>
      <c r="O490" s="21">
        <v>69.892473118279568</v>
      </c>
      <c r="P490" t="s">
        <v>30</v>
      </c>
      <c r="Q490" t="s">
        <v>31</v>
      </c>
      <c r="R490" s="1">
        <v>46065</v>
      </c>
      <c r="S490" t="s">
        <v>32</v>
      </c>
      <c r="T490" s="2"/>
      <c r="U490" s="2"/>
    </row>
    <row r="491" spans="1:21" ht="15.75" x14ac:dyDescent="0.25">
      <c r="A491" t="s">
        <v>470</v>
      </c>
      <c r="B491" t="s">
        <v>307</v>
      </c>
      <c r="C491" t="s">
        <v>308</v>
      </c>
      <c r="D491" t="s">
        <v>529</v>
      </c>
      <c r="E491" t="s">
        <v>48</v>
      </c>
      <c r="F491" t="s">
        <v>59</v>
      </c>
      <c r="G491" t="s">
        <v>389</v>
      </c>
      <c r="H491" t="s">
        <v>27</v>
      </c>
      <c r="I491" t="s">
        <v>28</v>
      </c>
      <c r="J491">
        <v>511</v>
      </c>
      <c r="K491" t="s">
        <v>124</v>
      </c>
      <c r="L491">
        <v>20</v>
      </c>
      <c r="M491" s="28">
        <v>0</v>
      </c>
      <c r="N491" s="36">
        <f t="shared" si="8"/>
        <v>0</v>
      </c>
      <c r="O491" s="21">
        <v>106.7741935483871</v>
      </c>
      <c r="P491" t="s">
        <v>30</v>
      </c>
      <c r="Q491" t="s">
        <v>31</v>
      </c>
      <c r="R491" s="1">
        <v>46125</v>
      </c>
      <c r="S491" t="s">
        <v>32</v>
      </c>
      <c r="T491" s="2"/>
      <c r="U491" s="2"/>
    </row>
    <row r="492" spans="1:21" ht="15.75" x14ac:dyDescent="0.25">
      <c r="A492" t="s">
        <v>470</v>
      </c>
      <c r="B492" t="s">
        <v>307</v>
      </c>
      <c r="C492" t="s">
        <v>308</v>
      </c>
      <c r="D492" t="s">
        <v>529</v>
      </c>
      <c r="E492" t="s">
        <v>48</v>
      </c>
      <c r="F492" t="s">
        <v>59</v>
      </c>
      <c r="G492" t="s">
        <v>439</v>
      </c>
      <c r="H492" t="s">
        <v>27</v>
      </c>
      <c r="I492" t="s">
        <v>28</v>
      </c>
      <c r="J492">
        <v>511</v>
      </c>
      <c r="K492" t="s">
        <v>124</v>
      </c>
      <c r="L492">
        <v>10</v>
      </c>
      <c r="M492" s="28">
        <v>0</v>
      </c>
      <c r="N492" s="36">
        <f t="shared" si="8"/>
        <v>0</v>
      </c>
      <c r="O492" s="21">
        <v>53.387096774193552</v>
      </c>
      <c r="P492" t="s">
        <v>30</v>
      </c>
      <c r="Q492" t="s">
        <v>31</v>
      </c>
      <c r="R492" s="1">
        <v>46125</v>
      </c>
      <c r="S492" t="s">
        <v>32</v>
      </c>
      <c r="T492" s="2"/>
      <c r="U492" s="2"/>
    </row>
    <row r="493" spans="1:21" ht="15.75" x14ac:dyDescent="0.25">
      <c r="A493" t="s">
        <v>470</v>
      </c>
      <c r="B493" t="s">
        <v>307</v>
      </c>
      <c r="C493" t="s">
        <v>308</v>
      </c>
      <c r="D493" t="s">
        <v>529</v>
      </c>
      <c r="E493" t="s">
        <v>48</v>
      </c>
      <c r="F493" t="s">
        <v>59</v>
      </c>
      <c r="G493" t="s">
        <v>290</v>
      </c>
      <c r="H493" t="s">
        <v>27</v>
      </c>
      <c r="I493" t="s">
        <v>28</v>
      </c>
      <c r="J493">
        <v>511</v>
      </c>
      <c r="K493" t="s">
        <v>124</v>
      </c>
      <c r="L493">
        <v>60</v>
      </c>
      <c r="M493" s="28">
        <v>0</v>
      </c>
      <c r="N493" s="36">
        <f t="shared" si="8"/>
        <v>0</v>
      </c>
      <c r="O493" s="21">
        <v>193.29032258064515</v>
      </c>
      <c r="P493" t="s">
        <v>30</v>
      </c>
      <c r="Q493" t="s">
        <v>31</v>
      </c>
      <c r="R493" s="1">
        <v>46125</v>
      </c>
      <c r="S493" t="s">
        <v>32</v>
      </c>
      <c r="T493" s="2"/>
      <c r="U493" s="2"/>
    </row>
    <row r="494" spans="1:21" ht="15.75" x14ac:dyDescent="0.25">
      <c r="A494" t="s">
        <v>470</v>
      </c>
      <c r="B494" t="s">
        <v>307</v>
      </c>
      <c r="C494" t="s">
        <v>308</v>
      </c>
      <c r="D494" t="s">
        <v>529</v>
      </c>
      <c r="E494" t="s">
        <v>48</v>
      </c>
      <c r="F494" t="s">
        <v>59</v>
      </c>
      <c r="G494" t="s">
        <v>411</v>
      </c>
      <c r="H494" t="s">
        <v>27</v>
      </c>
      <c r="I494" t="s">
        <v>28</v>
      </c>
      <c r="J494">
        <v>511</v>
      </c>
      <c r="K494" t="s">
        <v>124</v>
      </c>
      <c r="L494">
        <v>40</v>
      </c>
      <c r="M494" s="28">
        <v>0</v>
      </c>
      <c r="N494" s="36">
        <f t="shared" si="8"/>
        <v>0</v>
      </c>
      <c r="O494" s="21">
        <v>128.86021505376345</v>
      </c>
      <c r="P494" t="s">
        <v>30</v>
      </c>
      <c r="Q494" t="s">
        <v>31</v>
      </c>
      <c r="R494" s="1">
        <v>46125</v>
      </c>
      <c r="S494" t="s">
        <v>32</v>
      </c>
      <c r="T494" s="2"/>
      <c r="U494" s="2"/>
    </row>
    <row r="495" spans="1:21" ht="15.75" x14ac:dyDescent="0.25">
      <c r="A495" t="s">
        <v>470</v>
      </c>
      <c r="B495" t="s">
        <v>307</v>
      </c>
      <c r="C495" t="s">
        <v>308</v>
      </c>
      <c r="D495" t="s">
        <v>529</v>
      </c>
      <c r="E495" t="s">
        <v>48</v>
      </c>
      <c r="F495" t="s">
        <v>59</v>
      </c>
      <c r="G495" t="s">
        <v>411</v>
      </c>
      <c r="H495" t="s">
        <v>57</v>
      </c>
      <c r="I495" t="s">
        <v>65</v>
      </c>
      <c r="J495">
        <v>201</v>
      </c>
      <c r="K495" t="s">
        <v>124</v>
      </c>
      <c r="L495">
        <v>20</v>
      </c>
      <c r="M495" s="28">
        <v>59920</v>
      </c>
      <c r="N495" s="36">
        <f t="shared" si="8"/>
        <v>2996</v>
      </c>
      <c r="O495" s="21">
        <v>64.430107526881727</v>
      </c>
      <c r="P495" t="s">
        <v>30</v>
      </c>
      <c r="Q495" t="s">
        <v>31</v>
      </c>
      <c r="R495" s="1">
        <v>46125</v>
      </c>
      <c r="S495" t="s">
        <v>32</v>
      </c>
      <c r="T495" s="2"/>
      <c r="U495" s="2"/>
    </row>
    <row r="496" spans="1:21" ht="15.75" x14ac:dyDescent="0.25">
      <c r="A496" t="s">
        <v>470</v>
      </c>
      <c r="B496" t="s">
        <v>307</v>
      </c>
      <c r="C496" t="s">
        <v>308</v>
      </c>
      <c r="D496" t="s">
        <v>529</v>
      </c>
      <c r="E496" t="s">
        <v>48</v>
      </c>
      <c r="F496" t="s">
        <v>59</v>
      </c>
      <c r="G496" t="s">
        <v>311</v>
      </c>
      <c r="H496" t="s">
        <v>57</v>
      </c>
      <c r="I496" t="s">
        <v>65</v>
      </c>
      <c r="J496">
        <v>201</v>
      </c>
      <c r="K496" t="s">
        <v>124</v>
      </c>
      <c r="L496">
        <v>4</v>
      </c>
      <c r="M496" s="28">
        <v>11984</v>
      </c>
      <c r="N496" s="36">
        <f t="shared" si="8"/>
        <v>2996</v>
      </c>
      <c r="O496" s="21">
        <v>12.886021505376345</v>
      </c>
      <c r="P496" t="s">
        <v>30</v>
      </c>
      <c r="Q496" t="s">
        <v>31</v>
      </c>
      <c r="R496" s="1">
        <v>46125</v>
      </c>
      <c r="S496" t="s">
        <v>32</v>
      </c>
      <c r="T496" s="2"/>
      <c r="U496" s="2"/>
    </row>
    <row r="497" spans="1:21" ht="15.75" x14ac:dyDescent="0.25">
      <c r="A497" t="s">
        <v>470</v>
      </c>
      <c r="B497" t="s">
        <v>307</v>
      </c>
      <c r="C497" t="s">
        <v>308</v>
      </c>
      <c r="D497" t="s">
        <v>529</v>
      </c>
      <c r="E497" t="s">
        <v>48</v>
      </c>
      <c r="F497" t="s">
        <v>59</v>
      </c>
      <c r="G497" t="s">
        <v>290</v>
      </c>
      <c r="H497" t="s">
        <v>57</v>
      </c>
      <c r="I497" t="s">
        <v>65</v>
      </c>
      <c r="J497">
        <v>201</v>
      </c>
      <c r="K497" t="s">
        <v>124</v>
      </c>
      <c r="L497">
        <v>40</v>
      </c>
      <c r="M497" s="28">
        <v>119840</v>
      </c>
      <c r="N497" s="36">
        <f t="shared" si="8"/>
        <v>2996</v>
      </c>
      <c r="O497" s="21">
        <v>128.86021505376345</v>
      </c>
      <c r="P497" t="s">
        <v>30</v>
      </c>
      <c r="Q497" t="s">
        <v>31</v>
      </c>
      <c r="R497" s="1">
        <v>46125</v>
      </c>
      <c r="S497" t="s">
        <v>32</v>
      </c>
      <c r="T497" s="2"/>
      <c r="U497" s="2"/>
    </row>
    <row r="498" spans="1:21" ht="15.75" x14ac:dyDescent="0.25">
      <c r="A498" t="s">
        <v>470</v>
      </c>
      <c r="B498" t="s">
        <v>307</v>
      </c>
      <c r="C498" t="s">
        <v>308</v>
      </c>
      <c r="D498" t="s">
        <v>529</v>
      </c>
      <c r="E498" t="s">
        <v>48</v>
      </c>
      <c r="F498" t="s">
        <v>59</v>
      </c>
      <c r="G498" t="s">
        <v>389</v>
      </c>
      <c r="H498" t="s">
        <v>27</v>
      </c>
      <c r="I498" t="s">
        <v>65</v>
      </c>
      <c r="J498">
        <v>202</v>
      </c>
      <c r="K498" t="s">
        <v>124</v>
      </c>
      <c r="L498">
        <v>20</v>
      </c>
      <c r="M498" s="28">
        <v>99300</v>
      </c>
      <c r="N498" s="36">
        <f t="shared" si="8"/>
        <v>4965</v>
      </c>
      <c r="O498" s="21">
        <v>106.7741935483871</v>
      </c>
      <c r="P498" t="s">
        <v>30</v>
      </c>
      <c r="Q498" t="s">
        <v>31</v>
      </c>
      <c r="R498" s="1">
        <v>46125</v>
      </c>
      <c r="S498" t="s">
        <v>32</v>
      </c>
      <c r="T498" s="2"/>
      <c r="U498" s="2"/>
    </row>
    <row r="499" spans="1:21" ht="15.75" x14ac:dyDescent="0.25">
      <c r="A499" t="s">
        <v>470</v>
      </c>
      <c r="B499" t="s">
        <v>307</v>
      </c>
      <c r="C499" t="s">
        <v>308</v>
      </c>
      <c r="D499" t="s">
        <v>529</v>
      </c>
      <c r="E499" t="s">
        <v>48</v>
      </c>
      <c r="F499" t="s">
        <v>59</v>
      </c>
      <c r="G499" t="s">
        <v>439</v>
      </c>
      <c r="H499" t="s">
        <v>27</v>
      </c>
      <c r="I499" t="s">
        <v>65</v>
      </c>
      <c r="J499">
        <v>202</v>
      </c>
      <c r="K499" t="s">
        <v>124</v>
      </c>
      <c r="L499">
        <v>10</v>
      </c>
      <c r="M499" s="28">
        <v>49650</v>
      </c>
      <c r="N499" s="36">
        <f t="shared" si="8"/>
        <v>4965</v>
      </c>
      <c r="O499" s="21">
        <v>53.387096774193552</v>
      </c>
      <c r="P499" t="s">
        <v>30</v>
      </c>
      <c r="Q499" t="s">
        <v>31</v>
      </c>
      <c r="R499" s="1">
        <v>46125</v>
      </c>
      <c r="S499" t="s">
        <v>32</v>
      </c>
      <c r="T499" s="2"/>
      <c r="U499" s="2"/>
    </row>
    <row r="500" spans="1:21" ht="15.75" x14ac:dyDescent="0.25">
      <c r="A500" t="s">
        <v>470</v>
      </c>
      <c r="B500" t="s">
        <v>307</v>
      </c>
      <c r="C500" t="s">
        <v>308</v>
      </c>
      <c r="D500" t="s">
        <v>529</v>
      </c>
      <c r="E500" t="s">
        <v>48</v>
      </c>
      <c r="F500" t="s">
        <v>59</v>
      </c>
      <c r="G500" t="s">
        <v>290</v>
      </c>
      <c r="H500" t="s">
        <v>27</v>
      </c>
      <c r="I500" t="s">
        <v>65</v>
      </c>
      <c r="J500">
        <v>202</v>
      </c>
      <c r="K500" t="s">
        <v>124</v>
      </c>
      <c r="L500">
        <v>60</v>
      </c>
      <c r="M500" s="28">
        <v>179760</v>
      </c>
      <c r="N500" s="36">
        <f t="shared" si="8"/>
        <v>2996</v>
      </c>
      <c r="O500" s="21">
        <v>193.29032258064515</v>
      </c>
      <c r="P500" t="s">
        <v>30</v>
      </c>
      <c r="Q500" t="s">
        <v>31</v>
      </c>
      <c r="R500" s="1">
        <v>46125</v>
      </c>
      <c r="S500" t="s">
        <v>32</v>
      </c>
      <c r="T500" s="2"/>
      <c r="U500" s="2"/>
    </row>
    <row r="501" spans="1:21" ht="15.75" x14ac:dyDescent="0.25">
      <c r="A501" t="s">
        <v>470</v>
      </c>
      <c r="B501" t="s">
        <v>307</v>
      </c>
      <c r="C501" t="s">
        <v>308</v>
      </c>
      <c r="D501" t="s">
        <v>529</v>
      </c>
      <c r="E501" t="s">
        <v>48</v>
      </c>
      <c r="F501" t="s">
        <v>59</v>
      </c>
      <c r="G501" t="s">
        <v>411</v>
      </c>
      <c r="H501" t="s">
        <v>27</v>
      </c>
      <c r="I501" t="s">
        <v>65</v>
      </c>
      <c r="J501">
        <v>202</v>
      </c>
      <c r="K501" t="s">
        <v>124</v>
      </c>
      <c r="L501">
        <v>40</v>
      </c>
      <c r="M501" s="28">
        <v>119840</v>
      </c>
      <c r="N501" s="36">
        <f t="shared" si="8"/>
        <v>2996</v>
      </c>
      <c r="O501" s="21">
        <v>128.86021505376345</v>
      </c>
      <c r="P501" t="s">
        <v>30</v>
      </c>
      <c r="Q501" t="s">
        <v>31</v>
      </c>
      <c r="R501" s="1">
        <v>46125</v>
      </c>
      <c r="S501" t="s">
        <v>32</v>
      </c>
      <c r="T501" s="2"/>
      <c r="U501" s="2"/>
    </row>
    <row r="502" spans="1:21" ht="15.75" x14ac:dyDescent="0.25">
      <c r="A502" t="s">
        <v>470</v>
      </c>
      <c r="B502" t="s">
        <v>274</v>
      </c>
      <c r="C502" t="s">
        <v>275</v>
      </c>
      <c r="D502" t="s">
        <v>531</v>
      </c>
      <c r="E502" t="s">
        <v>41</v>
      </c>
      <c r="F502" t="s">
        <v>37</v>
      </c>
      <c r="G502" t="s">
        <v>532</v>
      </c>
      <c r="H502" t="s">
        <v>57</v>
      </c>
      <c r="I502" t="s">
        <v>28</v>
      </c>
      <c r="J502">
        <v>512</v>
      </c>
      <c r="K502" t="s">
        <v>124</v>
      </c>
      <c r="L502">
        <v>200</v>
      </c>
      <c r="M502" s="28">
        <v>800000</v>
      </c>
      <c r="N502" s="36">
        <f t="shared" si="8"/>
        <v>4000</v>
      </c>
      <c r="O502" s="21">
        <v>860.21505376344089</v>
      </c>
      <c r="P502" t="s">
        <v>30</v>
      </c>
      <c r="Q502" t="s">
        <v>31</v>
      </c>
      <c r="R502" s="1">
        <v>46066</v>
      </c>
      <c r="S502" t="s">
        <v>32</v>
      </c>
      <c r="T502" s="2"/>
      <c r="U502" s="2"/>
    </row>
    <row r="503" spans="1:21" ht="15.75" x14ac:dyDescent="0.25">
      <c r="A503" t="s">
        <v>470</v>
      </c>
      <c r="B503" t="s">
        <v>264</v>
      </c>
      <c r="C503" t="s">
        <v>265</v>
      </c>
      <c r="D503" t="s">
        <v>531</v>
      </c>
      <c r="E503" t="s">
        <v>48</v>
      </c>
      <c r="F503" t="s">
        <v>25</v>
      </c>
      <c r="G503" t="s">
        <v>245</v>
      </c>
      <c r="H503" t="s">
        <v>27</v>
      </c>
      <c r="I503" t="s">
        <v>28</v>
      </c>
      <c r="J503">
        <v>513</v>
      </c>
      <c r="K503" t="s">
        <v>124</v>
      </c>
      <c r="L503">
        <v>60</v>
      </c>
      <c r="M503" s="28">
        <v>450000</v>
      </c>
      <c r="N503" s="36">
        <f t="shared" si="8"/>
        <v>7500</v>
      </c>
      <c r="O503" s="21">
        <v>483.87096774193549</v>
      </c>
      <c r="P503" t="s">
        <v>30</v>
      </c>
      <c r="Q503" t="s">
        <v>31</v>
      </c>
      <c r="R503" s="1">
        <v>46066</v>
      </c>
      <c r="S503" t="s">
        <v>32</v>
      </c>
      <c r="T503" s="2"/>
      <c r="U503" s="2"/>
    </row>
    <row r="504" spans="1:21" ht="15.75" x14ac:dyDescent="0.25">
      <c r="A504" t="s">
        <v>470</v>
      </c>
      <c r="B504" t="s">
        <v>264</v>
      </c>
      <c r="C504" t="s">
        <v>265</v>
      </c>
      <c r="D504" t="s">
        <v>531</v>
      </c>
      <c r="E504" t="s">
        <v>48</v>
      </c>
      <c r="F504" t="s">
        <v>25</v>
      </c>
      <c r="G504" t="s">
        <v>328</v>
      </c>
      <c r="H504" t="s">
        <v>27</v>
      </c>
      <c r="I504" t="s">
        <v>28</v>
      </c>
      <c r="J504">
        <v>513</v>
      </c>
      <c r="K504" t="s">
        <v>124</v>
      </c>
      <c r="L504">
        <v>10</v>
      </c>
      <c r="M504" s="28">
        <v>75000</v>
      </c>
      <c r="N504" s="36">
        <f t="shared" si="8"/>
        <v>7500</v>
      </c>
      <c r="O504" s="21">
        <v>80.645161290322577</v>
      </c>
      <c r="P504" t="s">
        <v>30</v>
      </c>
      <c r="Q504" t="s">
        <v>31</v>
      </c>
      <c r="R504" s="1">
        <v>46066</v>
      </c>
      <c r="S504" t="s">
        <v>32</v>
      </c>
      <c r="T504" s="2"/>
      <c r="U504" s="2"/>
    </row>
    <row r="505" spans="1:21" ht="15.75" x14ac:dyDescent="0.25">
      <c r="A505" t="s">
        <v>470</v>
      </c>
      <c r="B505" t="s">
        <v>21</v>
      </c>
      <c r="C505" t="s">
        <v>22</v>
      </c>
      <c r="D505" t="s">
        <v>531</v>
      </c>
      <c r="E505" s="38" t="s">
        <v>24</v>
      </c>
      <c r="F505" t="s">
        <v>25</v>
      </c>
      <c r="G505" t="s">
        <v>258</v>
      </c>
      <c r="H505" t="s">
        <v>57</v>
      </c>
      <c r="I505" t="s">
        <v>65</v>
      </c>
      <c r="J505">
        <v>203</v>
      </c>
      <c r="K505" t="s">
        <v>124</v>
      </c>
      <c r="L505">
        <v>160</v>
      </c>
      <c r="M505" s="28">
        <v>0</v>
      </c>
      <c r="N505" s="36">
        <f t="shared" si="8"/>
        <v>0</v>
      </c>
      <c r="O505" s="21">
        <v>411.58709677419353</v>
      </c>
      <c r="P505" t="s">
        <v>30</v>
      </c>
      <c r="Q505" t="s">
        <v>31</v>
      </c>
      <c r="R505" s="1">
        <v>46142</v>
      </c>
      <c r="S505" t="s">
        <v>32</v>
      </c>
      <c r="T505" s="2"/>
      <c r="U505" s="2"/>
    </row>
    <row r="506" spans="1:21" ht="15.75" x14ac:dyDescent="0.25">
      <c r="A506" t="s">
        <v>470</v>
      </c>
      <c r="B506" t="s">
        <v>21</v>
      </c>
      <c r="C506" t="s">
        <v>22</v>
      </c>
      <c r="D506" t="s">
        <v>531</v>
      </c>
      <c r="E506" s="38" t="s">
        <v>24</v>
      </c>
      <c r="F506" t="s">
        <v>25</v>
      </c>
      <c r="G506" t="s">
        <v>258</v>
      </c>
      <c r="H506" t="s">
        <v>27</v>
      </c>
      <c r="I506" t="s">
        <v>65</v>
      </c>
      <c r="J506">
        <v>204</v>
      </c>
      <c r="K506" t="s">
        <v>124</v>
      </c>
      <c r="L506">
        <v>200</v>
      </c>
      <c r="M506" s="28">
        <v>0</v>
      </c>
      <c r="N506" s="36">
        <f t="shared" si="8"/>
        <v>0</v>
      </c>
      <c r="O506" s="21">
        <v>514.48387096774195</v>
      </c>
      <c r="P506" t="s">
        <v>30</v>
      </c>
      <c r="Q506" t="s">
        <v>31</v>
      </c>
      <c r="R506" s="1">
        <v>46142</v>
      </c>
      <c r="S506" t="s">
        <v>32</v>
      </c>
      <c r="T506" s="2"/>
      <c r="U506" s="2"/>
    </row>
    <row r="507" spans="1:21" ht="15.75" x14ac:dyDescent="0.25">
      <c r="A507" t="s">
        <v>470</v>
      </c>
      <c r="B507" t="s">
        <v>21</v>
      </c>
      <c r="C507" t="s">
        <v>22</v>
      </c>
      <c r="D507" t="s">
        <v>531</v>
      </c>
      <c r="E507" s="38" t="s">
        <v>24</v>
      </c>
      <c r="F507" t="s">
        <v>25</v>
      </c>
      <c r="G507" t="s">
        <v>245</v>
      </c>
      <c r="H507" t="s">
        <v>27</v>
      </c>
      <c r="I507" t="s">
        <v>65</v>
      </c>
      <c r="J507">
        <v>205</v>
      </c>
      <c r="K507" t="s">
        <v>124</v>
      </c>
      <c r="L507">
        <v>180</v>
      </c>
      <c r="M507" s="28">
        <v>1260000</v>
      </c>
      <c r="N507" s="36">
        <f t="shared" si="8"/>
        <v>7000</v>
      </c>
      <c r="O507" s="21">
        <v>1354.8387096774193</v>
      </c>
      <c r="P507" t="s">
        <v>30</v>
      </c>
      <c r="Q507" t="s">
        <v>31</v>
      </c>
      <c r="R507" s="1">
        <v>46142</v>
      </c>
      <c r="S507" t="s">
        <v>32</v>
      </c>
      <c r="T507" s="2"/>
      <c r="U507" s="2"/>
    </row>
    <row r="508" spans="1:21" ht="15.75" x14ac:dyDescent="0.25">
      <c r="A508" t="s">
        <v>470</v>
      </c>
      <c r="B508" t="s">
        <v>533</v>
      </c>
      <c r="C508" t="s">
        <v>534</v>
      </c>
      <c r="D508" t="s">
        <v>535</v>
      </c>
      <c r="E508" t="s">
        <v>326</v>
      </c>
      <c r="F508" t="s">
        <v>55</v>
      </c>
      <c r="G508" t="s">
        <v>245</v>
      </c>
      <c r="H508" t="s">
        <v>57</v>
      </c>
      <c r="I508" t="s">
        <v>65</v>
      </c>
      <c r="J508">
        <v>206</v>
      </c>
      <c r="K508" t="s">
        <v>124</v>
      </c>
      <c r="L508">
        <v>100</v>
      </c>
      <c r="M508" s="28">
        <v>730000</v>
      </c>
      <c r="N508" s="36">
        <f t="shared" si="8"/>
        <v>7300</v>
      </c>
      <c r="O508" s="21">
        <v>784.94623655913983</v>
      </c>
      <c r="P508" t="s">
        <v>30</v>
      </c>
      <c r="Q508" t="s">
        <v>31</v>
      </c>
      <c r="R508" s="1">
        <v>46190</v>
      </c>
      <c r="S508" t="s">
        <v>32</v>
      </c>
      <c r="T508" s="2"/>
      <c r="U508" s="2"/>
    </row>
    <row r="509" spans="1:21" ht="15.75" x14ac:dyDescent="0.25">
      <c r="A509" t="s">
        <v>470</v>
      </c>
      <c r="B509" t="s">
        <v>536</v>
      </c>
      <c r="C509" t="s">
        <v>537</v>
      </c>
      <c r="D509" t="s">
        <v>538</v>
      </c>
      <c r="E509" s="38" t="s">
        <v>24</v>
      </c>
      <c r="F509" t="s">
        <v>90</v>
      </c>
      <c r="G509" t="s">
        <v>243</v>
      </c>
      <c r="H509" t="s">
        <v>57</v>
      </c>
      <c r="I509" t="s">
        <v>28</v>
      </c>
      <c r="J509">
        <v>514</v>
      </c>
      <c r="K509" t="s">
        <v>124</v>
      </c>
      <c r="L509">
        <v>20</v>
      </c>
      <c r="M509" s="28">
        <v>0</v>
      </c>
      <c r="N509" s="36">
        <f t="shared" si="8"/>
        <v>0</v>
      </c>
      <c r="O509" s="21">
        <v>157.8279569892473</v>
      </c>
      <c r="P509" t="s">
        <v>30</v>
      </c>
      <c r="Q509" t="s">
        <v>31</v>
      </c>
      <c r="R509" s="1">
        <v>46101</v>
      </c>
      <c r="S509" t="s">
        <v>32</v>
      </c>
      <c r="T509" s="2"/>
      <c r="U509" s="2"/>
    </row>
    <row r="510" spans="1:21" x14ac:dyDescent="0.25">
      <c r="A510" t="s">
        <v>470</v>
      </c>
      <c r="B510" t="s">
        <v>539</v>
      </c>
      <c r="C510" t="s">
        <v>540</v>
      </c>
      <c r="D510" t="s">
        <v>538</v>
      </c>
      <c r="E510" t="s">
        <v>48</v>
      </c>
      <c r="F510" t="s">
        <v>59</v>
      </c>
      <c r="G510" t="s">
        <v>409</v>
      </c>
      <c r="H510" t="s">
        <v>57</v>
      </c>
      <c r="I510" t="s">
        <v>65</v>
      </c>
      <c r="J510">
        <v>207</v>
      </c>
      <c r="K510" t="s">
        <v>124</v>
      </c>
      <c r="L510">
        <v>20</v>
      </c>
      <c r="M510" s="28">
        <v>232800</v>
      </c>
      <c r="N510" s="36">
        <f t="shared" si="8"/>
        <v>11640</v>
      </c>
      <c r="O510" s="21">
        <v>250.32258064516128</v>
      </c>
      <c r="P510" t="s">
        <v>30</v>
      </c>
      <c r="Q510" t="s">
        <v>31</v>
      </c>
      <c r="R510" s="1">
        <v>46203</v>
      </c>
      <c r="S510" t="s">
        <v>32</v>
      </c>
    </row>
    <row r="511" spans="1:21" x14ac:dyDescent="0.25">
      <c r="A511" t="s">
        <v>470</v>
      </c>
      <c r="B511" t="s">
        <v>539</v>
      </c>
      <c r="C511" t="s">
        <v>540</v>
      </c>
      <c r="D511" t="s">
        <v>538</v>
      </c>
      <c r="E511" t="s">
        <v>48</v>
      </c>
      <c r="F511" t="s">
        <v>59</v>
      </c>
      <c r="G511" t="s">
        <v>288</v>
      </c>
      <c r="H511" t="s">
        <v>57</v>
      </c>
      <c r="I511" t="s">
        <v>65</v>
      </c>
      <c r="J511">
        <v>207</v>
      </c>
      <c r="K511" t="s">
        <v>124</v>
      </c>
      <c r="L511">
        <v>10</v>
      </c>
      <c r="M511" s="28">
        <v>129300</v>
      </c>
      <c r="N511" s="36">
        <f t="shared" si="8"/>
        <v>12930</v>
      </c>
      <c r="O511" s="21">
        <v>139.03225806451613</v>
      </c>
      <c r="P511" t="s">
        <v>30</v>
      </c>
      <c r="Q511" t="s">
        <v>31</v>
      </c>
      <c r="R511" s="1">
        <v>46203</v>
      </c>
      <c r="S511" t="s">
        <v>32</v>
      </c>
    </row>
    <row r="512" spans="1:21" ht="15.75" x14ac:dyDescent="0.25">
      <c r="A512" t="s">
        <v>470</v>
      </c>
      <c r="B512" t="s">
        <v>427</v>
      </c>
      <c r="C512" t="s">
        <v>428</v>
      </c>
      <c r="D512" t="s">
        <v>541</v>
      </c>
      <c r="E512" s="38" t="s">
        <v>24</v>
      </c>
      <c r="F512" t="s">
        <v>25</v>
      </c>
      <c r="G512" t="s">
        <v>245</v>
      </c>
      <c r="H512" t="s">
        <v>27</v>
      </c>
      <c r="I512" t="s">
        <v>28</v>
      </c>
      <c r="J512">
        <v>515</v>
      </c>
      <c r="K512" t="s">
        <v>124</v>
      </c>
      <c r="L512">
        <v>40</v>
      </c>
      <c r="M512" s="28">
        <v>300000</v>
      </c>
      <c r="N512" s="36">
        <f t="shared" si="8"/>
        <v>7500</v>
      </c>
      <c r="O512" s="21">
        <v>322.58064516129031</v>
      </c>
      <c r="P512" t="s">
        <v>30</v>
      </c>
      <c r="Q512" t="s">
        <v>31</v>
      </c>
      <c r="R512" s="1">
        <v>46132</v>
      </c>
      <c r="S512" t="s">
        <v>32</v>
      </c>
      <c r="T512" s="2"/>
    </row>
    <row r="513" spans="1:21" ht="15.75" x14ac:dyDescent="0.25">
      <c r="A513" t="s">
        <v>470</v>
      </c>
      <c r="B513" t="s">
        <v>427</v>
      </c>
      <c r="C513" t="s">
        <v>428</v>
      </c>
      <c r="D513" t="s">
        <v>541</v>
      </c>
      <c r="E513" s="38" t="s">
        <v>24</v>
      </c>
      <c r="F513" t="s">
        <v>25</v>
      </c>
      <c r="G513" t="s">
        <v>429</v>
      </c>
      <c r="H513" t="s">
        <v>27</v>
      </c>
      <c r="I513" t="s">
        <v>28</v>
      </c>
      <c r="J513">
        <v>515</v>
      </c>
      <c r="K513" t="s">
        <v>124</v>
      </c>
      <c r="L513">
        <v>3</v>
      </c>
      <c r="M513" s="28">
        <v>22500</v>
      </c>
      <c r="N513" s="36">
        <f t="shared" si="8"/>
        <v>7500</v>
      </c>
      <c r="O513" s="21">
        <v>24.193548387096776</v>
      </c>
      <c r="P513" t="s">
        <v>30</v>
      </c>
      <c r="Q513" t="s">
        <v>31</v>
      </c>
      <c r="R513" s="1">
        <v>46132</v>
      </c>
      <c r="S513" t="s">
        <v>32</v>
      </c>
      <c r="T513" s="2"/>
    </row>
    <row r="514" spans="1:21" ht="15.75" x14ac:dyDescent="0.25">
      <c r="A514" t="s">
        <v>20</v>
      </c>
      <c r="B514" t="s">
        <v>39</v>
      </c>
      <c r="C514" t="s">
        <v>40</v>
      </c>
      <c r="D514" t="s">
        <v>381</v>
      </c>
      <c r="E514" t="s">
        <v>41</v>
      </c>
      <c r="F514" t="s">
        <v>37</v>
      </c>
      <c r="G514" t="s">
        <v>383</v>
      </c>
      <c r="H514" t="s">
        <v>57</v>
      </c>
      <c r="I514" t="s">
        <v>65</v>
      </c>
      <c r="J514">
        <v>190</v>
      </c>
      <c r="K514" t="s">
        <v>124</v>
      </c>
      <c r="L514">
        <v>500</v>
      </c>
      <c r="M514" s="28">
        <v>2125000</v>
      </c>
      <c r="N514" s="36">
        <f t="shared" si="8"/>
        <v>4250</v>
      </c>
      <c r="O514" s="21">
        <v>2284.9462365591398</v>
      </c>
      <c r="P514" t="s">
        <v>30</v>
      </c>
      <c r="Q514" t="s">
        <v>31</v>
      </c>
      <c r="R514" s="1">
        <v>46174</v>
      </c>
      <c r="S514" t="s">
        <v>32</v>
      </c>
      <c r="T514" s="2"/>
    </row>
    <row r="515" spans="1:21" x14ac:dyDescent="0.25">
      <c r="A515" t="s">
        <v>470</v>
      </c>
      <c r="B515" t="s">
        <v>39</v>
      </c>
      <c r="C515" t="s">
        <v>40</v>
      </c>
      <c r="D515" t="s">
        <v>542</v>
      </c>
      <c r="E515" s="34" t="s">
        <v>41</v>
      </c>
      <c r="F515" t="s">
        <v>37</v>
      </c>
      <c r="G515" t="s">
        <v>383</v>
      </c>
      <c r="H515" t="s">
        <v>27</v>
      </c>
      <c r="I515" t="s">
        <v>65</v>
      </c>
      <c r="J515">
        <v>210</v>
      </c>
      <c r="K515" t="s">
        <v>124</v>
      </c>
      <c r="L515">
        <v>500</v>
      </c>
      <c r="M515" s="28">
        <v>2125000</v>
      </c>
      <c r="N515" s="36">
        <f t="shared" si="8"/>
        <v>4250</v>
      </c>
      <c r="O515" s="21">
        <v>2284.9462365591398</v>
      </c>
      <c r="P515" t="s">
        <v>30</v>
      </c>
      <c r="Q515" t="s">
        <v>31</v>
      </c>
      <c r="R515" s="1">
        <v>46253</v>
      </c>
      <c r="S515" t="s">
        <v>32</v>
      </c>
    </row>
    <row r="516" spans="1:21" x14ac:dyDescent="0.25">
      <c r="A516" t="s">
        <v>470</v>
      </c>
      <c r="B516" t="s">
        <v>543</v>
      </c>
      <c r="C516" t="s">
        <v>544</v>
      </c>
      <c r="D516" t="s">
        <v>542</v>
      </c>
      <c r="E516" s="34" t="s">
        <v>512</v>
      </c>
      <c r="F516" t="s">
        <v>49</v>
      </c>
      <c r="G516" t="s">
        <v>398</v>
      </c>
      <c r="H516" t="s">
        <v>57</v>
      </c>
      <c r="I516" t="s">
        <v>28</v>
      </c>
      <c r="J516">
        <v>516</v>
      </c>
      <c r="K516" t="s">
        <v>124</v>
      </c>
      <c r="L516">
        <v>1</v>
      </c>
      <c r="M516" s="28">
        <v>0</v>
      </c>
      <c r="N516" s="36">
        <f t="shared" si="8"/>
        <v>0</v>
      </c>
      <c r="O516" s="21">
        <v>3.6139784946236557</v>
      </c>
      <c r="P516" t="s">
        <v>30</v>
      </c>
      <c r="Q516" t="s">
        <v>31</v>
      </c>
      <c r="R516" s="29" t="s">
        <v>542</v>
      </c>
      <c r="S516" t="s">
        <v>32</v>
      </c>
    </row>
    <row r="517" spans="1:21" x14ac:dyDescent="0.25">
      <c r="A517" t="s">
        <v>470</v>
      </c>
      <c r="B517" t="s">
        <v>543</v>
      </c>
      <c r="C517" t="s">
        <v>544</v>
      </c>
      <c r="D517" t="s">
        <v>542</v>
      </c>
      <c r="E517" s="34" t="s">
        <v>512</v>
      </c>
      <c r="F517" t="s">
        <v>49</v>
      </c>
      <c r="G517" t="s">
        <v>394</v>
      </c>
      <c r="H517" t="s">
        <v>57</v>
      </c>
      <c r="I517" t="s">
        <v>28</v>
      </c>
      <c r="J517">
        <v>516</v>
      </c>
      <c r="K517" t="s">
        <v>124</v>
      </c>
      <c r="L517">
        <v>1</v>
      </c>
      <c r="M517" s="28">
        <v>0</v>
      </c>
      <c r="N517" s="36">
        <f t="shared" si="8"/>
        <v>0</v>
      </c>
      <c r="O517" s="21">
        <v>3.6139784946236557</v>
      </c>
      <c r="P517" t="s">
        <v>30</v>
      </c>
      <c r="Q517" t="s">
        <v>31</v>
      </c>
      <c r="R517" s="29" t="s">
        <v>542</v>
      </c>
      <c r="S517" t="s">
        <v>32</v>
      </c>
    </row>
    <row r="518" spans="1:21" x14ac:dyDescent="0.25">
      <c r="A518" t="s">
        <v>470</v>
      </c>
      <c r="B518" t="s">
        <v>543</v>
      </c>
      <c r="C518" t="s">
        <v>544</v>
      </c>
      <c r="D518" t="s">
        <v>542</v>
      </c>
      <c r="E518" s="34" t="s">
        <v>512</v>
      </c>
      <c r="F518" t="s">
        <v>49</v>
      </c>
      <c r="G518" t="s">
        <v>545</v>
      </c>
      <c r="H518" t="s">
        <v>57</v>
      </c>
      <c r="I518" t="s">
        <v>28</v>
      </c>
      <c r="J518">
        <v>516</v>
      </c>
      <c r="K518" t="s">
        <v>124</v>
      </c>
      <c r="L518">
        <v>1</v>
      </c>
      <c r="M518" s="28">
        <v>0</v>
      </c>
      <c r="N518" s="36">
        <f t="shared" si="8"/>
        <v>0</v>
      </c>
      <c r="O518" s="21">
        <v>3.6139784946236557</v>
      </c>
      <c r="P518" t="s">
        <v>30</v>
      </c>
      <c r="Q518" t="s">
        <v>31</v>
      </c>
      <c r="R518" s="29" t="s">
        <v>542</v>
      </c>
      <c r="S518" t="s">
        <v>32</v>
      </c>
    </row>
    <row r="519" spans="1:21" x14ac:dyDescent="0.25">
      <c r="A519" t="s">
        <v>470</v>
      </c>
      <c r="B519" t="s">
        <v>543</v>
      </c>
      <c r="C519" t="s">
        <v>544</v>
      </c>
      <c r="D519" t="s">
        <v>542</v>
      </c>
      <c r="E519" s="34" t="s">
        <v>512</v>
      </c>
      <c r="F519" t="s">
        <v>49</v>
      </c>
      <c r="G519" t="s">
        <v>420</v>
      </c>
      <c r="H519" t="s">
        <v>57</v>
      </c>
      <c r="I519" t="s">
        <v>28</v>
      </c>
      <c r="J519">
        <v>516</v>
      </c>
      <c r="K519" t="s">
        <v>124</v>
      </c>
      <c r="L519">
        <v>1</v>
      </c>
      <c r="M519" s="28">
        <v>0</v>
      </c>
      <c r="N519" s="36">
        <f t="shared" si="8"/>
        <v>0</v>
      </c>
      <c r="O519" s="21">
        <v>6.4516129032258061</v>
      </c>
      <c r="P519" t="s">
        <v>30</v>
      </c>
      <c r="Q519" t="s">
        <v>31</v>
      </c>
      <c r="R519" s="29" t="s">
        <v>542</v>
      </c>
      <c r="S519" t="s">
        <v>32</v>
      </c>
    </row>
    <row r="520" spans="1:21" x14ac:dyDescent="0.25">
      <c r="A520" t="s">
        <v>470</v>
      </c>
      <c r="B520" t="s">
        <v>543</v>
      </c>
      <c r="C520" t="s">
        <v>544</v>
      </c>
      <c r="D520" t="s">
        <v>542</v>
      </c>
      <c r="E520" s="34" t="s">
        <v>512</v>
      </c>
      <c r="F520" t="s">
        <v>49</v>
      </c>
      <c r="G520" t="s">
        <v>400</v>
      </c>
      <c r="H520" t="s">
        <v>57</v>
      </c>
      <c r="I520" t="s">
        <v>28</v>
      </c>
      <c r="J520">
        <v>516</v>
      </c>
      <c r="K520" t="s">
        <v>124</v>
      </c>
      <c r="L520">
        <v>2</v>
      </c>
      <c r="M520" s="28">
        <v>0</v>
      </c>
      <c r="N520" s="36">
        <f t="shared" si="8"/>
        <v>0</v>
      </c>
      <c r="O520" s="21">
        <v>12.903225806451612</v>
      </c>
      <c r="P520" t="s">
        <v>30</v>
      </c>
      <c r="Q520" t="s">
        <v>31</v>
      </c>
      <c r="R520" s="29" t="s">
        <v>542</v>
      </c>
      <c r="S520" t="s">
        <v>32</v>
      </c>
    </row>
    <row r="521" spans="1:21" x14ac:dyDescent="0.25">
      <c r="A521" t="s">
        <v>470</v>
      </c>
      <c r="B521" t="s">
        <v>543</v>
      </c>
      <c r="C521" t="s">
        <v>544</v>
      </c>
      <c r="D521" t="s">
        <v>542</v>
      </c>
      <c r="E521" s="34" t="s">
        <v>512</v>
      </c>
      <c r="F521" t="s">
        <v>49</v>
      </c>
      <c r="G521" t="s">
        <v>421</v>
      </c>
      <c r="H521" t="s">
        <v>57</v>
      </c>
      <c r="I521" t="s">
        <v>28</v>
      </c>
      <c r="J521">
        <v>516</v>
      </c>
      <c r="K521" t="s">
        <v>124</v>
      </c>
      <c r="L521">
        <v>1</v>
      </c>
      <c r="M521" s="28">
        <v>0</v>
      </c>
      <c r="N521" s="36">
        <f t="shared" si="8"/>
        <v>0</v>
      </c>
      <c r="O521" s="21">
        <v>6.4516129032258061</v>
      </c>
      <c r="P521" t="s">
        <v>30</v>
      </c>
      <c r="Q521" t="s">
        <v>31</v>
      </c>
      <c r="R521" s="29" t="s">
        <v>542</v>
      </c>
      <c r="S521" t="s">
        <v>32</v>
      </c>
    </row>
    <row r="522" spans="1:21" x14ac:dyDescent="0.25">
      <c r="A522" t="s">
        <v>470</v>
      </c>
      <c r="B522" t="s">
        <v>543</v>
      </c>
      <c r="C522" t="s">
        <v>544</v>
      </c>
      <c r="D522" t="s">
        <v>542</v>
      </c>
      <c r="E522" s="34" t="s">
        <v>512</v>
      </c>
      <c r="F522" t="s">
        <v>49</v>
      </c>
      <c r="G522" t="s">
        <v>401</v>
      </c>
      <c r="H522" t="s">
        <v>57</v>
      </c>
      <c r="I522" t="s">
        <v>28</v>
      </c>
      <c r="J522">
        <v>516</v>
      </c>
      <c r="K522" t="s">
        <v>124</v>
      </c>
      <c r="L522">
        <v>2</v>
      </c>
      <c r="M522" s="28">
        <v>0</v>
      </c>
      <c r="N522" s="36">
        <f t="shared" si="8"/>
        <v>0</v>
      </c>
      <c r="O522" s="21">
        <v>12.903225806451612</v>
      </c>
      <c r="P522" t="s">
        <v>30</v>
      </c>
      <c r="Q522" t="s">
        <v>31</v>
      </c>
      <c r="R522" s="29" t="s">
        <v>542</v>
      </c>
      <c r="S522" t="s">
        <v>32</v>
      </c>
    </row>
    <row r="523" spans="1:21" x14ac:dyDescent="0.25">
      <c r="A523" t="s">
        <v>470</v>
      </c>
      <c r="B523" t="s">
        <v>546</v>
      </c>
      <c r="C523" t="s">
        <v>547</v>
      </c>
      <c r="D523" t="s">
        <v>542</v>
      </c>
      <c r="E523" s="34" t="s">
        <v>41</v>
      </c>
      <c r="F523" t="s">
        <v>37</v>
      </c>
      <c r="G523" t="s">
        <v>548</v>
      </c>
      <c r="H523" t="s">
        <v>27</v>
      </c>
      <c r="I523" t="s">
        <v>28</v>
      </c>
      <c r="J523">
        <v>517</v>
      </c>
      <c r="K523" t="s">
        <v>124</v>
      </c>
      <c r="L523">
        <v>200</v>
      </c>
      <c r="M523" s="28">
        <v>900000</v>
      </c>
      <c r="N523" s="36">
        <f t="shared" si="8"/>
        <v>4500</v>
      </c>
      <c r="O523" s="21">
        <v>967.74193548387098</v>
      </c>
      <c r="P523" t="s">
        <v>30</v>
      </c>
      <c r="Q523" t="s">
        <v>31</v>
      </c>
      <c r="R523" s="29" t="s">
        <v>542</v>
      </c>
      <c r="S523" t="s">
        <v>32</v>
      </c>
    </row>
    <row r="524" spans="1:21" ht="15.75" x14ac:dyDescent="0.25">
      <c r="A524" t="s">
        <v>470</v>
      </c>
      <c r="B524" s="34" t="s">
        <v>109</v>
      </c>
      <c r="C524" s="34" t="s">
        <v>110</v>
      </c>
      <c r="D524" s="34" t="s">
        <v>556</v>
      </c>
      <c r="E524" s="34" t="s">
        <v>48</v>
      </c>
      <c r="F524" s="34" t="s">
        <v>59</v>
      </c>
      <c r="G524" s="34" t="s">
        <v>287</v>
      </c>
      <c r="H524" t="s">
        <v>27</v>
      </c>
      <c r="I524" s="34" t="s">
        <v>28</v>
      </c>
      <c r="J524" s="34">
        <v>518</v>
      </c>
      <c r="K524" s="34" t="s">
        <v>124</v>
      </c>
      <c r="L524" s="34">
        <v>12</v>
      </c>
      <c r="M524" s="35">
        <v>0</v>
      </c>
      <c r="N524" s="36">
        <f t="shared" ref="N524:N587" si="9">M524/L524</f>
        <v>0</v>
      </c>
      <c r="P524" t="s">
        <v>30</v>
      </c>
      <c r="Q524" t="s">
        <v>31</v>
      </c>
      <c r="R524" s="1">
        <v>46172</v>
      </c>
      <c r="S524" t="s">
        <v>32</v>
      </c>
      <c r="T524" s="2" t="s">
        <v>561</v>
      </c>
      <c r="U524" s="3">
        <v>46038</v>
      </c>
    </row>
    <row r="525" spans="1:21" ht="15.75" x14ac:dyDescent="0.25">
      <c r="A525" t="s">
        <v>470</v>
      </c>
      <c r="B525" s="34" t="s">
        <v>109</v>
      </c>
      <c r="C525" s="34" t="s">
        <v>110</v>
      </c>
      <c r="D525" s="34" t="s">
        <v>556</v>
      </c>
      <c r="E525" s="34" t="s">
        <v>48</v>
      </c>
      <c r="F525" s="34" t="s">
        <v>59</v>
      </c>
      <c r="G525" s="34" t="s">
        <v>288</v>
      </c>
      <c r="H525" t="s">
        <v>27</v>
      </c>
      <c r="I525" s="34" t="s">
        <v>28</v>
      </c>
      <c r="J525" s="34">
        <v>518</v>
      </c>
      <c r="K525" s="34" t="s">
        <v>124</v>
      </c>
      <c r="L525" s="34">
        <v>6</v>
      </c>
      <c r="M525" s="35">
        <v>0</v>
      </c>
      <c r="N525" s="36">
        <f t="shared" si="9"/>
        <v>0</v>
      </c>
      <c r="P525" t="s">
        <v>30</v>
      </c>
      <c r="Q525" t="s">
        <v>31</v>
      </c>
      <c r="R525" s="1">
        <v>46172</v>
      </c>
      <c r="S525" t="s">
        <v>32</v>
      </c>
      <c r="T525" s="2" t="s">
        <v>561</v>
      </c>
      <c r="U525" s="3">
        <v>46038</v>
      </c>
    </row>
    <row r="526" spans="1:21" ht="15.75" x14ac:dyDescent="0.25">
      <c r="A526" t="s">
        <v>470</v>
      </c>
      <c r="B526" s="34" t="s">
        <v>105</v>
      </c>
      <c r="C526" s="34" t="s">
        <v>106</v>
      </c>
      <c r="D526" s="34" t="s">
        <v>556</v>
      </c>
      <c r="E526" s="34" t="s">
        <v>48</v>
      </c>
      <c r="F526" s="34" t="s">
        <v>59</v>
      </c>
      <c r="G526" s="34" t="s">
        <v>107</v>
      </c>
      <c r="H526" t="s">
        <v>27</v>
      </c>
      <c r="I526" s="34" t="s">
        <v>28</v>
      </c>
      <c r="J526" s="34">
        <v>519</v>
      </c>
      <c r="K526" s="34" t="s">
        <v>29</v>
      </c>
      <c r="L526" s="34">
        <v>5</v>
      </c>
      <c r="M526" s="35">
        <v>0</v>
      </c>
      <c r="N526" s="36">
        <f t="shared" si="9"/>
        <v>0</v>
      </c>
      <c r="P526" t="s">
        <v>30</v>
      </c>
      <c r="Q526" t="s">
        <v>31</v>
      </c>
      <c r="R526" s="1">
        <v>46079</v>
      </c>
      <c r="S526" t="s">
        <v>32</v>
      </c>
      <c r="T526" s="2" t="s">
        <v>562</v>
      </c>
      <c r="U526" s="3">
        <v>46029</v>
      </c>
    </row>
    <row r="527" spans="1:21" ht="15.75" x14ac:dyDescent="0.25">
      <c r="A527" t="s">
        <v>470</v>
      </c>
      <c r="B527" s="34" t="s">
        <v>105</v>
      </c>
      <c r="C527" s="34" t="s">
        <v>106</v>
      </c>
      <c r="D527" s="34" t="s">
        <v>556</v>
      </c>
      <c r="E527" s="34" t="s">
        <v>48</v>
      </c>
      <c r="F527" s="34" t="s">
        <v>59</v>
      </c>
      <c r="G527" s="34" t="s">
        <v>108</v>
      </c>
      <c r="H527" t="s">
        <v>27</v>
      </c>
      <c r="I527" s="34" t="s">
        <v>28</v>
      </c>
      <c r="J527" s="34">
        <v>519</v>
      </c>
      <c r="K527" s="34" t="s">
        <v>7</v>
      </c>
      <c r="L527" s="34">
        <v>1</v>
      </c>
      <c r="M527" s="35">
        <v>0</v>
      </c>
      <c r="N527" s="36">
        <f t="shared" si="9"/>
        <v>0</v>
      </c>
      <c r="P527" t="s">
        <v>30</v>
      </c>
      <c r="Q527" t="s">
        <v>31</v>
      </c>
      <c r="R527" s="1">
        <v>46079</v>
      </c>
      <c r="S527" t="s">
        <v>32</v>
      </c>
      <c r="T527" s="2" t="s">
        <v>562</v>
      </c>
      <c r="U527" s="3">
        <v>46029</v>
      </c>
    </row>
    <row r="528" spans="1:21" x14ac:dyDescent="0.25">
      <c r="A528" t="s">
        <v>470</v>
      </c>
      <c r="B528" s="34" t="s">
        <v>412</v>
      </c>
      <c r="C528" s="34" t="s">
        <v>413</v>
      </c>
      <c r="D528" s="34" t="s">
        <v>556</v>
      </c>
      <c r="E528" s="34" t="s">
        <v>36</v>
      </c>
      <c r="F528" s="34" t="s">
        <v>49</v>
      </c>
      <c r="G528" s="34" t="s">
        <v>399</v>
      </c>
      <c r="H528" t="s">
        <v>27</v>
      </c>
      <c r="I528" s="34" t="s">
        <v>28</v>
      </c>
      <c r="J528" s="34">
        <v>520</v>
      </c>
      <c r="K528" s="34" t="s">
        <v>277</v>
      </c>
      <c r="L528" s="34">
        <v>6</v>
      </c>
      <c r="M528" s="35">
        <v>0</v>
      </c>
      <c r="N528" s="36">
        <f t="shared" si="9"/>
        <v>0</v>
      </c>
      <c r="P528" t="s">
        <v>30</v>
      </c>
      <c r="Q528" t="s">
        <v>31</v>
      </c>
      <c r="R528" s="1">
        <v>46076</v>
      </c>
      <c r="S528" t="s">
        <v>32</v>
      </c>
    </row>
    <row r="529" spans="1:21" x14ac:dyDescent="0.25">
      <c r="A529" t="s">
        <v>470</v>
      </c>
      <c r="B529" s="34" t="s">
        <v>412</v>
      </c>
      <c r="C529" s="34" t="s">
        <v>413</v>
      </c>
      <c r="D529" s="34" t="s">
        <v>556</v>
      </c>
      <c r="E529" s="34" t="s">
        <v>36</v>
      </c>
      <c r="F529" s="34" t="s">
        <v>49</v>
      </c>
      <c r="G529" s="34" t="s">
        <v>394</v>
      </c>
      <c r="H529" t="s">
        <v>27</v>
      </c>
      <c r="I529" s="34" t="s">
        <v>28</v>
      </c>
      <c r="J529" s="34">
        <v>520</v>
      </c>
      <c r="K529" s="34" t="s">
        <v>277</v>
      </c>
      <c r="L529" s="34">
        <v>6</v>
      </c>
      <c r="M529" s="35">
        <v>0</v>
      </c>
      <c r="N529" s="36">
        <f t="shared" si="9"/>
        <v>0</v>
      </c>
      <c r="P529" t="s">
        <v>30</v>
      </c>
      <c r="Q529" t="s">
        <v>31</v>
      </c>
      <c r="R529" s="1">
        <v>46076</v>
      </c>
      <c r="S529" t="s">
        <v>32</v>
      </c>
    </row>
    <row r="530" spans="1:21" x14ac:dyDescent="0.25">
      <c r="A530" t="s">
        <v>470</v>
      </c>
      <c r="B530" s="34" t="s">
        <v>412</v>
      </c>
      <c r="C530" s="34" t="s">
        <v>413</v>
      </c>
      <c r="D530" s="34" t="s">
        <v>556</v>
      </c>
      <c r="E530" s="34" t="s">
        <v>36</v>
      </c>
      <c r="F530" s="34" t="s">
        <v>49</v>
      </c>
      <c r="G530" s="34" t="s">
        <v>398</v>
      </c>
      <c r="H530" t="s">
        <v>27</v>
      </c>
      <c r="I530" s="34" t="s">
        <v>28</v>
      </c>
      <c r="J530" s="34">
        <v>520</v>
      </c>
      <c r="K530" s="34" t="s">
        <v>277</v>
      </c>
      <c r="L530" s="34">
        <v>8</v>
      </c>
      <c r="M530" s="35">
        <v>0</v>
      </c>
      <c r="N530" s="36">
        <f t="shared" si="9"/>
        <v>0</v>
      </c>
      <c r="P530" t="s">
        <v>30</v>
      </c>
      <c r="Q530" t="s">
        <v>31</v>
      </c>
      <c r="R530" s="1">
        <v>46076</v>
      </c>
      <c r="S530" t="s">
        <v>32</v>
      </c>
    </row>
    <row r="531" spans="1:21" x14ac:dyDescent="0.25">
      <c r="A531" t="s">
        <v>470</v>
      </c>
      <c r="B531" s="34" t="s">
        <v>412</v>
      </c>
      <c r="C531" s="34" t="s">
        <v>413</v>
      </c>
      <c r="D531" s="34" t="s">
        <v>556</v>
      </c>
      <c r="E531" s="34" t="s">
        <v>36</v>
      </c>
      <c r="F531" s="34" t="s">
        <v>49</v>
      </c>
      <c r="G531" s="34" t="s">
        <v>395</v>
      </c>
      <c r="H531" t="s">
        <v>27</v>
      </c>
      <c r="I531" s="34" t="s">
        <v>28</v>
      </c>
      <c r="J531" s="34">
        <v>520</v>
      </c>
      <c r="K531" s="34" t="s">
        <v>277</v>
      </c>
      <c r="L531" s="34">
        <v>5</v>
      </c>
      <c r="M531" s="35">
        <v>0</v>
      </c>
      <c r="N531" s="36">
        <f t="shared" si="9"/>
        <v>0</v>
      </c>
      <c r="P531" t="s">
        <v>30</v>
      </c>
      <c r="Q531" t="s">
        <v>31</v>
      </c>
      <c r="R531" s="1">
        <v>46076</v>
      </c>
      <c r="S531" t="s">
        <v>32</v>
      </c>
    </row>
    <row r="532" spans="1:21" x14ac:dyDescent="0.25">
      <c r="A532" t="s">
        <v>470</v>
      </c>
      <c r="B532" s="34" t="s">
        <v>412</v>
      </c>
      <c r="C532" s="34" t="s">
        <v>413</v>
      </c>
      <c r="D532" s="34" t="s">
        <v>556</v>
      </c>
      <c r="E532" s="34" t="s">
        <v>36</v>
      </c>
      <c r="F532" s="34" t="s">
        <v>49</v>
      </c>
      <c r="G532" s="34" t="s">
        <v>396</v>
      </c>
      <c r="H532" t="s">
        <v>27</v>
      </c>
      <c r="I532" s="34" t="s">
        <v>28</v>
      </c>
      <c r="J532" s="34">
        <v>520</v>
      </c>
      <c r="K532" s="34" t="s">
        <v>277</v>
      </c>
      <c r="L532" s="34">
        <v>5</v>
      </c>
      <c r="M532" s="35">
        <v>0</v>
      </c>
      <c r="N532" s="36">
        <f t="shared" si="9"/>
        <v>0</v>
      </c>
      <c r="P532" t="s">
        <v>30</v>
      </c>
      <c r="Q532" t="s">
        <v>31</v>
      </c>
      <c r="R532" s="1">
        <v>46076</v>
      </c>
      <c r="S532" t="s">
        <v>32</v>
      </c>
    </row>
    <row r="533" spans="1:21" x14ac:dyDescent="0.25">
      <c r="A533" t="s">
        <v>470</v>
      </c>
      <c r="B533" s="34" t="s">
        <v>412</v>
      </c>
      <c r="C533" s="34" t="s">
        <v>413</v>
      </c>
      <c r="D533" s="34" t="s">
        <v>556</v>
      </c>
      <c r="E533" s="34" t="s">
        <v>36</v>
      </c>
      <c r="F533" s="34" t="s">
        <v>49</v>
      </c>
      <c r="G533" s="34" t="s">
        <v>414</v>
      </c>
      <c r="H533" t="s">
        <v>27</v>
      </c>
      <c r="I533" s="34" t="s">
        <v>28</v>
      </c>
      <c r="J533" s="34">
        <v>520</v>
      </c>
      <c r="K533" s="34" t="s">
        <v>277</v>
      </c>
      <c r="L533" s="34">
        <v>1</v>
      </c>
      <c r="M533" s="35">
        <v>0</v>
      </c>
      <c r="N533" s="36">
        <f t="shared" si="9"/>
        <v>0</v>
      </c>
      <c r="P533" t="s">
        <v>30</v>
      </c>
      <c r="Q533" t="s">
        <v>31</v>
      </c>
      <c r="R533" s="1">
        <v>46076</v>
      </c>
      <c r="S533" t="s">
        <v>32</v>
      </c>
    </row>
    <row r="534" spans="1:21" ht="15.75" x14ac:dyDescent="0.25">
      <c r="A534" t="s">
        <v>470</v>
      </c>
      <c r="B534" s="34" t="s">
        <v>21</v>
      </c>
      <c r="C534" s="34" t="s">
        <v>22</v>
      </c>
      <c r="D534" s="34" t="s">
        <v>556</v>
      </c>
      <c r="E534" s="38" t="s">
        <v>24</v>
      </c>
      <c r="F534" s="34" t="s">
        <v>25</v>
      </c>
      <c r="G534" s="34" t="s">
        <v>258</v>
      </c>
      <c r="H534" t="s">
        <v>27</v>
      </c>
      <c r="I534" s="34" t="s">
        <v>28</v>
      </c>
      <c r="J534" s="34">
        <v>521</v>
      </c>
      <c r="K534" s="34" t="s">
        <v>124</v>
      </c>
      <c r="L534" s="34">
        <v>160</v>
      </c>
      <c r="M534" s="35">
        <v>368000</v>
      </c>
      <c r="N534" s="36">
        <f t="shared" si="9"/>
        <v>2300</v>
      </c>
      <c r="P534" t="s">
        <v>30</v>
      </c>
      <c r="Q534" t="s">
        <v>31</v>
      </c>
      <c r="R534" s="1">
        <v>46142</v>
      </c>
      <c r="S534" t="s">
        <v>32</v>
      </c>
      <c r="T534" s="2" t="s">
        <v>563</v>
      </c>
      <c r="U534" s="3">
        <v>46066</v>
      </c>
    </row>
    <row r="535" spans="1:21" ht="15.75" x14ac:dyDescent="0.25">
      <c r="A535" t="s">
        <v>470</v>
      </c>
      <c r="B535" s="34" t="s">
        <v>21</v>
      </c>
      <c r="C535" s="34" t="s">
        <v>22</v>
      </c>
      <c r="D535" s="34" t="s">
        <v>556</v>
      </c>
      <c r="E535" s="38" t="s">
        <v>24</v>
      </c>
      <c r="F535" s="34" t="s">
        <v>25</v>
      </c>
      <c r="G535" s="34" t="s">
        <v>258</v>
      </c>
      <c r="H535" t="s">
        <v>27</v>
      </c>
      <c r="I535" s="34" t="s">
        <v>28</v>
      </c>
      <c r="J535" s="34">
        <v>522</v>
      </c>
      <c r="K535" s="34" t="s">
        <v>124</v>
      </c>
      <c r="L535" s="34">
        <v>120</v>
      </c>
      <c r="M535" s="35">
        <v>276000</v>
      </c>
      <c r="N535" s="36">
        <f t="shared" si="9"/>
        <v>2300</v>
      </c>
      <c r="P535" t="s">
        <v>30</v>
      </c>
      <c r="Q535" t="s">
        <v>31</v>
      </c>
      <c r="R535" s="1">
        <v>46142</v>
      </c>
      <c r="S535" t="s">
        <v>32</v>
      </c>
      <c r="T535" s="2" t="s">
        <v>564</v>
      </c>
      <c r="U535" s="3">
        <v>46076</v>
      </c>
    </row>
    <row r="536" spans="1:21" ht="15.75" x14ac:dyDescent="0.25">
      <c r="A536" t="s">
        <v>470</v>
      </c>
      <c r="B536" s="34" t="s">
        <v>21</v>
      </c>
      <c r="C536" s="34" t="s">
        <v>22</v>
      </c>
      <c r="D536" s="34" t="s">
        <v>556</v>
      </c>
      <c r="E536" s="38" t="s">
        <v>24</v>
      </c>
      <c r="F536" s="34" t="s">
        <v>25</v>
      </c>
      <c r="G536" s="34" t="s">
        <v>259</v>
      </c>
      <c r="H536" t="s">
        <v>27</v>
      </c>
      <c r="I536" s="34" t="s">
        <v>28</v>
      </c>
      <c r="J536" s="34">
        <v>522</v>
      </c>
      <c r="K536" s="34" t="s">
        <v>124</v>
      </c>
      <c r="L536" s="34">
        <v>15</v>
      </c>
      <c r="M536" s="35">
        <v>34500</v>
      </c>
      <c r="N536" s="36">
        <f t="shared" si="9"/>
        <v>2300</v>
      </c>
      <c r="P536" t="s">
        <v>30</v>
      </c>
      <c r="Q536" t="s">
        <v>31</v>
      </c>
      <c r="R536" s="1">
        <v>46142</v>
      </c>
      <c r="S536" t="s">
        <v>32</v>
      </c>
      <c r="T536" s="2" t="s">
        <v>564</v>
      </c>
      <c r="U536" s="3">
        <v>46076</v>
      </c>
    </row>
    <row r="537" spans="1:21" ht="15.75" x14ac:dyDescent="0.25">
      <c r="A537" t="s">
        <v>470</v>
      </c>
      <c r="B537" s="34" t="s">
        <v>21</v>
      </c>
      <c r="C537" s="34" t="s">
        <v>22</v>
      </c>
      <c r="D537" s="34" t="s">
        <v>556</v>
      </c>
      <c r="E537" s="38" t="s">
        <v>24</v>
      </c>
      <c r="F537" s="34" t="s">
        <v>25</v>
      </c>
      <c r="G537" s="34" t="s">
        <v>258</v>
      </c>
      <c r="H537" t="s">
        <v>27</v>
      </c>
      <c r="I537" s="34" t="s">
        <v>28</v>
      </c>
      <c r="J537" s="34">
        <v>523</v>
      </c>
      <c r="K537" s="34" t="s">
        <v>124</v>
      </c>
      <c r="L537" s="34">
        <v>200</v>
      </c>
      <c r="M537" s="35">
        <v>478470</v>
      </c>
      <c r="N537" s="36">
        <f t="shared" si="9"/>
        <v>2392.35</v>
      </c>
      <c r="P537" t="s">
        <v>30</v>
      </c>
      <c r="Q537" t="s">
        <v>31</v>
      </c>
      <c r="R537" s="1">
        <v>46142</v>
      </c>
      <c r="S537" t="s">
        <v>32</v>
      </c>
      <c r="T537" s="2" t="s">
        <v>565</v>
      </c>
      <c r="U537" s="3">
        <v>46066</v>
      </c>
    </row>
    <row r="538" spans="1:21" ht="15.75" x14ac:dyDescent="0.25">
      <c r="A538" t="s">
        <v>470</v>
      </c>
      <c r="B538" s="34" t="s">
        <v>445</v>
      </c>
      <c r="C538" s="34" t="s">
        <v>446</v>
      </c>
      <c r="D538" s="34" t="s">
        <v>556</v>
      </c>
      <c r="E538" s="34" t="s">
        <v>48</v>
      </c>
      <c r="F538" s="34" t="s">
        <v>25</v>
      </c>
      <c r="G538" s="34" t="s">
        <v>383</v>
      </c>
      <c r="H538" t="s">
        <v>27</v>
      </c>
      <c r="I538" s="34" t="s">
        <v>65</v>
      </c>
      <c r="J538" s="34">
        <v>211</v>
      </c>
      <c r="K538" s="34" t="s">
        <v>124</v>
      </c>
      <c r="L538" s="34">
        <v>40</v>
      </c>
      <c r="M538" s="35">
        <v>298293</v>
      </c>
      <c r="N538" s="36">
        <f t="shared" si="9"/>
        <v>7457.3249999999998</v>
      </c>
      <c r="P538" t="s">
        <v>30</v>
      </c>
      <c r="Q538" t="s">
        <v>31</v>
      </c>
      <c r="R538" s="1">
        <v>46366</v>
      </c>
      <c r="S538" t="s">
        <v>32</v>
      </c>
      <c r="T538" s="2"/>
      <c r="U538" s="3"/>
    </row>
    <row r="539" spans="1:21" ht="15.75" x14ac:dyDescent="0.25">
      <c r="A539" t="s">
        <v>470</v>
      </c>
      <c r="B539" s="34" t="s">
        <v>445</v>
      </c>
      <c r="C539" s="34" t="s">
        <v>446</v>
      </c>
      <c r="D539" s="34" t="s">
        <v>556</v>
      </c>
      <c r="E539" s="34" t="s">
        <v>48</v>
      </c>
      <c r="F539" s="34" t="s">
        <v>25</v>
      </c>
      <c r="G539" s="34" t="s">
        <v>410</v>
      </c>
      <c r="H539" t="s">
        <v>27</v>
      </c>
      <c r="I539" s="34" t="s">
        <v>65</v>
      </c>
      <c r="J539" s="34">
        <v>211</v>
      </c>
      <c r="K539" s="34" t="s">
        <v>124</v>
      </c>
      <c r="L539" s="34">
        <v>40</v>
      </c>
      <c r="M539" s="35">
        <v>156083</v>
      </c>
      <c r="N539" s="36">
        <f t="shared" si="9"/>
        <v>3902.0749999999998</v>
      </c>
      <c r="P539" t="s">
        <v>30</v>
      </c>
      <c r="Q539" t="s">
        <v>31</v>
      </c>
      <c r="R539" s="1">
        <v>46366</v>
      </c>
      <c r="S539" t="s">
        <v>32</v>
      </c>
      <c r="T539" s="2"/>
      <c r="U539" s="3"/>
    </row>
    <row r="540" spans="1:21" ht="15.75" x14ac:dyDescent="0.25">
      <c r="A540" t="s">
        <v>470</v>
      </c>
      <c r="B540" s="34" t="s">
        <v>68</v>
      </c>
      <c r="C540" s="34" t="s">
        <v>69</v>
      </c>
      <c r="D540" s="34" t="s">
        <v>556</v>
      </c>
      <c r="E540" s="34" t="s">
        <v>48</v>
      </c>
      <c r="F540" s="34" t="s">
        <v>25</v>
      </c>
      <c r="G540" s="34" t="s">
        <v>383</v>
      </c>
      <c r="H540" t="s">
        <v>27</v>
      </c>
      <c r="I540" s="34" t="s">
        <v>65</v>
      </c>
      <c r="J540" s="34">
        <v>212</v>
      </c>
      <c r="K540" s="34" t="s">
        <v>124</v>
      </c>
      <c r="L540" s="34">
        <v>20</v>
      </c>
      <c r="M540" s="35">
        <v>149146</v>
      </c>
      <c r="N540" s="36">
        <f t="shared" si="9"/>
        <v>7457.3</v>
      </c>
      <c r="P540" t="s">
        <v>30</v>
      </c>
      <c r="Q540" t="s">
        <v>31</v>
      </c>
      <c r="R540" s="1">
        <v>46366</v>
      </c>
      <c r="S540" t="s">
        <v>32</v>
      </c>
      <c r="T540" s="2"/>
      <c r="U540" s="3"/>
    </row>
    <row r="541" spans="1:21" ht="15.75" x14ac:dyDescent="0.25">
      <c r="A541" t="s">
        <v>470</v>
      </c>
      <c r="B541" s="34" t="s">
        <v>68</v>
      </c>
      <c r="C541" s="34" t="s">
        <v>69</v>
      </c>
      <c r="D541" s="34" t="s">
        <v>556</v>
      </c>
      <c r="E541" s="34" t="s">
        <v>48</v>
      </c>
      <c r="F541" s="34" t="s">
        <v>25</v>
      </c>
      <c r="G541" s="34" t="s">
        <v>456</v>
      </c>
      <c r="H541" t="s">
        <v>27</v>
      </c>
      <c r="I541" s="34" t="s">
        <v>65</v>
      </c>
      <c r="J541" s="34">
        <v>212</v>
      </c>
      <c r="K541" s="34" t="s">
        <v>124</v>
      </c>
      <c r="L541" s="34">
        <v>5</v>
      </c>
      <c r="M541" s="35">
        <v>37287</v>
      </c>
      <c r="N541" s="36">
        <f t="shared" si="9"/>
        <v>7457.4</v>
      </c>
      <c r="P541" t="s">
        <v>30</v>
      </c>
      <c r="Q541" t="s">
        <v>31</v>
      </c>
      <c r="R541" s="1">
        <v>46366</v>
      </c>
      <c r="S541" t="s">
        <v>32</v>
      </c>
      <c r="T541" s="2"/>
      <c r="U541" s="3"/>
    </row>
    <row r="542" spans="1:21" ht="15.75" x14ac:dyDescent="0.25">
      <c r="A542" t="s">
        <v>470</v>
      </c>
      <c r="B542" s="34" t="s">
        <v>68</v>
      </c>
      <c r="C542" s="34" t="s">
        <v>69</v>
      </c>
      <c r="D542" s="34" t="s">
        <v>556</v>
      </c>
      <c r="E542" s="34" t="s">
        <v>48</v>
      </c>
      <c r="F542" s="34" t="s">
        <v>25</v>
      </c>
      <c r="G542" s="34" t="s">
        <v>586</v>
      </c>
      <c r="H542" t="s">
        <v>27</v>
      </c>
      <c r="I542" s="34" t="s">
        <v>65</v>
      </c>
      <c r="J542" s="34">
        <v>212</v>
      </c>
      <c r="K542" s="34" t="s">
        <v>124</v>
      </c>
      <c r="L542" s="34">
        <v>1</v>
      </c>
      <c r="M542" s="35">
        <v>7457</v>
      </c>
      <c r="N542" s="36">
        <f t="shared" si="9"/>
        <v>7457</v>
      </c>
      <c r="P542" t="s">
        <v>30</v>
      </c>
      <c r="Q542" t="s">
        <v>31</v>
      </c>
      <c r="R542" s="1">
        <v>46366</v>
      </c>
      <c r="S542" t="s">
        <v>32</v>
      </c>
      <c r="T542" s="2"/>
      <c r="U542" s="3"/>
    </row>
    <row r="543" spans="1:21" ht="15.75" x14ac:dyDescent="0.25">
      <c r="A543" t="s">
        <v>470</v>
      </c>
      <c r="B543" s="34" t="s">
        <v>68</v>
      </c>
      <c r="C543" s="34" t="s">
        <v>69</v>
      </c>
      <c r="D543" s="34" t="s">
        <v>556</v>
      </c>
      <c r="E543" s="34" t="s">
        <v>48</v>
      </c>
      <c r="F543" s="34" t="s">
        <v>25</v>
      </c>
      <c r="G543" s="34" t="s">
        <v>410</v>
      </c>
      <c r="H543" t="s">
        <v>27</v>
      </c>
      <c r="I543" s="34" t="s">
        <v>65</v>
      </c>
      <c r="J543" s="34">
        <v>212</v>
      </c>
      <c r="K543" s="34" t="s">
        <v>124</v>
      </c>
      <c r="L543" s="34">
        <v>20</v>
      </c>
      <c r="M543" s="35">
        <v>78042</v>
      </c>
      <c r="N543" s="36">
        <f t="shared" si="9"/>
        <v>3902.1</v>
      </c>
      <c r="P543" t="s">
        <v>30</v>
      </c>
      <c r="Q543" t="s">
        <v>31</v>
      </c>
      <c r="R543" s="1">
        <v>46366</v>
      </c>
      <c r="S543" t="s">
        <v>32</v>
      </c>
      <c r="T543" s="2"/>
      <c r="U543" s="3"/>
    </row>
    <row r="544" spans="1:21" ht="15.75" x14ac:dyDescent="0.25">
      <c r="A544" t="s">
        <v>470</v>
      </c>
      <c r="B544" s="34" t="s">
        <v>68</v>
      </c>
      <c r="C544" s="34" t="s">
        <v>69</v>
      </c>
      <c r="D544" s="34" t="s">
        <v>556</v>
      </c>
      <c r="E544" s="34" t="s">
        <v>48</v>
      </c>
      <c r="F544" s="34" t="s">
        <v>25</v>
      </c>
      <c r="G544" s="34" t="s">
        <v>587</v>
      </c>
      <c r="H544" t="s">
        <v>27</v>
      </c>
      <c r="I544" s="34" t="s">
        <v>65</v>
      </c>
      <c r="J544" s="34">
        <v>212</v>
      </c>
      <c r="K544" s="34" t="s">
        <v>124</v>
      </c>
      <c r="L544" s="34">
        <v>5</v>
      </c>
      <c r="M544" s="35">
        <v>19510</v>
      </c>
      <c r="N544" s="36">
        <f t="shared" si="9"/>
        <v>3902</v>
      </c>
      <c r="P544" t="s">
        <v>30</v>
      </c>
      <c r="Q544" t="s">
        <v>31</v>
      </c>
      <c r="R544" s="1">
        <v>46366</v>
      </c>
      <c r="S544" t="s">
        <v>32</v>
      </c>
      <c r="T544" s="2"/>
      <c r="U544" s="3"/>
    </row>
    <row r="545" spans="1:21" ht="15.75" x14ac:dyDescent="0.25">
      <c r="A545" t="s">
        <v>470</v>
      </c>
      <c r="B545" s="34" t="s">
        <v>68</v>
      </c>
      <c r="C545" s="34" t="s">
        <v>69</v>
      </c>
      <c r="D545" s="34" t="s">
        <v>556</v>
      </c>
      <c r="E545" s="34" t="s">
        <v>48</v>
      </c>
      <c r="F545" s="34" t="s">
        <v>25</v>
      </c>
      <c r="G545" s="34" t="s">
        <v>588</v>
      </c>
      <c r="H545" t="s">
        <v>27</v>
      </c>
      <c r="I545" s="34" t="s">
        <v>65</v>
      </c>
      <c r="J545" s="34">
        <v>212</v>
      </c>
      <c r="K545" s="34" t="s">
        <v>124</v>
      </c>
      <c r="L545" s="34">
        <v>1</v>
      </c>
      <c r="M545" s="35">
        <v>3902</v>
      </c>
      <c r="N545" s="36">
        <f t="shared" si="9"/>
        <v>3902</v>
      </c>
      <c r="P545" t="s">
        <v>30</v>
      </c>
      <c r="Q545" t="s">
        <v>31</v>
      </c>
      <c r="R545" s="1">
        <v>46366</v>
      </c>
      <c r="S545" t="s">
        <v>32</v>
      </c>
      <c r="T545" s="2"/>
      <c r="U545" s="3"/>
    </row>
    <row r="546" spans="1:21" x14ac:dyDescent="0.25">
      <c r="A546" t="s">
        <v>470</v>
      </c>
      <c r="B546" s="34" t="s">
        <v>550</v>
      </c>
      <c r="C546" s="34" t="s">
        <v>551</v>
      </c>
      <c r="D546" s="34" t="s">
        <v>557</v>
      </c>
      <c r="E546" s="34" t="s">
        <v>41</v>
      </c>
      <c r="F546" s="34" t="s">
        <v>37</v>
      </c>
      <c r="G546" s="34" t="s">
        <v>259</v>
      </c>
      <c r="H546" t="s">
        <v>27</v>
      </c>
      <c r="I546" s="34" t="s">
        <v>28</v>
      </c>
      <c r="J546" s="34">
        <v>524</v>
      </c>
      <c r="K546" s="34" t="s">
        <v>124</v>
      </c>
      <c r="L546" s="34">
        <v>5</v>
      </c>
      <c r="M546" s="35">
        <v>37500</v>
      </c>
      <c r="N546" s="36">
        <f t="shared" si="9"/>
        <v>7500</v>
      </c>
      <c r="P546" t="s">
        <v>30</v>
      </c>
      <c r="Q546" t="s">
        <v>31</v>
      </c>
      <c r="R546" s="1">
        <v>46107</v>
      </c>
      <c r="S546" t="s">
        <v>32</v>
      </c>
    </row>
    <row r="547" spans="1:21" ht="15.75" x14ac:dyDescent="0.25">
      <c r="A547" t="s">
        <v>470</v>
      </c>
      <c r="B547" s="34" t="s">
        <v>552</v>
      </c>
      <c r="C547" s="34" t="s">
        <v>553</v>
      </c>
      <c r="D547" s="34" t="s">
        <v>557</v>
      </c>
      <c r="E547" s="34" t="s">
        <v>41</v>
      </c>
      <c r="F547" s="34" t="s">
        <v>37</v>
      </c>
      <c r="G547" s="34" t="s">
        <v>137</v>
      </c>
      <c r="H547" t="s">
        <v>27</v>
      </c>
      <c r="I547" s="34" t="s">
        <v>28</v>
      </c>
      <c r="J547" s="34">
        <v>525</v>
      </c>
      <c r="K547" s="34" t="s">
        <v>7</v>
      </c>
      <c r="L547" s="34">
        <v>100</v>
      </c>
      <c r="M547" s="35">
        <v>0</v>
      </c>
      <c r="N547" s="36">
        <f t="shared" si="9"/>
        <v>0</v>
      </c>
      <c r="P547" t="s">
        <v>30</v>
      </c>
      <c r="Q547" t="s">
        <v>31</v>
      </c>
      <c r="R547" s="1">
        <v>46139</v>
      </c>
      <c r="S547" t="s">
        <v>32</v>
      </c>
      <c r="T547" s="2" t="s">
        <v>566</v>
      </c>
      <c r="U547" s="3">
        <v>45713</v>
      </c>
    </row>
    <row r="548" spans="1:21" ht="15.75" x14ac:dyDescent="0.25">
      <c r="A548" t="s">
        <v>470</v>
      </c>
      <c r="B548" s="34" t="s">
        <v>552</v>
      </c>
      <c r="C548" s="34" t="s">
        <v>553</v>
      </c>
      <c r="D548" s="34" t="s">
        <v>557</v>
      </c>
      <c r="E548" s="34" t="s">
        <v>41</v>
      </c>
      <c r="F548" s="34" t="s">
        <v>37</v>
      </c>
      <c r="G548" s="34" t="s">
        <v>303</v>
      </c>
      <c r="H548" t="s">
        <v>27</v>
      </c>
      <c r="I548" s="34" t="s">
        <v>28</v>
      </c>
      <c r="J548" s="34">
        <v>525</v>
      </c>
      <c r="K548" s="34" t="s">
        <v>7</v>
      </c>
      <c r="L548" s="34">
        <v>40</v>
      </c>
      <c r="M548" s="35">
        <v>0</v>
      </c>
      <c r="N548" s="36">
        <f t="shared" si="9"/>
        <v>0</v>
      </c>
      <c r="P548" t="s">
        <v>30</v>
      </c>
      <c r="Q548" t="s">
        <v>31</v>
      </c>
      <c r="R548" s="1">
        <v>46139</v>
      </c>
      <c r="S548" t="s">
        <v>32</v>
      </c>
      <c r="T548" s="2" t="s">
        <v>566</v>
      </c>
      <c r="U548" s="3">
        <v>45713</v>
      </c>
    </row>
    <row r="549" spans="1:21" x14ac:dyDescent="0.25">
      <c r="A549" t="s">
        <v>470</v>
      </c>
      <c r="B549" s="34" t="s">
        <v>554</v>
      </c>
      <c r="C549" s="34" t="s">
        <v>555</v>
      </c>
      <c r="D549" s="34" t="s">
        <v>557</v>
      </c>
      <c r="E549" s="34" t="s">
        <v>558</v>
      </c>
      <c r="F549" s="34" t="s">
        <v>90</v>
      </c>
      <c r="G549" s="34" t="s">
        <v>166</v>
      </c>
      <c r="H549" t="s">
        <v>27</v>
      </c>
      <c r="I549" s="34" t="s">
        <v>28</v>
      </c>
      <c r="J549" s="34">
        <v>526</v>
      </c>
      <c r="K549" s="34" t="s">
        <v>124</v>
      </c>
      <c r="L549" s="34">
        <v>20</v>
      </c>
      <c r="M549" s="35">
        <v>104000</v>
      </c>
      <c r="N549" s="36">
        <f t="shared" si="9"/>
        <v>5200</v>
      </c>
      <c r="P549" t="s">
        <v>30</v>
      </c>
      <c r="Q549" t="s">
        <v>31</v>
      </c>
      <c r="R549" s="1">
        <v>46077</v>
      </c>
      <c r="S549" t="s">
        <v>32</v>
      </c>
    </row>
    <row r="550" spans="1:21" ht="15.75" x14ac:dyDescent="0.25">
      <c r="A550" t="s">
        <v>470</v>
      </c>
      <c r="B550" s="34" t="s">
        <v>554</v>
      </c>
      <c r="C550" s="34" t="s">
        <v>555</v>
      </c>
      <c r="D550" s="34" t="s">
        <v>557</v>
      </c>
      <c r="E550" s="34" t="s">
        <v>558</v>
      </c>
      <c r="F550" s="34" t="s">
        <v>90</v>
      </c>
      <c r="G550" s="34" t="s">
        <v>254</v>
      </c>
      <c r="H550" t="s">
        <v>27</v>
      </c>
      <c r="I550" s="34" t="s">
        <v>28</v>
      </c>
      <c r="J550" s="34">
        <v>527</v>
      </c>
      <c r="K550" s="34" t="s">
        <v>124</v>
      </c>
      <c r="L550" s="34">
        <v>20</v>
      </c>
      <c r="M550" s="35">
        <v>0</v>
      </c>
      <c r="N550" s="36">
        <f t="shared" si="9"/>
        <v>0</v>
      </c>
      <c r="P550" t="s">
        <v>30</v>
      </c>
      <c r="Q550" t="s">
        <v>31</v>
      </c>
      <c r="R550" s="1">
        <v>46077</v>
      </c>
      <c r="S550" t="s">
        <v>32</v>
      </c>
      <c r="T550" s="2" t="s">
        <v>567</v>
      </c>
      <c r="U550" s="3">
        <v>45974</v>
      </c>
    </row>
    <row r="551" spans="1:21" ht="15.75" x14ac:dyDescent="0.25">
      <c r="A551" t="s">
        <v>470</v>
      </c>
      <c r="B551" s="34" t="s">
        <v>554</v>
      </c>
      <c r="C551" s="34" t="s">
        <v>555</v>
      </c>
      <c r="D551" s="34" t="s">
        <v>557</v>
      </c>
      <c r="E551" s="34" t="s">
        <v>558</v>
      </c>
      <c r="F551" s="34" t="s">
        <v>90</v>
      </c>
      <c r="G551" s="34" t="s">
        <v>559</v>
      </c>
      <c r="H551" t="s">
        <v>27</v>
      </c>
      <c r="I551" s="34" t="s">
        <v>28</v>
      </c>
      <c r="J551" s="34">
        <v>527</v>
      </c>
      <c r="K551" s="34" t="s">
        <v>124</v>
      </c>
      <c r="L551" s="34">
        <v>20</v>
      </c>
      <c r="M551" s="35">
        <v>0</v>
      </c>
      <c r="N551" s="36">
        <f t="shared" si="9"/>
        <v>0</v>
      </c>
      <c r="P551" t="s">
        <v>30</v>
      </c>
      <c r="Q551" t="s">
        <v>31</v>
      </c>
      <c r="R551" s="1">
        <v>46077</v>
      </c>
      <c r="S551" t="s">
        <v>32</v>
      </c>
      <c r="T551" s="2" t="s">
        <v>567</v>
      </c>
      <c r="U551" s="3">
        <v>45974</v>
      </c>
    </row>
    <row r="552" spans="1:21" x14ac:dyDescent="0.25">
      <c r="A552" t="s">
        <v>470</v>
      </c>
      <c r="B552" s="34" t="s">
        <v>481</v>
      </c>
      <c r="C552" s="34" t="s">
        <v>482</v>
      </c>
      <c r="D552" s="34" t="s">
        <v>557</v>
      </c>
      <c r="E552" s="38" t="s">
        <v>24</v>
      </c>
      <c r="F552" s="34" t="s">
        <v>483</v>
      </c>
      <c r="G552" s="34" t="s">
        <v>399</v>
      </c>
      <c r="H552" t="s">
        <v>27</v>
      </c>
      <c r="I552" s="34" t="s">
        <v>28</v>
      </c>
      <c r="J552" s="34">
        <v>528</v>
      </c>
      <c r="K552" s="34" t="s">
        <v>277</v>
      </c>
      <c r="L552" s="34">
        <v>20</v>
      </c>
      <c r="M552" s="28">
        <v>0</v>
      </c>
      <c r="N552" s="36">
        <f t="shared" si="9"/>
        <v>0</v>
      </c>
      <c r="P552" t="s">
        <v>30</v>
      </c>
      <c r="Q552" t="s">
        <v>31</v>
      </c>
      <c r="R552" s="1">
        <v>46077</v>
      </c>
      <c r="S552" t="s">
        <v>32</v>
      </c>
    </row>
    <row r="553" spans="1:21" x14ac:dyDescent="0.25">
      <c r="A553" t="s">
        <v>470</v>
      </c>
      <c r="B553" s="34" t="s">
        <v>481</v>
      </c>
      <c r="C553" s="34" t="s">
        <v>482</v>
      </c>
      <c r="D553" s="34" t="s">
        <v>557</v>
      </c>
      <c r="E553" s="38" t="s">
        <v>24</v>
      </c>
      <c r="F553" s="34" t="s">
        <v>483</v>
      </c>
      <c r="G553" s="34" t="s">
        <v>397</v>
      </c>
      <c r="H553" t="s">
        <v>27</v>
      </c>
      <c r="I553" s="34" t="s">
        <v>28</v>
      </c>
      <c r="J553" s="34">
        <v>528</v>
      </c>
      <c r="K553" s="34" t="s">
        <v>277</v>
      </c>
      <c r="L553" s="34">
        <v>2</v>
      </c>
      <c r="M553" s="28">
        <v>0</v>
      </c>
      <c r="N553" s="36">
        <f t="shared" si="9"/>
        <v>0</v>
      </c>
      <c r="P553" t="s">
        <v>30</v>
      </c>
      <c r="Q553" t="s">
        <v>31</v>
      </c>
      <c r="R553" s="1">
        <v>46077</v>
      </c>
      <c r="S553" t="s">
        <v>32</v>
      </c>
    </row>
    <row r="554" spans="1:21" x14ac:dyDescent="0.25">
      <c r="A554" t="s">
        <v>470</v>
      </c>
      <c r="B554" s="34" t="s">
        <v>481</v>
      </c>
      <c r="C554" s="34" t="s">
        <v>482</v>
      </c>
      <c r="D554" s="34" t="s">
        <v>557</v>
      </c>
      <c r="E554" s="38" t="s">
        <v>24</v>
      </c>
      <c r="F554" s="34" t="s">
        <v>483</v>
      </c>
      <c r="G554" s="34" t="s">
        <v>484</v>
      </c>
      <c r="H554" t="s">
        <v>27</v>
      </c>
      <c r="I554" s="34" t="s">
        <v>28</v>
      </c>
      <c r="J554" s="34">
        <v>528</v>
      </c>
      <c r="K554" s="34" t="s">
        <v>277</v>
      </c>
      <c r="L554" s="34">
        <v>3</v>
      </c>
      <c r="M554" s="28">
        <v>0</v>
      </c>
      <c r="N554" s="36">
        <f t="shared" si="9"/>
        <v>0</v>
      </c>
      <c r="P554" t="s">
        <v>30</v>
      </c>
      <c r="Q554" t="s">
        <v>31</v>
      </c>
      <c r="R554" s="1">
        <v>46077</v>
      </c>
      <c r="S554" t="s">
        <v>32</v>
      </c>
    </row>
    <row r="555" spans="1:21" x14ac:dyDescent="0.25">
      <c r="A555" t="s">
        <v>470</v>
      </c>
      <c r="B555" s="34" t="s">
        <v>481</v>
      </c>
      <c r="C555" s="34" t="s">
        <v>482</v>
      </c>
      <c r="D555" s="34" t="s">
        <v>557</v>
      </c>
      <c r="E555" s="38" t="s">
        <v>24</v>
      </c>
      <c r="F555" s="34" t="s">
        <v>483</v>
      </c>
      <c r="G555" s="34" t="s">
        <v>420</v>
      </c>
      <c r="H555" t="s">
        <v>27</v>
      </c>
      <c r="I555" s="34" t="s">
        <v>28</v>
      </c>
      <c r="J555" s="34">
        <v>528</v>
      </c>
      <c r="K555" s="34" t="s">
        <v>277</v>
      </c>
      <c r="L555" s="34">
        <v>10</v>
      </c>
      <c r="M555" s="28">
        <v>0</v>
      </c>
      <c r="N555" s="36">
        <f t="shared" si="9"/>
        <v>0</v>
      </c>
      <c r="P555" t="s">
        <v>30</v>
      </c>
      <c r="Q555" t="s">
        <v>31</v>
      </c>
      <c r="R555" s="1">
        <v>46077</v>
      </c>
      <c r="S555" t="s">
        <v>32</v>
      </c>
    </row>
    <row r="556" spans="1:21" x14ac:dyDescent="0.25">
      <c r="A556" t="s">
        <v>470</v>
      </c>
      <c r="B556" s="34" t="s">
        <v>481</v>
      </c>
      <c r="C556" s="34" t="s">
        <v>482</v>
      </c>
      <c r="D556" s="34" t="s">
        <v>557</v>
      </c>
      <c r="E556" s="38" t="s">
        <v>24</v>
      </c>
      <c r="F556" s="34" t="s">
        <v>483</v>
      </c>
      <c r="G556" s="34" t="s">
        <v>422</v>
      </c>
      <c r="H556" t="s">
        <v>27</v>
      </c>
      <c r="I556" s="34" t="s">
        <v>28</v>
      </c>
      <c r="J556" s="34">
        <v>528</v>
      </c>
      <c r="K556" s="34" t="s">
        <v>277</v>
      </c>
      <c r="L556" s="34">
        <v>1</v>
      </c>
      <c r="M556" s="28">
        <v>0</v>
      </c>
      <c r="N556" s="36">
        <f t="shared" si="9"/>
        <v>0</v>
      </c>
      <c r="P556" t="s">
        <v>30</v>
      </c>
      <c r="Q556" t="s">
        <v>31</v>
      </c>
      <c r="R556" s="1">
        <v>46077</v>
      </c>
      <c r="S556" t="s">
        <v>32</v>
      </c>
    </row>
    <row r="557" spans="1:21" x14ac:dyDescent="0.25">
      <c r="A557" t="s">
        <v>470</v>
      </c>
      <c r="B557" s="34" t="s">
        <v>582</v>
      </c>
      <c r="C557" s="34" t="s">
        <v>583</v>
      </c>
      <c r="D557" s="34" t="s">
        <v>557</v>
      </c>
      <c r="E557" s="34" t="s">
        <v>36</v>
      </c>
      <c r="F557" s="34" t="s">
        <v>49</v>
      </c>
      <c r="G557" s="34" t="s">
        <v>243</v>
      </c>
      <c r="H557" t="s">
        <v>27</v>
      </c>
      <c r="I557" s="34" t="s">
        <v>28</v>
      </c>
      <c r="J557" s="34">
        <v>529</v>
      </c>
      <c r="K557" s="34" t="s">
        <v>124</v>
      </c>
      <c r="L557" s="34">
        <v>80</v>
      </c>
      <c r="M557" s="35">
        <v>765600</v>
      </c>
      <c r="N557" s="36">
        <f t="shared" si="9"/>
        <v>9570</v>
      </c>
      <c r="P557" t="s">
        <v>30</v>
      </c>
      <c r="Q557" t="s">
        <v>31</v>
      </c>
      <c r="R557" s="1">
        <v>46077</v>
      </c>
      <c r="S557" t="s">
        <v>32</v>
      </c>
    </row>
    <row r="558" spans="1:21" x14ac:dyDescent="0.25">
      <c r="A558" t="s">
        <v>470</v>
      </c>
      <c r="B558" s="34" t="s">
        <v>584</v>
      </c>
      <c r="C558" s="34" t="s">
        <v>585</v>
      </c>
      <c r="D558" s="34" t="s">
        <v>557</v>
      </c>
      <c r="E558" s="34" t="s">
        <v>48</v>
      </c>
      <c r="F558" s="34" t="s">
        <v>25</v>
      </c>
      <c r="G558" s="34" t="s">
        <v>286</v>
      </c>
      <c r="H558" t="s">
        <v>27</v>
      </c>
      <c r="I558" s="34" t="s">
        <v>65</v>
      </c>
      <c r="J558" s="37">
        <v>214</v>
      </c>
      <c r="K558" s="34" t="s">
        <v>124</v>
      </c>
      <c r="L558" s="34">
        <v>5</v>
      </c>
      <c r="M558" s="35">
        <v>53000</v>
      </c>
      <c r="N558" s="36">
        <f t="shared" si="9"/>
        <v>10600</v>
      </c>
      <c r="P558" t="s">
        <v>30</v>
      </c>
      <c r="Q558" t="s">
        <v>31</v>
      </c>
      <c r="R558" s="1">
        <v>46173</v>
      </c>
      <c r="S558" t="s">
        <v>32</v>
      </c>
    </row>
    <row r="559" spans="1:21" x14ac:dyDescent="0.25">
      <c r="A559" t="s">
        <v>470</v>
      </c>
      <c r="B559" s="34" t="s">
        <v>62</v>
      </c>
      <c r="C559" s="34" t="s">
        <v>63</v>
      </c>
      <c r="D559" s="34" t="s">
        <v>589</v>
      </c>
      <c r="E559" s="34" t="s">
        <v>48</v>
      </c>
      <c r="F559" s="34" t="s">
        <v>25</v>
      </c>
      <c r="G559" s="34" t="s">
        <v>322</v>
      </c>
      <c r="H559" t="s">
        <v>27</v>
      </c>
      <c r="I559" s="34" t="s">
        <v>65</v>
      </c>
      <c r="J559" s="34">
        <v>216</v>
      </c>
      <c r="K559" s="34" t="s">
        <v>124</v>
      </c>
      <c r="L559" s="34">
        <v>20</v>
      </c>
      <c r="M559" s="35">
        <v>210000</v>
      </c>
      <c r="N559" s="36">
        <f t="shared" si="9"/>
        <v>10500</v>
      </c>
      <c r="P559" t="s">
        <v>30</v>
      </c>
      <c r="Q559" t="s">
        <v>31</v>
      </c>
      <c r="R559" s="1">
        <v>46173</v>
      </c>
      <c r="S559" t="s">
        <v>32</v>
      </c>
    </row>
    <row r="560" spans="1:21" x14ac:dyDescent="0.25">
      <c r="A560" t="s">
        <v>470</v>
      </c>
      <c r="B560" s="34" t="s">
        <v>62</v>
      </c>
      <c r="C560" s="34" t="s">
        <v>63</v>
      </c>
      <c r="D560" s="34" t="s">
        <v>589</v>
      </c>
      <c r="E560" s="34" t="s">
        <v>48</v>
      </c>
      <c r="F560" s="34" t="s">
        <v>25</v>
      </c>
      <c r="G560" s="34" t="s">
        <v>389</v>
      </c>
      <c r="H560" t="s">
        <v>27</v>
      </c>
      <c r="I560" s="34" t="s">
        <v>65</v>
      </c>
      <c r="J560" s="34">
        <v>216</v>
      </c>
      <c r="K560" s="34" t="s">
        <v>124</v>
      </c>
      <c r="L560" s="34">
        <v>40</v>
      </c>
      <c r="M560" s="35">
        <v>240000</v>
      </c>
      <c r="N560" s="36">
        <f t="shared" si="9"/>
        <v>6000</v>
      </c>
      <c r="P560" t="s">
        <v>30</v>
      </c>
      <c r="Q560" t="s">
        <v>31</v>
      </c>
      <c r="R560" s="1">
        <v>46173</v>
      </c>
      <c r="S560" t="s">
        <v>32</v>
      </c>
    </row>
    <row r="561" spans="1:21" x14ac:dyDescent="0.25">
      <c r="A561" t="s">
        <v>470</v>
      </c>
      <c r="B561" s="34" t="s">
        <v>62</v>
      </c>
      <c r="C561" s="34" t="s">
        <v>63</v>
      </c>
      <c r="D561" s="34" t="s">
        <v>589</v>
      </c>
      <c r="E561" s="34" t="s">
        <v>48</v>
      </c>
      <c r="F561" s="34" t="s">
        <v>25</v>
      </c>
      <c r="G561" s="34" t="s">
        <v>276</v>
      </c>
      <c r="H561" t="s">
        <v>27</v>
      </c>
      <c r="I561" s="34" t="s">
        <v>65</v>
      </c>
      <c r="J561" s="34">
        <v>216</v>
      </c>
      <c r="K561" s="34" t="s">
        <v>277</v>
      </c>
      <c r="L561" s="34">
        <v>8</v>
      </c>
      <c r="M561" s="35">
        <v>280000</v>
      </c>
      <c r="N561" s="36">
        <f t="shared" si="9"/>
        <v>35000</v>
      </c>
      <c r="P561" t="s">
        <v>30</v>
      </c>
      <c r="Q561" t="s">
        <v>31</v>
      </c>
      <c r="R561" s="1">
        <v>46173</v>
      </c>
      <c r="S561" t="s">
        <v>32</v>
      </c>
    </row>
    <row r="562" spans="1:21" ht="15.75" x14ac:dyDescent="0.25">
      <c r="A562" t="s">
        <v>470</v>
      </c>
      <c r="B562" s="34" t="s">
        <v>117</v>
      </c>
      <c r="C562" s="34" t="s">
        <v>118</v>
      </c>
      <c r="D562" s="34" t="s">
        <v>589</v>
      </c>
      <c r="E562" s="34" t="s">
        <v>558</v>
      </c>
      <c r="F562" s="34" t="s">
        <v>90</v>
      </c>
      <c r="G562" s="34" t="s">
        <v>91</v>
      </c>
      <c r="H562" t="s">
        <v>27</v>
      </c>
      <c r="I562" s="34" t="s">
        <v>28</v>
      </c>
      <c r="J562" s="34">
        <v>530</v>
      </c>
      <c r="K562" s="34" t="s">
        <v>29</v>
      </c>
      <c r="L562" s="34">
        <v>20</v>
      </c>
      <c r="M562" s="35">
        <v>0</v>
      </c>
      <c r="N562" s="36">
        <f t="shared" si="9"/>
        <v>0</v>
      </c>
      <c r="P562" t="s">
        <v>30</v>
      </c>
      <c r="Q562" t="s">
        <v>31</v>
      </c>
      <c r="R562" s="1">
        <v>46111</v>
      </c>
      <c r="S562" t="s">
        <v>32</v>
      </c>
      <c r="T562" s="2" t="s">
        <v>590</v>
      </c>
      <c r="U562" s="1">
        <v>46029</v>
      </c>
    </row>
    <row r="563" spans="1:21" ht="15.75" x14ac:dyDescent="0.25">
      <c r="A563" t="s">
        <v>470</v>
      </c>
      <c r="B563" s="34" t="s">
        <v>117</v>
      </c>
      <c r="C563" s="34" t="s">
        <v>118</v>
      </c>
      <c r="D563" s="34" t="s">
        <v>589</v>
      </c>
      <c r="E563" s="34" t="s">
        <v>558</v>
      </c>
      <c r="F563" s="34" t="s">
        <v>90</v>
      </c>
      <c r="G563" s="34" t="s">
        <v>119</v>
      </c>
      <c r="H563" t="s">
        <v>27</v>
      </c>
      <c r="I563" s="34" t="s">
        <v>28</v>
      </c>
      <c r="J563" s="34">
        <v>530</v>
      </c>
      <c r="K563" s="34" t="s">
        <v>29</v>
      </c>
      <c r="L563" s="34">
        <v>20</v>
      </c>
      <c r="M563" s="35">
        <v>0</v>
      </c>
      <c r="N563" s="36">
        <f t="shared" si="9"/>
        <v>0</v>
      </c>
      <c r="P563" t="s">
        <v>30</v>
      </c>
      <c r="Q563" t="s">
        <v>31</v>
      </c>
      <c r="R563" s="1">
        <v>46111</v>
      </c>
      <c r="S563" t="s">
        <v>32</v>
      </c>
      <c r="T563" s="2" t="s">
        <v>590</v>
      </c>
      <c r="U563" s="1">
        <v>46029</v>
      </c>
    </row>
    <row r="564" spans="1:21" x14ac:dyDescent="0.25">
      <c r="A564" t="s">
        <v>470</v>
      </c>
      <c r="B564" s="34" t="s">
        <v>348</v>
      </c>
      <c r="C564" s="34" t="s">
        <v>349</v>
      </c>
      <c r="D564" s="34" t="s">
        <v>589</v>
      </c>
      <c r="E564" s="34" t="s">
        <v>48</v>
      </c>
      <c r="F564" s="34" t="s">
        <v>59</v>
      </c>
      <c r="G564" s="34" t="s">
        <v>322</v>
      </c>
      <c r="H564" t="s">
        <v>27</v>
      </c>
      <c r="I564" s="34" t="s">
        <v>28</v>
      </c>
      <c r="J564" s="34">
        <v>531</v>
      </c>
      <c r="K564" s="34" t="s">
        <v>124</v>
      </c>
      <c r="L564" s="34">
        <v>320</v>
      </c>
      <c r="M564" s="35">
        <v>3024000</v>
      </c>
      <c r="N564" s="36">
        <f t="shared" si="9"/>
        <v>9450</v>
      </c>
      <c r="P564" t="s">
        <v>30</v>
      </c>
      <c r="Q564" t="s">
        <v>31</v>
      </c>
      <c r="R564" s="1">
        <v>46233</v>
      </c>
      <c r="S564" t="s">
        <v>32</v>
      </c>
    </row>
    <row r="565" spans="1:21" x14ac:dyDescent="0.25">
      <c r="A565" t="s">
        <v>470</v>
      </c>
      <c r="B565" s="34" t="s">
        <v>348</v>
      </c>
      <c r="C565" s="34" t="s">
        <v>349</v>
      </c>
      <c r="D565" s="34" t="s">
        <v>589</v>
      </c>
      <c r="E565" s="34" t="s">
        <v>48</v>
      </c>
      <c r="F565" s="34" t="s">
        <v>59</v>
      </c>
      <c r="G565" s="34" t="s">
        <v>283</v>
      </c>
      <c r="H565" t="s">
        <v>27</v>
      </c>
      <c r="I565" s="34" t="s">
        <v>28</v>
      </c>
      <c r="J565" s="34">
        <v>531</v>
      </c>
      <c r="K565" s="34" t="s">
        <v>124</v>
      </c>
      <c r="L565" s="34">
        <v>5</v>
      </c>
      <c r="M565" s="35">
        <v>47250</v>
      </c>
      <c r="N565" s="36">
        <f t="shared" si="9"/>
        <v>9450</v>
      </c>
      <c r="P565" t="s">
        <v>30</v>
      </c>
      <c r="Q565" t="s">
        <v>31</v>
      </c>
      <c r="R565" s="1">
        <v>46233</v>
      </c>
      <c r="S565" t="s">
        <v>32</v>
      </c>
    </row>
    <row r="566" spans="1:21" x14ac:dyDescent="0.25">
      <c r="A566" t="s">
        <v>470</v>
      </c>
      <c r="B566" s="34" t="s">
        <v>348</v>
      </c>
      <c r="C566" s="34" t="s">
        <v>349</v>
      </c>
      <c r="D566" s="34" t="s">
        <v>589</v>
      </c>
      <c r="E566" s="34" t="s">
        <v>48</v>
      </c>
      <c r="F566" s="34" t="s">
        <v>59</v>
      </c>
      <c r="G566" s="34" t="s">
        <v>327</v>
      </c>
      <c r="H566" t="s">
        <v>27</v>
      </c>
      <c r="I566" s="34" t="s">
        <v>28</v>
      </c>
      <c r="J566" s="34">
        <v>531</v>
      </c>
      <c r="K566" s="34" t="s">
        <v>124</v>
      </c>
      <c r="L566" s="34">
        <v>10</v>
      </c>
      <c r="M566" s="35">
        <v>52800</v>
      </c>
      <c r="N566" s="36">
        <f t="shared" si="9"/>
        <v>5280</v>
      </c>
      <c r="P566" t="s">
        <v>30</v>
      </c>
      <c r="Q566" t="s">
        <v>31</v>
      </c>
      <c r="R566" s="1">
        <v>46233</v>
      </c>
      <c r="S566" t="s">
        <v>32</v>
      </c>
    </row>
    <row r="567" spans="1:21" x14ac:dyDescent="0.25">
      <c r="A567" t="s">
        <v>470</v>
      </c>
      <c r="B567" s="34" t="s">
        <v>348</v>
      </c>
      <c r="C567" s="34" t="s">
        <v>349</v>
      </c>
      <c r="D567" s="34" t="s">
        <v>589</v>
      </c>
      <c r="E567" s="34" t="s">
        <v>48</v>
      </c>
      <c r="F567" s="34" t="s">
        <v>59</v>
      </c>
      <c r="G567" s="34" t="s">
        <v>464</v>
      </c>
      <c r="H567" t="s">
        <v>27</v>
      </c>
      <c r="I567" s="34" t="s">
        <v>28</v>
      </c>
      <c r="J567" s="34">
        <v>531</v>
      </c>
      <c r="K567" s="34" t="s">
        <v>124</v>
      </c>
      <c r="L567" s="34">
        <v>5</v>
      </c>
      <c r="M567" s="35">
        <v>49690</v>
      </c>
      <c r="N567" s="36">
        <f t="shared" si="9"/>
        <v>9938</v>
      </c>
      <c r="P567" t="s">
        <v>30</v>
      </c>
      <c r="Q567" t="s">
        <v>31</v>
      </c>
      <c r="R567" s="1">
        <v>46233</v>
      </c>
      <c r="S567" t="s">
        <v>32</v>
      </c>
    </row>
    <row r="568" spans="1:21" x14ac:dyDescent="0.25">
      <c r="A568" t="s">
        <v>470</v>
      </c>
      <c r="B568" t="s">
        <v>249</v>
      </c>
      <c r="C568" t="s">
        <v>250</v>
      </c>
      <c r="D568" t="s">
        <v>593</v>
      </c>
      <c r="E568" s="34" t="s">
        <v>41</v>
      </c>
      <c r="F568" t="s">
        <v>37</v>
      </c>
      <c r="G568" t="s">
        <v>252</v>
      </c>
      <c r="H568" t="s">
        <v>27</v>
      </c>
      <c r="I568" t="s">
        <v>65</v>
      </c>
      <c r="J568">
        <v>217</v>
      </c>
      <c r="K568" t="s">
        <v>124</v>
      </c>
      <c r="L568">
        <v>380</v>
      </c>
      <c r="M568" s="5">
        <v>950000</v>
      </c>
      <c r="N568" s="36">
        <f t="shared" si="9"/>
        <v>2500</v>
      </c>
      <c r="P568" t="s">
        <v>30</v>
      </c>
      <c r="Q568" t="s">
        <v>31</v>
      </c>
      <c r="R568" s="1">
        <v>46264</v>
      </c>
      <c r="S568" t="s">
        <v>32</v>
      </c>
    </row>
    <row r="569" spans="1:21" x14ac:dyDescent="0.25">
      <c r="A569" t="s">
        <v>470</v>
      </c>
      <c r="B569" t="s">
        <v>249</v>
      </c>
      <c r="C569" t="s">
        <v>250</v>
      </c>
      <c r="D569" t="s">
        <v>593</v>
      </c>
      <c r="E569" s="34" t="s">
        <v>41</v>
      </c>
      <c r="F569" t="s">
        <v>37</v>
      </c>
      <c r="G569" t="s">
        <v>380</v>
      </c>
      <c r="H569" t="s">
        <v>27</v>
      </c>
      <c r="I569" t="s">
        <v>65</v>
      </c>
      <c r="J569">
        <v>217</v>
      </c>
      <c r="K569" t="s">
        <v>124</v>
      </c>
      <c r="L569">
        <v>380</v>
      </c>
      <c r="M569" s="5">
        <v>950000</v>
      </c>
      <c r="N569" s="36">
        <f t="shared" si="9"/>
        <v>2500</v>
      </c>
      <c r="P569" t="s">
        <v>30</v>
      </c>
      <c r="Q569" t="s">
        <v>31</v>
      </c>
      <c r="R569" s="1">
        <v>46264</v>
      </c>
      <c r="S569" t="s">
        <v>32</v>
      </c>
    </row>
    <row r="570" spans="1:21" x14ac:dyDescent="0.25">
      <c r="A570" t="s">
        <v>470</v>
      </c>
      <c r="B570" t="s">
        <v>203</v>
      </c>
      <c r="C570" t="s">
        <v>204</v>
      </c>
      <c r="D570" t="s">
        <v>593</v>
      </c>
      <c r="E570" s="34" t="s">
        <v>41</v>
      </c>
      <c r="F570" t="s">
        <v>37</v>
      </c>
      <c r="G570" t="s">
        <v>594</v>
      </c>
      <c r="H570" t="s">
        <v>27</v>
      </c>
      <c r="I570" t="s">
        <v>65</v>
      </c>
      <c r="J570">
        <v>218</v>
      </c>
      <c r="K570" t="s">
        <v>277</v>
      </c>
      <c r="L570">
        <v>2</v>
      </c>
      <c r="M570" s="5">
        <v>64000</v>
      </c>
      <c r="N570" s="36">
        <f t="shared" si="9"/>
        <v>32000</v>
      </c>
      <c r="P570" t="s">
        <v>30</v>
      </c>
      <c r="Q570" t="s">
        <v>31</v>
      </c>
      <c r="R570" s="1">
        <v>46139</v>
      </c>
      <c r="S570" t="s">
        <v>32</v>
      </c>
    </row>
    <row r="571" spans="1:21" x14ac:dyDescent="0.25">
      <c r="A571" t="s">
        <v>470</v>
      </c>
      <c r="B571" t="s">
        <v>203</v>
      </c>
      <c r="C571" t="s">
        <v>204</v>
      </c>
      <c r="D571" t="s">
        <v>593</v>
      </c>
      <c r="E571" s="34" t="s">
        <v>41</v>
      </c>
      <c r="F571" t="s">
        <v>37</v>
      </c>
      <c r="G571" t="s">
        <v>276</v>
      </c>
      <c r="H571" t="s">
        <v>27</v>
      </c>
      <c r="I571" t="s">
        <v>65</v>
      </c>
      <c r="J571">
        <v>218</v>
      </c>
      <c r="K571" t="s">
        <v>277</v>
      </c>
      <c r="L571">
        <v>2</v>
      </c>
      <c r="M571" s="5">
        <v>64000</v>
      </c>
      <c r="N571" s="36">
        <f t="shared" si="9"/>
        <v>32000</v>
      </c>
      <c r="P571" t="s">
        <v>30</v>
      </c>
      <c r="Q571" t="s">
        <v>31</v>
      </c>
      <c r="R571" s="1">
        <v>46139</v>
      </c>
      <c r="S571" t="s">
        <v>32</v>
      </c>
    </row>
    <row r="572" spans="1:21" x14ac:dyDescent="0.25">
      <c r="A572" t="s">
        <v>470</v>
      </c>
      <c r="B572" t="s">
        <v>591</v>
      </c>
      <c r="C572" t="s">
        <v>592</v>
      </c>
      <c r="D572" t="s">
        <v>593</v>
      </c>
      <c r="E572" s="34" t="s">
        <v>41</v>
      </c>
      <c r="F572" t="s">
        <v>37</v>
      </c>
      <c r="G572" t="s">
        <v>559</v>
      </c>
      <c r="H572" t="s">
        <v>27</v>
      </c>
      <c r="I572" t="s">
        <v>65</v>
      </c>
      <c r="J572">
        <v>219</v>
      </c>
      <c r="K572" t="s">
        <v>124</v>
      </c>
      <c r="L572">
        <v>20</v>
      </c>
      <c r="M572" s="5">
        <v>190000</v>
      </c>
      <c r="N572" s="36">
        <f t="shared" si="9"/>
        <v>9500</v>
      </c>
      <c r="P572" t="s">
        <v>30</v>
      </c>
      <c r="Q572" t="s">
        <v>31</v>
      </c>
      <c r="R572" s="1">
        <v>46106</v>
      </c>
      <c r="S572" t="s">
        <v>32</v>
      </c>
    </row>
    <row r="573" spans="1:21" x14ac:dyDescent="0.25">
      <c r="A573" t="s">
        <v>470</v>
      </c>
      <c r="B573" t="s">
        <v>109</v>
      </c>
      <c r="C573" t="s">
        <v>110</v>
      </c>
      <c r="D573" t="s">
        <v>593</v>
      </c>
      <c r="E573" s="34" t="s">
        <v>48</v>
      </c>
      <c r="F573" t="s">
        <v>59</v>
      </c>
      <c r="G573" t="s">
        <v>297</v>
      </c>
      <c r="H573" t="s">
        <v>27</v>
      </c>
      <c r="I573" t="s">
        <v>65</v>
      </c>
      <c r="J573">
        <v>220</v>
      </c>
      <c r="K573" t="s">
        <v>124</v>
      </c>
      <c r="L573">
        <v>10</v>
      </c>
      <c r="M573" s="5">
        <v>60060</v>
      </c>
      <c r="N573" s="36">
        <f t="shared" si="9"/>
        <v>6006</v>
      </c>
      <c r="P573" t="s">
        <v>30</v>
      </c>
      <c r="Q573" t="s">
        <v>31</v>
      </c>
      <c r="R573" s="1">
        <v>46172</v>
      </c>
      <c r="S573" t="s">
        <v>32</v>
      </c>
    </row>
    <row r="574" spans="1:21" x14ac:dyDescent="0.25">
      <c r="A574" t="s">
        <v>470</v>
      </c>
      <c r="B574" t="s">
        <v>109</v>
      </c>
      <c r="C574" t="s">
        <v>110</v>
      </c>
      <c r="D574" t="s">
        <v>593</v>
      </c>
      <c r="E574" s="34" t="s">
        <v>48</v>
      </c>
      <c r="F574" t="s">
        <v>59</v>
      </c>
      <c r="G574" t="s">
        <v>379</v>
      </c>
      <c r="H574" t="s">
        <v>27</v>
      </c>
      <c r="I574" t="s">
        <v>65</v>
      </c>
      <c r="J574">
        <v>220</v>
      </c>
      <c r="K574" t="s">
        <v>124</v>
      </c>
      <c r="L574">
        <v>12</v>
      </c>
      <c r="M574" s="5">
        <v>86484</v>
      </c>
      <c r="N574" s="36">
        <f t="shared" si="9"/>
        <v>7207</v>
      </c>
      <c r="P574" t="s">
        <v>30</v>
      </c>
      <c r="Q574" t="s">
        <v>31</v>
      </c>
      <c r="R574" s="1">
        <v>46172</v>
      </c>
      <c r="S574" t="s">
        <v>32</v>
      </c>
    </row>
    <row r="575" spans="1:21" x14ac:dyDescent="0.25">
      <c r="A575" t="s">
        <v>470</v>
      </c>
      <c r="B575" t="s">
        <v>109</v>
      </c>
      <c r="C575" t="s">
        <v>110</v>
      </c>
      <c r="D575" t="s">
        <v>593</v>
      </c>
      <c r="E575" s="34" t="s">
        <v>48</v>
      </c>
      <c r="F575" t="s">
        <v>59</v>
      </c>
      <c r="G575" t="s">
        <v>438</v>
      </c>
      <c r="H575" t="s">
        <v>27</v>
      </c>
      <c r="I575" t="s">
        <v>65</v>
      </c>
      <c r="J575">
        <v>220</v>
      </c>
      <c r="K575" t="s">
        <v>124</v>
      </c>
      <c r="L575">
        <v>12</v>
      </c>
      <c r="M575" s="5">
        <v>72072</v>
      </c>
      <c r="N575" s="36">
        <f t="shared" si="9"/>
        <v>6006</v>
      </c>
      <c r="P575" t="s">
        <v>30</v>
      </c>
      <c r="Q575" t="s">
        <v>31</v>
      </c>
      <c r="R575" s="1">
        <v>46172</v>
      </c>
      <c r="S575" t="s">
        <v>32</v>
      </c>
    </row>
    <row r="576" spans="1:21" x14ac:dyDescent="0.25">
      <c r="A576" t="s">
        <v>470</v>
      </c>
      <c r="B576" t="s">
        <v>109</v>
      </c>
      <c r="C576" t="s">
        <v>110</v>
      </c>
      <c r="D576" t="s">
        <v>593</v>
      </c>
      <c r="E576" s="34" t="s">
        <v>48</v>
      </c>
      <c r="F576" t="s">
        <v>59</v>
      </c>
      <c r="G576" t="s">
        <v>439</v>
      </c>
      <c r="H576" t="s">
        <v>27</v>
      </c>
      <c r="I576" t="s">
        <v>65</v>
      </c>
      <c r="J576">
        <v>220</v>
      </c>
      <c r="K576" t="s">
        <v>124</v>
      </c>
      <c r="L576">
        <v>20</v>
      </c>
      <c r="M576" s="5">
        <v>96100</v>
      </c>
      <c r="N576" s="36">
        <f t="shared" si="9"/>
        <v>4805</v>
      </c>
      <c r="P576" t="s">
        <v>30</v>
      </c>
      <c r="Q576" t="s">
        <v>31</v>
      </c>
      <c r="R576" s="1">
        <v>46172</v>
      </c>
      <c r="S576" t="s">
        <v>32</v>
      </c>
    </row>
    <row r="577" spans="1:19" x14ac:dyDescent="0.25">
      <c r="A577" t="s">
        <v>470</v>
      </c>
      <c r="B577" t="s">
        <v>348</v>
      </c>
      <c r="C577" t="s">
        <v>595</v>
      </c>
      <c r="D577" t="s">
        <v>593</v>
      </c>
      <c r="E577" s="34" t="s">
        <v>48</v>
      </c>
      <c r="F577" t="s">
        <v>59</v>
      </c>
      <c r="G577" t="s">
        <v>435</v>
      </c>
      <c r="H577" t="s">
        <v>27</v>
      </c>
      <c r="I577" t="s">
        <v>28</v>
      </c>
      <c r="J577">
        <v>532</v>
      </c>
      <c r="K577" t="s">
        <v>124</v>
      </c>
      <c r="L577">
        <v>3</v>
      </c>
      <c r="M577" s="5">
        <v>18675</v>
      </c>
      <c r="N577" s="36">
        <f t="shared" si="9"/>
        <v>6225</v>
      </c>
      <c r="P577" t="s">
        <v>30</v>
      </c>
      <c r="Q577" t="s">
        <v>31</v>
      </c>
      <c r="R577" s="1">
        <v>46233</v>
      </c>
      <c r="S577" t="s">
        <v>32</v>
      </c>
    </row>
    <row r="578" spans="1:19" x14ac:dyDescent="0.25">
      <c r="A578" t="s">
        <v>470</v>
      </c>
      <c r="B578" t="s">
        <v>348</v>
      </c>
      <c r="C578" t="s">
        <v>595</v>
      </c>
      <c r="D578" t="s">
        <v>593</v>
      </c>
      <c r="E578" s="34" t="s">
        <v>48</v>
      </c>
      <c r="F578" t="s">
        <v>59</v>
      </c>
      <c r="G578" t="s">
        <v>436</v>
      </c>
      <c r="H578" t="s">
        <v>27</v>
      </c>
      <c r="I578" t="s">
        <v>28</v>
      </c>
      <c r="J578">
        <v>532</v>
      </c>
      <c r="K578" t="s">
        <v>124</v>
      </c>
      <c r="L578">
        <v>10</v>
      </c>
      <c r="M578" s="5">
        <v>47250</v>
      </c>
      <c r="N578" s="36">
        <f t="shared" si="9"/>
        <v>4725</v>
      </c>
      <c r="P578" t="s">
        <v>30</v>
      </c>
      <c r="Q578" t="s">
        <v>31</v>
      </c>
      <c r="R578" s="1">
        <v>46233</v>
      </c>
      <c r="S578" t="s">
        <v>32</v>
      </c>
    </row>
    <row r="579" spans="1:19" x14ac:dyDescent="0.25">
      <c r="A579" t="s">
        <v>470</v>
      </c>
      <c r="B579" t="s">
        <v>348</v>
      </c>
      <c r="C579" t="s">
        <v>595</v>
      </c>
      <c r="D579" t="s">
        <v>593</v>
      </c>
      <c r="E579" s="34" t="s">
        <v>48</v>
      </c>
      <c r="F579" t="s">
        <v>59</v>
      </c>
      <c r="G579" t="s">
        <v>453</v>
      </c>
      <c r="H579" t="s">
        <v>27</v>
      </c>
      <c r="I579" t="s">
        <v>28</v>
      </c>
      <c r="J579">
        <v>532</v>
      </c>
      <c r="K579" t="s">
        <v>124</v>
      </c>
      <c r="L579">
        <v>1</v>
      </c>
      <c r="M579" s="5">
        <v>7575</v>
      </c>
      <c r="N579" s="36">
        <f t="shared" si="9"/>
        <v>7575</v>
      </c>
      <c r="P579" t="s">
        <v>30</v>
      </c>
      <c r="Q579" t="s">
        <v>31</v>
      </c>
      <c r="R579" s="1">
        <v>46233</v>
      </c>
      <c r="S579" t="s">
        <v>32</v>
      </c>
    </row>
    <row r="580" spans="1:19" x14ac:dyDescent="0.25">
      <c r="A580" t="s">
        <v>470</v>
      </c>
      <c r="B580" t="s">
        <v>348</v>
      </c>
      <c r="C580" t="s">
        <v>595</v>
      </c>
      <c r="D580" t="s">
        <v>593</v>
      </c>
      <c r="E580" s="34" t="s">
        <v>48</v>
      </c>
      <c r="F580" t="s">
        <v>59</v>
      </c>
      <c r="G580" t="s">
        <v>310</v>
      </c>
      <c r="H580" t="s">
        <v>27</v>
      </c>
      <c r="I580" t="s">
        <v>28</v>
      </c>
      <c r="J580">
        <v>532</v>
      </c>
      <c r="K580" t="s">
        <v>124</v>
      </c>
      <c r="L580">
        <v>12</v>
      </c>
      <c r="M580" s="5">
        <v>74700</v>
      </c>
      <c r="N580" s="36">
        <f t="shared" si="9"/>
        <v>6225</v>
      </c>
      <c r="P580" t="s">
        <v>30</v>
      </c>
      <c r="Q580" t="s">
        <v>31</v>
      </c>
      <c r="R580" s="1">
        <v>46233</v>
      </c>
      <c r="S580" t="s">
        <v>32</v>
      </c>
    </row>
    <row r="581" spans="1:19" x14ac:dyDescent="0.25">
      <c r="A581" t="s">
        <v>470</v>
      </c>
      <c r="B581" t="s">
        <v>348</v>
      </c>
      <c r="C581" t="s">
        <v>595</v>
      </c>
      <c r="D581" t="s">
        <v>593</v>
      </c>
      <c r="E581" s="34" t="s">
        <v>48</v>
      </c>
      <c r="F581" t="s">
        <v>59</v>
      </c>
      <c r="G581" t="s">
        <v>309</v>
      </c>
      <c r="H581" t="s">
        <v>27</v>
      </c>
      <c r="I581" t="s">
        <v>28</v>
      </c>
      <c r="J581">
        <v>532</v>
      </c>
      <c r="K581" t="s">
        <v>124</v>
      </c>
      <c r="L581">
        <v>30</v>
      </c>
      <c r="M581" s="5">
        <v>141750</v>
      </c>
      <c r="N581" s="36">
        <f t="shared" si="9"/>
        <v>4725</v>
      </c>
      <c r="P581" t="s">
        <v>30</v>
      </c>
      <c r="Q581" t="s">
        <v>31</v>
      </c>
      <c r="R581" s="1">
        <v>46233</v>
      </c>
      <c r="S581" t="s">
        <v>32</v>
      </c>
    </row>
    <row r="582" spans="1:19" x14ac:dyDescent="0.25">
      <c r="A582" t="s">
        <v>470</v>
      </c>
      <c r="B582" t="s">
        <v>348</v>
      </c>
      <c r="C582" t="s">
        <v>595</v>
      </c>
      <c r="D582" t="s">
        <v>593</v>
      </c>
      <c r="E582" s="34" t="s">
        <v>48</v>
      </c>
      <c r="F582" t="s">
        <v>59</v>
      </c>
      <c r="G582" t="s">
        <v>327</v>
      </c>
      <c r="H582" t="s">
        <v>27</v>
      </c>
      <c r="I582" t="s">
        <v>28</v>
      </c>
      <c r="J582">
        <v>532</v>
      </c>
      <c r="K582" t="s">
        <v>124</v>
      </c>
      <c r="L582">
        <v>5</v>
      </c>
      <c r="M582" s="5">
        <v>26400</v>
      </c>
      <c r="N582" s="36">
        <f t="shared" si="9"/>
        <v>5280</v>
      </c>
      <c r="P582" t="s">
        <v>30</v>
      </c>
      <c r="Q582" t="s">
        <v>31</v>
      </c>
      <c r="R582" s="1">
        <v>46233</v>
      </c>
      <c r="S582" t="s">
        <v>32</v>
      </c>
    </row>
    <row r="583" spans="1:19" x14ac:dyDescent="0.25">
      <c r="A583" t="s">
        <v>470</v>
      </c>
      <c r="B583" t="s">
        <v>348</v>
      </c>
      <c r="C583" t="s">
        <v>595</v>
      </c>
      <c r="D583" t="s">
        <v>593</v>
      </c>
      <c r="E583" s="34" t="s">
        <v>48</v>
      </c>
      <c r="F583" t="s">
        <v>59</v>
      </c>
      <c r="G583" t="s">
        <v>438</v>
      </c>
      <c r="H583" t="s">
        <v>27</v>
      </c>
      <c r="I583" t="s">
        <v>28</v>
      </c>
      <c r="J583">
        <v>532</v>
      </c>
      <c r="K583" t="s">
        <v>124</v>
      </c>
      <c r="L583">
        <v>3</v>
      </c>
      <c r="M583" s="5">
        <v>29250</v>
      </c>
      <c r="N583" s="36">
        <f t="shared" si="9"/>
        <v>9750</v>
      </c>
      <c r="P583" t="s">
        <v>30</v>
      </c>
      <c r="Q583" t="s">
        <v>31</v>
      </c>
      <c r="R583" s="1">
        <v>46233</v>
      </c>
      <c r="S583" t="s">
        <v>32</v>
      </c>
    </row>
    <row r="584" spans="1:19" x14ac:dyDescent="0.25">
      <c r="A584" t="s">
        <v>470</v>
      </c>
      <c r="B584" t="s">
        <v>348</v>
      </c>
      <c r="C584" t="s">
        <v>595</v>
      </c>
      <c r="D584" t="s">
        <v>593</v>
      </c>
      <c r="E584" s="34" t="s">
        <v>48</v>
      </c>
      <c r="F584" t="s">
        <v>59</v>
      </c>
      <c r="G584" t="s">
        <v>409</v>
      </c>
      <c r="H584" t="s">
        <v>27</v>
      </c>
      <c r="I584" t="s">
        <v>28</v>
      </c>
      <c r="J584">
        <v>532</v>
      </c>
      <c r="K584" t="s">
        <v>124</v>
      </c>
      <c r="L584">
        <v>5</v>
      </c>
      <c r="M584" s="5">
        <v>70875</v>
      </c>
      <c r="N584" s="36">
        <f t="shared" si="9"/>
        <v>14175</v>
      </c>
      <c r="P584" t="s">
        <v>30</v>
      </c>
      <c r="Q584" t="s">
        <v>31</v>
      </c>
      <c r="R584" s="1">
        <v>46233</v>
      </c>
      <c r="S584" t="s">
        <v>32</v>
      </c>
    </row>
    <row r="585" spans="1:19" x14ac:dyDescent="0.25">
      <c r="A585" t="s">
        <v>470</v>
      </c>
      <c r="B585" t="s">
        <v>348</v>
      </c>
      <c r="C585" t="s">
        <v>595</v>
      </c>
      <c r="D585" t="s">
        <v>593</v>
      </c>
      <c r="E585" s="34" t="s">
        <v>48</v>
      </c>
      <c r="F585" t="s">
        <v>59</v>
      </c>
      <c r="G585" t="s">
        <v>466</v>
      </c>
      <c r="H585" t="s">
        <v>27</v>
      </c>
      <c r="I585" t="s">
        <v>28</v>
      </c>
      <c r="J585">
        <v>532</v>
      </c>
      <c r="K585" t="s">
        <v>124</v>
      </c>
      <c r="L585">
        <v>1</v>
      </c>
      <c r="M585" s="5">
        <v>9000</v>
      </c>
      <c r="N585" s="36">
        <f t="shared" si="9"/>
        <v>9000</v>
      </c>
      <c r="P585" t="s">
        <v>30</v>
      </c>
      <c r="Q585" t="s">
        <v>31</v>
      </c>
      <c r="R585" s="1">
        <v>46233</v>
      </c>
      <c r="S585" t="s">
        <v>32</v>
      </c>
    </row>
    <row r="586" spans="1:19" x14ac:dyDescent="0.25">
      <c r="A586" t="s">
        <v>470</v>
      </c>
      <c r="B586" t="s">
        <v>348</v>
      </c>
      <c r="C586" t="s">
        <v>595</v>
      </c>
      <c r="D586" t="s">
        <v>593</v>
      </c>
      <c r="E586" s="34" t="s">
        <v>48</v>
      </c>
      <c r="F586" t="s">
        <v>59</v>
      </c>
      <c r="G586" t="s">
        <v>429</v>
      </c>
      <c r="H586" t="s">
        <v>27</v>
      </c>
      <c r="I586" t="s">
        <v>28</v>
      </c>
      <c r="J586">
        <v>532</v>
      </c>
      <c r="K586" t="s">
        <v>124</v>
      </c>
      <c r="L586">
        <v>1</v>
      </c>
      <c r="M586" s="5">
        <v>9375</v>
      </c>
      <c r="N586" s="36">
        <f t="shared" si="9"/>
        <v>9375</v>
      </c>
      <c r="P586" t="s">
        <v>30</v>
      </c>
      <c r="Q586" t="s">
        <v>31</v>
      </c>
      <c r="R586" s="1">
        <v>46233</v>
      </c>
      <c r="S586" t="s">
        <v>32</v>
      </c>
    </row>
    <row r="587" spans="1:19" x14ac:dyDescent="0.25">
      <c r="A587" t="s">
        <v>470</v>
      </c>
      <c r="B587" t="s">
        <v>348</v>
      </c>
      <c r="C587" t="s">
        <v>595</v>
      </c>
      <c r="D587" t="s">
        <v>593</v>
      </c>
      <c r="E587" s="34" t="s">
        <v>48</v>
      </c>
      <c r="F587" t="s">
        <v>59</v>
      </c>
      <c r="G587" t="s">
        <v>328</v>
      </c>
      <c r="H587" t="s">
        <v>27</v>
      </c>
      <c r="I587" t="s">
        <v>28</v>
      </c>
      <c r="J587">
        <v>532</v>
      </c>
      <c r="K587" t="s">
        <v>124</v>
      </c>
      <c r="L587">
        <v>15</v>
      </c>
      <c r="M587" s="5">
        <v>129375</v>
      </c>
      <c r="N587" s="36">
        <f t="shared" si="9"/>
        <v>8625</v>
      </c>
      <c r="P587" t="s">
        <v>30</v>
      </c>
      <c r="Q587" t="s">
        <v>31</v>
      </c>
      <c r="R587" s="1">
        <v>46233</v>
      </c>
      <c r="S587" t="s">
        <v>32</v>
      </c>
    </row>
    <row r="588" spans="1:19" x14ac:dyDescent="0.25">
      <c r="A588" t="s">
        <v>470</v>
      </c>
      <c r="B588" t="s">
        <v>348</v>
      </c>
      <c r="C588" t="s">
        <v>595</v>
      </c>
      <c r="D588" t="s">
        <v>593</v>
      </c>
      <c r="E588" s="34" t="s">
        <v>48</v>
      </c>
      <c r="F588" t="s">
        <v>59</v>
      </c>
      <c r="G588" t="s">
        <v>311</v>
      </c>
      <c r="H588" t="s">
        <v>27</v>
      </c>
      <c r="I588" t="s">
        <v>28</v>
      </c>
      <c r="J588">
        <v>532</v>
      </c>
      <c r="K588" t="s">
        <v>124</v>
      </c>
      <c r="L588">
        <v>4</v>
      </c>
      <c r="M588" s="5">
        <v>24900</v>
      </c>
      <c r="N588" s="36">
        <f t="shared" ref="N588:N613" si="10">M588/L588</f>
        <v>6225</v>
      </c>
      <c r="P588" t="s">
        <v>30</v>
      </c>
      <c r="Q588" t="s">
        <v>31</v>
      </c>
      <c r="R588" s="1">
        <v>46233</v>
      </c>
      <c r="S588" t="s">
        <v>32</v>
      </c>
    </row>
    <row r="589" spans="1:19" x14ac:dyDescent="0.25">
      <c r="A589" t="s">
        <v>470</v>
      </c>
      <c r="B589" t="s">
        <v>348</v>
      </c>
      <c r="C589" t="s">
        <v>595</v>
      </c>
      <c r="D589" t="s">
        <v>593</v>
      </c>
      <c r="E589" s="34" t="s">
        <v>48</v>
      </c>
      <c r="F589" t="s">
        <v>59</v>
      </c>
      <c r="G589" t="s">
        <v>296</v>
      </c>
      <c r="H589" t="s">
        <v>27</v>
      </c>
      <c r="I589" t="s">
        <v>28</v>
      </c>
      <c r="J589">
        <v>532</v>
      </c>
      <c r="K589" t="s">
        <v>124</v>
      </c>
      <c r="L589">
        <v>5</v>
      </c>
      <c r="M589" s="5">
        <v>23625</v>
      </c>
      <c r="N589" s="36">
        <f t="shared" si="10"/>
        <v>4725</v>
      </c>
      <c r="P589" t="s">
        <v>30</v>
      </c>
      <c r="Q589" t="s">
        <v>31</v>
      </c>
      <c r="R589" s="1">
        <v>46233</v>
      </c>
      <c r="S589" t="s">
        <v>32</v>
      </c>
    </row>
    <row r="590" spans="1:19" x14ac:dyDescent="0.25">
      <c r="A590" t="s">
        <v>470</v>
      </c>
      <c r="B590" t="s">
        <v>348</v>
      </c>
      <c r="C590" t="s">
        <v>595</v>
      </c>
      <c r="D590" t="s">
        <v>593</v>
      </c>
      <c r="E590" s="34" t="s">
        <v>48</v>
      </c>
      <c r="F590" t="s">
        <v>59</v>
      </c>
      <c r="G590" t="s">
        <v>290</v>
      </c>
      <c r="H590" t="s">
        <v>27</v>
      </c>
      <c r="I590" t="s">
        <v>28</v>
      </c>
      <c r="J590">
        <v>532</v>
      </c>
      <c r="K590" t="s">
        <v>124</v>
      </c>
      <c r="L590">
        <v>20</v>
      </c>
      <c r="M590" s="5">
        <v>88500</v>
      </c>
      <c r="N590" s="36">
        <f t="shared" si="10"/>
        <v>4425</v>
      </c>
      <c r="P590" t="s">
        <v>30</v>
      </c>
      <c r="Q590" t="s">
        <v>31</v>
      </c>
      <c r="R590" s="1">
        <v>46233</v>
      </c>
      <c r="S590" t="s">
        <v>32</v>
      </c>
    </row>
    <row r="591" spans="1:19" x14ac:dyDescent="0.25">
      <c r="A591" t="s">
        <v>470</v>
      </c>
      <c r="B591" t="s">
        <v>274</v>
      </c>
      <c r="C591" t="s">
        <v>275</v>
      </c>
      <c r="D591" t="s">
        <v>593</v>
      </c>
      <c r="E591" s="34" t="s">
        <v>41</v>
      </c>
      <c r="F591" t="s">
        <v>37</v>
      </c>
      <c r="G591" t="s">
        <v>322</v>
      </c>
      <c r="H591" t="s">
        <v>27</v>
      </c>
      <c r="I591" t="s">
        <v>28</v>
      </c>
      <c r="J591">
        <v>533</v>
      </c>
      <c r="K591" t="s">
        <v>124</v>
      </c>
      <c r="L591">
        <v>20</v>
      </c>
      <c r="M591" s="5">
        <v>200000</v>
      </c>
      <c r="N591" s="36">
        <f t="shared" si="10"/>
        <v>10000</v>
      </c>
      <c r="P591" t="s">
        <v>30</v>
      </c>
      <c r="Q591" t="s">
        <v>31</v>
      </c>
      <c r="R591" s="1">
        <v>46079</v>
      </c>
      <c r="S591" t="s">
        <v>32</v>
      </c>
    </row>
    <row r="592" spans="1:19" x14ac:dyDescent="0.25">
      <c r="A592" t="s">
        <v>470</v>
      </c>
      <c r="B592" t="s">
        <v>236</v>
      </c>
      <c r="C592" t="s">
        <v>237</v>
      </c>
      <c r="D592" t="s">
        <v>593</v>
      </c>
      <c r="E592" s="34" t="s">
        <v>637</v>
      </c>
      <c r="F592" t="s">
        <v>55</v>
      </c>
      <c r="G592" t="s">
        <v>638</v>
      </c>
      <c r="H592" t="s">
        <v>27</v>
      </c>
      <c r="I592" t="s">
        <v>65</v>
      </c>
      <c r="J592">
        <v>47</v>
      </c>
      <c r="K592" t="s">
        <v>7</v>
      </c>
      <c r="L592">
        <v>200</v>
      </c>
      <c r="M592" s="5">
        <v>5000000</v>
      </c>
      <c r="N592" s="36">
        <f t="shared" si="10"/>
        <v>25000</v>
      </c>
      <c r="P592" t="s">
        <v>30</v>
      </c>
      <c r="Q592" t="s">
        <v>31</v>
      </c>
      <c r="R592" s="1">
        <v>46010</v>
      </c>
      <c r="S592" t="s">
        <v>32</v>
      </c>
    </row>
    <row r="593" spans="1:19" x14ac:dyDescent="0.25">
      <c r="A593" t="s">
        <v>612</v>
      </c>
      <c r="B593" t="s">
        <v>613</v>
      </c>
      <c r="C593" t="s">
        <v>614</v>
      </c>
      <c r="D593" t="s">
        <v>615</v>
      </c>
      <c r="E593" s="34" t="s">
        <v>512</v>
      </c>
      <c r="F593" t="s">
        <v>49</v>
      </c>
      <c r="G593" t="s">
        <v>545</v>
      </c>
      <c r="H593" t="s">
        <v>57</v>
      </c>
      <c r="I593" t="s">
        <v>28</v>
      </c>
      <c r="J593">
        <v>534</v>
      </c>
      <c r="K593" t="s">
        <v>277</v>
      </c>
      <c r="L593">
        <v>2</v>
      </c>
      <c r="M593" s="5">
        <v>0</v>
      </c>
      <c r="N593" s="36">
        <f t="shared" si="10"/>
        <v>0</v>
      </c>
      <c r="P593" t="s">
        <v>30</v>
      </c>
      <c r="Q593" t="s">
        <v>31</v>
      </c>
      <c r="R593" s="1">
        <v>46083</v>
      </c>
      <c r="S593" t="s">
        <v>32</v>
      </c>
    </row>
    <row r="594" spans="1:19" x14ac:dyDescent="0.25">
      <c r="A594" t="s">
        <v>612</v>
      </c>
      <c r="B594" t="s">
        <v>613</v>
      </c>
      <c r="C594" t="s">
        <v>614</v>
      </c>
      <c r="D594" t="s">
        <v>615</v>
      </c>
      <c r="E594" s="34" t="s">
        <v>512</v>
      </c>
      <c r="F594" t="s">
        <v>49</v>
      </c>
      <c r="G594" t="s">
        <v>396</v>
      </c>
      <c r="H594" t="s">
        <v>57</v>
      </c>
      <c r="I594" t="s">
        <v>28</v>
      </c>
      <c r="J594">
        <v>534</v>
      </c>
      <c r="K594" t="s">
        <v>277</v>
      </c>
      <c r="L594">
        <v>2</v>
      </c>
      <c r="M594" s="5">
        <v>0</v>
      </c>
      <c r="N594" s="36">
        <f t="shared" si="10"/>
        <v>0</v>
      </c>
      <c r="P594" t="s">
        <v>30</v>
      </c>
      <c r="Q594" t="s">
        <v>31</v>
      </c>
      <c r="R594" s="1">
        <v>46083</v>
      </c>
      <c r="S594" t="s">
        <v>32</v>
      </c>
    </row>
    <row r="595" spans="1:19" x14ac:dyDescent="0.25">
      <c r="A595" t="s">
        <v>612</v>
      </c>
      <c r="B595" t="s">
        <v>613</v>
      </c>
      <c r="C595" t="s">
        <v>614</v>
      </c>
      <c r="D595" t="s">
        <v>615</v>
      </c>
      <c r="E595" s="34" t="s">
        <v>512</v>
      </c>
      <c r="F595" t="s">
        <v>49</v>
      </c>
      <c r="G595" t="s">
        <v>399</v>
      </c>
      <c r="H595" t="s">
        <v>57</v>
      </c>
      <c r="I595" t="s">
        <v>28</v>
      </c>
      <c r="J595">
        <v>534</v>
      </c>
      <c r="K595" t="s">
        <v>277</v>
      </c>
      <c r="L595">
        <v>2</v>
      </c>
      <c r="M595" s="5">
        <v>0</v>
      </c>
      <c r="N595" s="36">
        <f t="shared" si="10"/>
        <v>0</v>
      </c>
      <c r="P595" t="s">
        <v>30</v>
      </c>
      <c r="Q595" t="s">
        <v>31</v>
      </c>
      <c r="R595" s="1">
        <v>46083</v>
      </c>
      <c r="S595" t="s">
        <v>32</v>
      </c>
    </row>
    <row r="596" spans="1:19" x14ac:dyDescent="0.25">
      <c r="A596" t="s">
        <v>612</v>
      </c>
      <c r="B596" t="s">
        <v>613</v>
      </c>
      <c r="C596" t="s">
        <v>614</v>
      </c>
      <c r="D596" t="s">
        <v>615</v>
      </c>
      <c r="E596" s="34" t="s">
        <v>512</v>
      </c>
      <c r="F596" t="s">
        <v>49</v>
      </c>
      <c r="G596" t="s">
        <v>398</v>
      </c>
      <c r="H596" t="s">
        <v>57</v>
      </c>
      <c r="I596" t="s">
        <v>28</v>
      </c>
      <c r="J596">
        <v>534</v>
      </c>
      <c r="K596" t="s">
        <v>277</v>
      </c>
      <c r="L596">
        <v>10</v>
      </c>
      <c r="M596" s="5">
        <v>0</v>
      </c>
      <c r="N596" s="36">
        <f t="shared" si="10"/>
        <v>0</v>
      </c>
      <c r="P596" t="s">
        <v>30</v>
      </c>
      <c r="Q596" t="s">
        <v>31</v>
      </c>
      <c r="R596" s="1">
        <v>46083</v>
      </c>
      <c r="S596" t="s">
        <v>32</v>
      </c>
    </row>
    <row r="597" spans="1:19" x14ac:dyDescent="0.25">
      <c r="A597" t="s">
        <v>612</v>
      </c>
      <c r="B597" t="s">
        <v>335</v>
      </c>
      <c r="C597" t="s">
        <v>336</v>
      </c>
      <c r="D597" t="s">
        <v>615</v>
      </c>
      <c r="E597" s="34" t="s">
        <v>512</v>
      </c>
      <c r="F597" t="s">
        <v>59</v>
      </c>
      <c r="G597" t="s">
        <v>310</v>
      </c>
      <c r="H597" t="s">
        <v>57</v>
      </c>
      <c r="I597" t="s">
        <v>28</v>
      </c>
      <c r="J597">
        <v>535</v>
      </c>
      <c r="K597" t="s">
        <v>124</v>
      </c>
      <c r="L597">
        <v>15</v>
      </c>
      <c r="M597" s="5">
        <v>77505</v>
      </c>
      <c r="N597" s="36">
        <f t="shared" si="10"/>
        <v>5167</v>
      </c>
      <c r="P597" t="s">
        <v>30</v>
      </c>
      <c r="Q597" t="s">
        <v>31</v>
      </c>
      <c r="R597" s="1">
        <v>46169</v>
      </c>
      <c r="S597" t="s">
        <v>32</v>
      </c>
    </row>
    <row r="598" spans="1:19" x14ac:dyDescent="0.25">
      <c r="A598" t="s">
        <v>612</v>
      </c>
      <c r="B598" t="s">
        <v>335</v>
      </c>
      <c r="C598" t="s">
        <v>336</v>
      </c>
      <c r="D598" t="s">
        <v>615</v>
      </c>
      <c r="E598" t="s">
        <v>48</v>
      </c>
      <c r="F598" t="s">
        <v>59</v>
      </c>
      <c r="G598" t="s">
        <v>309</v>
      </c>
      <c r="H598" t="s">
        <v>57</v>
      </c>
      <c r="I598" t="s">
        <v>28</v>
      </c>
      <c r="J598">
        <v>535</v>
      </c>
      <c r="K598" t="s">
        <v>124</v>
      </c>
      <c r="L598">
        <v>35</v>
      </c>
      <c r="M598" s="5">
        <v>135625</v>
      </c>
      <c r="N598" s="36">
        <f t="shared" si="10"/>
        <v>3875</v>
      </c>
      <c r="P598" t="s">
        <v>30</v>
      </c>
      <c r="Q598" t="s">
        <v>31</v>
      </c>
      <c r="R598" s="1">
        <v>46169</v>
      </c>
      <c r="S598" t="s">
        <v>32</v>
      </c>
    </row>
    <row r="599" spans="1:19" x14ac:dyDescent="0.25">
      <c r="A599" t="s">
        <v>612</v>
      </c>
      <c r="B599" t="s">
        <v>335</v>
      </c>
      <c r="C599" t="s">
        <v>336</v>
      </c>
      <c r="D599" t="s">
        <v>615</v>
      </c>
      <c r="E599" t="s">
        <v>48</v>
      </c>
      <c r="F599" t="s">
        <v>59</v>
      </c>
      <c r="G599" t="s">
        <v>311</v>
      </c>
      <c r="H599" t="s">
        <v>57</v>
      </c>
      <c r="I599" t="s">
        <v>28</v>
      </c>
      <c r="J599">
        <v>535</v>
      </c>
      <c r="K599" t="s">
        <v>124</v>
      </c>
      <c r="L599">
        <v>3</v>
      </c>
      <c r="M599" s="5">
        <v>15501</v>
      </c>
      <c r="N599" s="36">
        <f t="shared" si="10"/>
        <v>5167</v>
      </c>
      <c r="P599" t="s">
        <v>30</v>
      </c>
      <c r="Q599" t="s">
        <v>31</v>
      </c>
      <c r="R599" s="1">
        <v>46169</v>
      </c>
      <c r="S599" t="s">
        <v>32</v>
      </c>
    </row>
    <row r="600" spans="1:19" x14ac:dyDescent="0.25">
      <c r="A600" t="s">
        <v>612</v>
      </c>
      <c r="B600" t="s">
        <v>335</v>
      </c>
      <c r="C600" t="s">
        <v>336</v>
      </c>
      <c r="D600" t="s">
        <v>615</v>
      </c>
      <c r="E600" t="s">
        <v>48</v>
      </c>
      <c r="F600" t="s">
        <v>59</v>
      </c>
      <c r="G600" t="s">
        <v>296</v>
      </c>
      <c r="H600" t="s">
        <v>57</v>
      </c>
      <c r="I600" t="s">
        <v>28</v>
      </c>
      <c r="J600">
        <v>535</v>
      </c>
      <c r="K600" t="s">
        <v>124</v>
      </c>
      <c r="L600">
        <v>15</v>
      </c>
      <c r="M600" s="5">
        <v>58125</v>
      </c>
      <c r="N600" s="36">
        <f t="shared" si="10"/>
        <v>3875</v>
      </c>
      <c r="P600" t="s">
        <v>30</v>
      </c>
      <c r="Q600" t="s">
        <v>31</v>
      </c>
      <c r="R600" s="1">
        <v>46169</v>
      </c>
      <c r="S600" t="s">
        <v>32</v>
      </c>
    </row>
    <row r="601" spans="1:19" x14ac:dyDescent="0.25">
      <c r="A601" t="s">
        <v>612</v>
      </c>
      <c r="B601" t="s">
        <v>335</v>
      </c>
      <c r="C601" t="s">
        <v>336</v>
      </c>
      <c r="D601" t="s">
        <v>615</v>
      </c>
      <c r="E601" t="s">
        <v>48</v>
      </c>
      <c r="F601" t="s">
        <v>59</v>
      </c>
      <c r="G601" t="s">
        <v>435</v>
      </c>
      <c r="H601" t="s">
        <v>57</v>
      </c>
      <c r="I601" t="s">
        <v>28</v>
      </c>
      <c r="J601">
        <v>535</v>
      </c>
      <c r="K601" t="s">
        <v>124</v>
      </c>
      <c r="L601">
        <v>6</v>
      </c>
      <c r="M601" s="5">
        <v>31002</v>
      </c>
      <c r="N601" s="36">
        <f t="shared" si="10"/>
        <v>5167</v>
      </c>
      <c r="P601" t="s">
        <v>30</v>
      </c>
      <c r="Q601" t="s">
        <v>31</v>
      </c>
      <c r="R601" s="1">
        <v>46169</v>
      </c>
      <c r="S601" t="s">
        <v>32</v>
      </c>
    </row>
    <row r="602" spans="1:19" x14ac:dyDescent="0.25">
      <c r="A602" t="s">
        <v>612</v>
      </c>
      <c r="B602" t="s">
        <v>335</v>
      </c>
      <c r="C602" t="s">
        <v>336</v>
      </c>
      <c r="D602" t="s">
        <v>615</v>
      </c>
      <c r="E602" t="s">
        <v>48</v>
      </c>
      <c r="F602" t="s">
        <v>59</v>
      </c>
      <c r="G602" t="s">
        <v>436</v>
      </c>
      <c r="H602" t="s">
        <v>57</v>
      </c>
      <c r="I602" t="s">
        <v>28</v>
      </c>
      <c r="J602">
        <v>535</v>
      </c>
      <c r="K602" t="s">
        <v>124</v>
      </c>
      <c r="L602">
        <v>15</v>
      </c>
      <c r="M602" s="5">
        <v>58125</v>
      </c>
      <c r="N602" s="36">
        <f t="shared" si="10"/>
        <v>3875</v>
      </c>
      <c r="P602" t="s">
        <v>30</v>
      </c>
      <c r="Q602" t="s">
        <v>31</v>
      </c>
      <c r="R602" s="1">
        <v>46169</v>
      </c>
      <c r="S602" t="s">
        <v>32</v>
      </c>
    </row>
    <row r="603" spans="1:19" x14ac:dyDescent="0.25">
      <c r="A603" t="s">
        <v>612</v>
      </c>
      <c r="B603" t="s">
        <v>335</v>
      </c>
      <c r="C603" t="s">
        <v>336</v>
      </c>
      <c r="D603" t="s">
        <v>615</v>
      </c>
      <c r="E603" t="s">
        <v>48</v>
      </c>
      <c r="F603" t="s">
        <v>59</v>
      </c>
      <c r="G603" t="s">
        <v>451</v>
      </c>
      <c r="H603" t="s">
        <v>57</v>
      </c>
      <c r="I603" t="s">
        <v>28</v>
      </c>
      <c r="J603">
        <v>535</v>
      </c>
      <c r="K603" t="s">
        <v>124</v>
      </c>
      <c r="L603">
        <v>3</v>
      </c>
      <c r="M603" s="5">
        <v>17052</v>
      </c>
      <c r="N603" s="36">
        <f t="shared" si="10"/>
        <v>5684</v>
      </c>
      <c r="P603" t="s">
        <v>30</v>
      </c>
      <c r="Q603" t="s">
        <v>31</v>
      </c>
      <c r="R603" s="1">
        <v>46169</v>
      </c>
      <c r="S603" t="s">
        <v>32</v>
      </c>
    </row>
    <row r="604" spans="1:19" x14ac:dyDescent="0.25">
      <c r="A604" t="s">
        <v>612</v>
      </c>
      <c r="B604" t="s">
        <v>335</v>
      </c>
      <c r="C604" t="s">
        <v>336</v>
      </c>
      <c r="D604" t="s">
        <v>615</v>
      </c>
      <c r="E604" t="s">
        <v>48</v>
      </c>
      <c r="F604" t="s">
        <v>59</v>
      </c>
      <c r="G604" t="s">
        <v>327</v>
      </c>
      <c r="H604" t="s">
        <v>57</v>
      </c>
      <c r="I604" t="s">
        <v>28</v>
      </c>
      <c r="J604">
        <v>535</v>
      </c>
      <c r="K604" t="s">
        <v>124</v>
      </c>
      <c r="L604">
        <v>10</v>
      </c>
      <c r="M604" s="5">
        <v>45210</v>
      </c>
      <c r="N604" s="36">
        <f t="shared" si="10"/>
        <v>4521</v>
      </c>
      <c r="P604" t="s">
        <v>30</v>
      </c>
      <c r="Q604" t="s">
        <v>31</v>
      </c>
      <c r="R604" s="1">
        <v>46169</v>
      </c>
      <c r="S604" t="s">
        <v>32</v>
      </c>
    </row>
    <row r="605" spans="1:19" x14ac:dyDescent="0.25">
      <c r="A605" t="s">
        <v>612</v>
      </c>
      <c r="B605" t="s">
        <v>335</v>
      </c>
      <c r="C605" t="s">
        <v>336</v>
      </c>
      <c r="D605" t="s">
        <v>615</v>
      </c>
      <c r="E605" t="s">
        <v>48</v>
      </c>
      <c r="F605" t="s">
        <v>59</v>
      </c>
      <c r="G605" t="s">
        <v>475</v>
      </c>
      <c r="H605" t="s">
        <v>57</v>
      </c>
      <c r="I605" t="s">
        <v>28</v>
      </c>
      <c r="J605">
        <v>535</v>
      </c>
      <c r="K605" t="s">
        <v>124</v>
      </c>
      <c r="L605">
        <v>2</v>
      </c>
      <c r="M605" s="5">
        <v>13780</v>
      </c>
      <c r="N605" s="36">
        <f t="shared" si="10"/>
        <v>6890</v>
      </c>
      <c r="P605" t="s">
        <v>30</v>
      </c>
      <c r="Q605" t="s">
        <v>31</v>
      </c>
      <c r="R605" s="1">
        <v>46169</v>
      </c>
      <c r="S605" t="s">
        <v>32</v>
      </c>
    </row>
    <row r="606" spans="1:19" x14ac:dyDescent="0.25">
      <c r="A606" t="s">
        <v>612</v>
      </c>
      <c r="B606" t="s">
        <v>335</v>
      </c>
      <c r="C606" t="s">
        <v>336</v>
      </c>
      <c r="D606" t="s">
        <v>615</v>
      </c>
      <c r="E606" t="s">
        <v>48</v>
      </c>
      <c r="F606" t="s">
        <v>59</v>
      </c>
      <c r="G606" t="s">
        <v>437</v>
      </c>
      <c r="H606" t="s">
        <v>57</v>
      </c>
      <c r="I606" t="s">
        <v>28</v>
      </c>
      <c r="J606">
        <v>535</v>
      </c>
      <c r="K606" t="s">
        <v>124</v>
      </c>
      <c r="L606">
        <v>3</v>
      </c>
      <c r="M606" s="5">
        <v>15501</v>
      </c>
      <c r="N606" s="36">
        <f t="shared" si="10"/>
        <v>5167</v>
      </c>
      <c r="P606" t="s">
        <v>30</v>
      </c>
      <c r="Q606" t="s">
        <v>31</v>
      </c>
      <c r="R606" s="1">
        <v>46169</v>
      </c>
      <c r="S606" t="s">
        <v>32</v>
      </c>
    </row>
    <row r="607" spans="1:19" x14ac:dyDescent="0.25">
      <c r="A607" t="s">
        <v>612</v>
      </c>
      <c r="B607" t="s">
        <v>335</v>
      </c>
      <c r="C607" t="s">
        <v>336</v>
      </c>
      <c r="D607" t="s">
        <v>615</v>
      </c>
      <c r="E607" t="s">
        <v>48</v>
      </c>
      <c r="F607" t="s">
        <v>59</v>
      </c>
      <c r="G607" t="s">
        <v>438</v>
      </c>
      <c r="H607" t="s">
        <v>57</v>
      </c>
      <c r="I607" t="s">
        <v>28</v>
      </c>
      <c r="J607">
        <v>535</v>
      </c>
      <c r="K607" t="s">
        <v>124</v>
      </c>
      <c r="L607">
        <v>1</v>
      </c>
      <c r="M607" s="5">
        <v>6890</v>
      </c>
      <c r="N607" s="36">
        <f t="shared" si="10"/>
        <v>6890</v>
      </c>
      <c r="P607" t="s">
        <v>30</v>
      </c>
      <c r="Q607" t="s">
        <v>31</v>
      </c>
      <c r="R607" s="1">
        <v>46169</v>
      </c>
      <c r="S607" t="s">
        <v>32</v>
      </c>
    </row>
    <row r="608" spans="1:19" x14ac:dyDescent="0.25">
      <c r="A608" t="s">
        <v>612</v>
      </c>
      <c r="B608" t="s">
        <v>440</v>
      </c>
      <c r="C608" t="s">
        <v>441</v>
      </c>
      <c r="D608" t="s">
        <v>615</v>
      </c>
      <c r="E608" t="s">
        <v>48</v>
      </c>
      <c r="F608" t="s">
        <v>25</v>
      </c>
      <c r="G608" t="s">
        <v>245</v>
      </c>
      <c r="H608" t="s">
        <v>27</v>
      </c>
      <c r="I608" t="s">
        <v>65</v>
      </c>
      <c r="J608">
        <v>222</v>
      </c>
      <c r="K608" t="s">
        <v>124</v>
      </c>
      <c r="L608">
        <v>100</v>
      </c>
      <c r="M608" s="5">
        <v>710000</v>
      </c>
      <c r="N608" s="36">
        <f t="shared" si="10"/>
        <v>7100</v>
      </c>
      <c r="P608" t="s">
        <v>30</v>
      </c>
      <c r="Q608" t="s">
        <v>31</v>
      </c>
      <c r="R608" s="1">
        <v>46142</v>
      </c>
      <c r="S608" t="s">
        <v>32</v>
      </c>
    </row>
    <row r="609" spans="1:21" x14ac:dyDescent="0.25">
      <c r="A609" t="s">
        <v>612</v>
      </c>
      <c r="B609" t="s">
        <v>203</v>
      </c>
      <c r="C609" t="s">
        <v>204</v>
      </c>
      <c r="D609" t="s">
        <v>615</v>
      </c>
      <c r="E609" t="s">
        <v>41</v>
      </c>
      <c r="F609" t="s">
        <v>37</v>
      </c>
      <c r="G609" t="s">
        <v>243</v>
      </c>
      <c r="H609" t="s">
        <v>27</v>
      </c>
      <c r="I609" t="s">
        <v>65</v>
      </c>
      <c r="J609">
        <v>225</v>
      </c>
      <c r="K609" t="s">
        <v>124</v>
      </c>
      <c r="L609">
        <v>20</v>
      </c>
      <c r="M609" s="5">
        <v>160000</v>
      </c>
      <c r="N609" s="36">
        <f t="shared" si="10"/>
        <v>8000</v>
      </c>
      <c r="P609" t="s">
        <v>30</v>
      </c>
      <c r="Q609" t="s">
        <v>31</v>
      </c>
      <c r="R609" s="1">
        <v>46144</v>
      </c>
      <c r="S609" t="s">
        <v>32</v>
      </c>
    </row>
    <row r="610" spans="1:21" x14ac:dyDescent="0.25">
      <c r="A610" t="s">
        <v>612</v>
      </c>
      <c r="B610" t="s">
        <v>404</v>
      </c>
      <c r="C610" t="s">
        <v>405</v>
      </c>
      <c r="D610" t="s">
        <v>615</v>
      </c>
      <c r="E610" t="s">
        <v>48</v>
      </c>
      <c r="F610" t="s">
        <v>59</v>
      </c>
      <c r="G610" t="s">
        <v>245</v>
      </c>
      <c r="H610" t="s">
        <v>57</v>
      </c>
      <c r="I610" t="s">
        <v>65</v>
      </c>
      <c r="J610">
        <v>227</v>
      </c>
      <c r="K610" t="s">
        <v>124</v>
      </c>
      <c r="L610">
        <v>20</v>
      </c>
      <c r="M610" s="5">
        <v>141304</v>
      </c>
      <c r="N610" s="36">
        <f t="shared" si="10"/>
        <v>7065.2</v>
      </c>
      <c r="P610" t="s">
        <v>30</v>
      </c>
      <c r="Q610" t="s">
        <v>31</v>
      </c>
      <c r="R610" s="1">
        <v>46172</v>
      </c>
      <c r="S610" t="s">
        <v>32</v>
      </c>
    </row>
    <row r="611" spans="1:21" x14ac:dyDescent="0.25">
      <c r="A611" t="s">
        <v>612</v>
      </c>
      <c r="B611" t="s">
        <v>404</v>
      </c>
      <c r="C611" t="s">
        <v>405</v>
      </c>
      <c r="D611" t="s">
        <v>615</v>
      </c>
      <c r="E611" t="s">
        <v>48</v>
      </c>
      <c r="F611" t="s">
        <v>59</v>
      </c>
      <c r="G611" t="s">
        <v>328</v>
      </c>
      <c r="H611" t="s">
        <v>57</v>
      </c>
      <c r="I611" t="s">
        <v>65</v>
      </c>
      <c r="J611">
        <v>227</v>
      </c>
      <c r="K611" t="s">
        <v>124</v>
      </c>
      <c r="L611">
        <v>10</v>
      </c>
      <c r="M611" s="5">
        <v>70652</v>
      </c>
      <c r="N611" s="36">
        <f>M611/L611</f>
        <v>7065.2</v>
      </c>
      <c r="P611" t="s">
        <v>30</v>
      </c>
      <c r="Q611" t="s">
        <v>31</v>
      </c>
      <c r="R611" s="1">
        <v>46172</v>
      </c>
      <c r="S611" t="s">
        <v>32</v>
      </c>
    </row>
    <row r="612" spans="1:21" x14ac:dyDescent="0.25">
      <c r="A612" t="s">
        <v>612</v>
      </c>
      <c r="B612" t="s">
        <v>236</v>
      </c>
      <c r="C612" t="s">
        <v>237</v>
      </c>
      <c r="D612" t="s">
        <v>640</v>
      </c>
      <c r="E612" t="s">
        <v>637</v>
      </c>
      <c r="F612" t="s">
        <v>55</v>
      </c>
      <c r="G612" t="s">
        <v>641</v>
      </c>
      <c r="H612" t="s">
        <v>57</v>
      </c>
      <c r="I612" t="s">
        <v>28</v>
      </c>
      <c r="J612">
        <v>536</v>
      </c>
      <c r="K612" t="s">
        <v>277</v>
      </c>
      <c r="L612">
        <v>200</v>
      </c>
      <c r="M612" s="5">
        <v>4000000</v>
      </c>
      <c r="N612" s="36">
        <f>M612/L612</f>
        <v>20000</v>
      </c>
      <c r="P612" t="s">
        <v>30</v>
      </c>
      <c r="Q612" t="s">
        <v>31</v>
      </c>
      <c r="R612" s="1">
        <v>46084</v>
      </c>
      <c r="S612" t="s">
        <v>32</v>
      </c>
    </row>
    <row r="613" spans="1:21" x14ac:dyDescent="0.25">
      <c r="A613" t="s">
        <v>612</v>
      </c>
      <c r="B613" t="s">
        <v>642</v>
      </c>
      <c r="C613" t="s">
        <v>643</v>
      </c>
      <c r="D613" t="s">
        <v>640</v>
      </c>
      <c r="E613" t="s">
        <v>41</v>
      </c>
      <c r="F613" t="s">
        <v>37</v>
      </c>
      <c r="G613" t="s">
        <v>474</v>
      </c>
      <c r="H613" t="s">
        <v>57</v>
      </c>
      <c r="I613" t="s">
        <v>65</v>
      </c>
      <c r="J613">
        <v>228</v>
      </c>
      <c r="K613" t="s">
        <v>124</v>
      </c>
      <c r="L613">
        <v>20</v>
      </c>
      <c r="M613" s="5">
        <v>80000</v>
      </c>
      <c r="N613" s="36">
        <f t="shared" si="10"/>
        <v>4000</v>
      </c>
      <c r="P613" t="s">
        <v>30</v>
      </c>
      <c r="Q613" t="s">
        <v>31</v>
      </c>
      <c r="R613" s="1">
        <v>46145</v>
      </c>
      <c r="S613" t="s">
        <v>32</v>
      </c>
    </row>
    <row r="614" spans="1:21" x14ac:dyDescent="0.25">
      <c r="A614" t="s">
        <v>612</v>
      </c>
      <c r="B614" t="s">
        <v>642</v>
      </c>
      <c r="C614" t="s">
        <v>643</v>
      </c>
      <c r="D614" t="s">
        <v>640</v>
      </c>
      <c r="E614" t="s">
        <v>41</v>
      </c>
      <c r="F614" t="s">
        <v>37</v>
      </c>
      <c r="G614" t="s">
        <v>644</v>
      </c>
      <c r="H614" t="s">
        <v>57</v>
      </c>
      <c r="I614" t="s">
        <v>65</v>
      </c>
      <c r="J614">
        <v>228</v>
      </c>
      <c r="K614" t="s">
        <v>124</v>
      </c>
      <c r="L614">
        <v>20</v>
      </c>
      <c r="M614" s="5">
        <v>80000</v>
      </c>
      <c r="N614" s="36">
        <f>M614/L614</f>
        <v>4000</v>
      </c>
      <c r="P614" t="s">
        <v>30</v>
      </c>
      <c r="Q614" t="s">
        <v>31</v>
      </c>
      <c r="R614" s="1">
        <v>46145</v>
      </c>
      <c r="S614" t="s">
        <v>32</v>
      </c>
    </row>
    <row r="615" spans="1:21" x14ac:dyDescent="0.25">
      <c r="A615" t="s">
        <v>612</v>
      </c>
      <c r="B615" t="s">
        <v>642</v>
      </c>
      <c r="C615" t="s">
        <v>643</v>
      </c>
      <c r="D615" t="s">
        <v>640</v>
      </c>
      <c r="E615" t="s">
        <v>41</v>
      </c>
      <c r="F615" t="s">
        <v>37</v>
      </c>
      <c r="G615" t="s">
        <v>258</v>
      </c>
      <c r="H615" t="s">
        <v>57</v>
      </c>
      <c r="I615" t="s">
        <v>65</v>
      </c>
      <c r="J615">
        <v>228</v>
      </c>
      <c r="K615" t="s">
        <v>124</v>
      </c>
      <c r="L615">
        <v>20</v>
      </c>
      <c r="M615" s="5">
        <v>120000</v>
      </c>
      <c r="N615" s="36">
        <f>M615/L615</f>
        <v>6000</v>
      </c>
      <c r="P615" t="s">
        <v>30</v>
      </c>
      <c r="Q615" t="s">
        <v>31</v>
      </c>
      <c r="R615" s="1">
        <v>46145</v>
      </c>
      <c r="S615" t="s">
        <v>32</v>
      </c>
    </row>
    <row r="616" spans="1:21" ht="15.75" x14ac:dyDescent="0.25">
      <c r="A616" t="s">
        <v>612</v>
      </c>
      <c r="B616" t="s">
        <v>645</v>
      </c>
      <c r="C616" t="s">
        <v>646</v>
      </c>
      <c r="D616" t="s">
        <v>640</v>
      </c>
      <c r="E616" t="s">
        <v>41</v>
      </c>
      <c r="F616" t="s">
        <v>218</v>
      </c>
      <c r="G616" t="s">
        <v>651</v>
      </c>
      <c r="H616" t="s">
        <v>27</v>
      </c>
      <c r="I616" t="s">
        <v>28</v>
      </c>
      <c r="J616">
        <v>537</v>
      </c>
      <c r="K616" t="s">
        <v>7</v>
      </c>
      <c r="L616">
        <v>1</v>
      </c>
      <c r="M616" s="5">
        <v>0</v>
      </c>
      <c r="N616" s="36">
        <f t="shared" ref="N616:N619" si="11">M616/L616</f>
        <v>0</v>
      </c>
      <c r="P616" t="s">
        <v>30</v>
      </c>
      <c r="Q616" t="s">
        <v>31</v>
      </c>
      <c r="S616" t="s">
        <v>32</v>
      </c>
      <c r="T616" s="2" t="s">
        <v>549</v>
      </c>
    </row>
    <row r="617" spans="1:21" ht="15.75" x14ac:dyDescent="0.25">
      <c r="A617" t="s">
        <v>612</v>
      </c>
      <c r="B617" t="s">
        <v>647</v>
      </c>
      <c r="C617" t="s">
        <v>648</v>
      </c>
      <c r="D617" t="s">
        <v>640</v>
      </c>
      <c r="E617" t="s">
        <v>41</v>
      </c>
      <c r="F617" t="s">
        <v>37</v>
      </c>
      <c r="G617" t="s">
        <v>652</v>
      </c>
      <c r="H617" t="s">
        <v>27</v>
      </c>
      <c r="I617" t="s">
        <v>28</v>
      </c>
      <c r="J617">
        <v>538</v>
      </c>
      <c r="K617" t="s">
        <v>29</v>
      </c>
      <c r="L617">
        <v>200</v>
      </c>
      <c r="M617" s="5">
        <v>0</v>
      </c>
      <c r="N617" s="36">
        <f>M617/L617</f>
        <v>0</v>
      </c>
      <c r="P617" t="s">
        <v>30</v>
      </c>
      <c r="Q617" t="s">
        <v>31</v>
      </c>
      <c r="S617" t="s">
        <v>32</v>
      </c>
      <c r="T617" s="2" t="s">
        <v>653</v>
      </c>
      <c r="U617" s="1">
        <v>46001</v>
      </c>
    </row>
    <row r="618" spans="1:21" x14ac:dyDescent="0.25">
      <c r="A618" t="s">
        <v>612</v>
      </c>
      <c r="B618" t="s">
        <v>649</v>
      </c>
      <c r="C618" t="s">
        <v>650</v>
      </c>
      <c r="D618" t="s">
        <v>640</v>
      </c>
      <c r="E618" t="s">
        <v>41</v>
      </c>
      <c r="F618" t="s">
        <v>37</v>
      </c>
      <c r="G618" t="s">
        <v>259</v>
      </c>
      <c r="H618" t="s">
        <v>27</v>
      </c>
      <c r="I618" t="s">
        <v>28</v>
      </c>
      <c r="J618">
        <v>539</v>
      </c>
      <c r="K618" t="s">
        <v>124</v>
      </c>
      <c r="L618">
        <v>10</v>
      </c>
      <c r="M618" s="5">
        <v>65000</v>
      </c>
      <c r="N618" s="36">
        <f>M618/L618</f>
        <v>6500</v>
      </c>
      <c r="P618" t="s">
        <v>30</v>
      </c>
      <c r="Q618" t="s">
        <v>31</v>
      </c>
      <c r="R618" s="1">
        <v>46084</v>
      </c>
      <c r="S618" t="s">
        <v>32</v>
      </c>
    </row>
    <row r="619" spans="1:21" ht="15.75" x14ac:dyDescent="0.25">
      <c r="A619" t="s">
        <v>612</v>
      </c>
      <c r="B619" t="s">
        <v>481</v>
      </c>
      <c r="C619" t="s">
        <v>482</v>
      </c>
      <c r="D619" t="s">
        <v>640</v>
      </c>
      <c r="E619" s="38" t="s">
        <v>24</v>
      </c>
      <c r="F619" t="s">
        <v>483</v>
      </c>
      <c r="G619" t="s">
        <v>398</v>
      </c>
      <c r="H619" t="s">
        <v>27</v>
      </c>
      <c r="I619" t="s">
        <v>28</v>
      </c>
      <c r="J619">
        <v>540</v>
      </c>
      <c r="K619" t="s">
        <v>277</v>
      </c>
      <c r="L619">
        <v>5</v>
      </c>
      <c r="M619" s="28">
        <v>0</v>
      </c>
      <c r="N619" s="36">
        <f t="shared" si="11"/>
        <v>0</v>
      </c>
      <c r="P619" t="s">
        <v>30</v>
      </c>
      <c r="Q619" t="s">
        <v>31</v>
      </c>
      <c r="S619" t="s">
        <v>32</v>
      </c>
      <c r="T619" s="2" t="s">
        <v>654</v>
      </c>
    </row>
    <row r="620" spans="1:21" ht="15.75" x14ac:dyDescent="0.25">
      <c r="A620" t="s">
        <v>612</v>
      </c>
      <c r="B620" t="s">
        <v>481</v>
      </c>
      <c r="C620" t="s">
        <v>482</v>
      </c>
      <c r="D620" t="s">
        <v>640</v>
      </c>
      <c r="E620" s="38" t="s">
        <v>24</v>
      </c>
      <c r="F620" t="s">
        <v>483</v>
      </c>
      <c r="G620" t="s">
        <v>397</v>
      </c>
      <c r="H620" t="s">
        <v>27</v>
      </c>
      <c r="I620" t="s">
        <v>28</v>
      </c>
      <c r="J620">
        <v>540</v>
      </c>
      <c r="K620" t="s">
        <v>277</v>
      </c>
      <c r="L620">
        <v>3</v>
      </c>
      <c r="M620" s="28">
        <v>0</v>
      </c>
      <c r="N620" s="36">
        <f t="shared" ref="N620:N652" si="12">M620/L620</f>
        <v>0</v>
      </c>
      <c r="P620" t="s">
        <v>30</v>
      </c>
      <c r="Q620" t="s">
        <v>31</v>
      </c>
      <c r="S620" t="s">
        <v>32</v>
      </c>
      <c r="T620" s="2" t="s">
        <v>654</v>
      </c>
    </row>
    <row r="621" spans="1:21" x14ac:dyDescent="0.25">
      <c r="A621" t="s">
        <v>612</v>
      </c>
      <c r="B621" s="5" t="s">
        <v>655</v>
      </c>
      <c r="C621" s="5" t="s">
        <v>656</v>
      </c>
      <c r="D621" s="5" t="s">
        <v>657</v>
      </c>
      <c r="E621" s="38" t="s">
        <v>24</v>
      </c>
      <c r="F621" s="5" t="s">
        <v>483</v>
      </c>
      <c r="G621" s="5" t="s">
        <v>545</v>
      </c>
      <c r="H621" s="5" t="s">
        <v>57</v>
      </c>
      <c r="I621" s="5" t="s">
        <v>28</v>
      </c>
      <c r="J621" s="5">
        <v>541</v>
      </c>
      <c r="K621" s="5" t="s">
        <v>277</v>
      </c>
      <c r="L621" s="5">
        <v>5</v>
      </c>
      <c r="M621" s="28">
        <v>0</v>
      </c>
      <c r="N621" s="36">
        <f t="shared" si="12"/>
        <v>0</v>
      </c>
      <c r="O621" s="5"/>
      <c r="P621" s="5" t="s">
        <v>30</v>
      </c>
      <c r="Q621" s="5" t="s">
        <v>31</v>
      </c>
      <c r="R621" s="1">
        <v>46085</v>
      </c>
      <c r="S621" s="5" t="s">
        <v>32</v>
      </c>
    </row>
    <row r="622" spans="1:21" x14ac:dyDescent="0.25">
      <c r="A622" t="s">
        <v>612</v>
      </c>
      <c r="B622" s="5" t="s">
        <v>655</v>
      </c>
      <c r="C622" s="5" t="s">
        <v>656</v>
      </c>
      <c r="D622" s="5" t="s">
        <v>657</v>
      </c>
      <c r="E622" s="38" t="s">
        <v>24</v>
      </c>
      <c r="F622" s="5" t="s">
        <v>483</v>
      </c>
      <c r="G622" s="5" t="s">
        <v>484</v>
      </c>
      <c r="H622" s="5" t="s">
        <v>57</v>
      </c>
      <c r="I622" s="5" t="s">
        <v>28</v>
      </c>
      <c r="J622" s="5">
        <v>541</v>
      </c>
      <c r="K622" s="5" t="s">
        <v>277</v>
      </c>
      <c r="L622" s="5">
        <v>2</v>
      </c>
      <c r="M622" s="28">
        <v>0</v>
      </c>
      <c r="N622" s="36">
        <f t="shared" si="12"/>
        <v>0</v>
      </c>
      <c r="O622" s="5"/>
      <c r="P622" s="5" t="s">
        <v>30</v>
      </c>
      <c r="Q622" s="5" t="s">
        <v>31</v>
      </c>
      <c r="R622" s="1">
        <v>46085</v>
      </c>
      <c r="S622" s="5" t="s">
        <v>32</v>
      </c>
    </row>
    <row r="623" spans="1:21" x14ac:dyDescent="0.25">
      <c r="A623" t="s">
        <v>612</v>
      </c>
      <c r="B623" s="5" t="s">
        <v>655</v>
      </c>
      <c r="C623" s="5" t="s">
        <v>656</v>
      </c>
      <c r="D623" s="5" t="s">
        <v>657</v>
      </c>
      <c r="E623" s="38" t="s">
        <v>24</v>
      </c>
      <c r="F623" s="5" t="s">
        <v>483</v>
      </c>
      <c r="G623" s="5" t="s">
        <v>414</v>
      </c>
      <c r="H623" s="5" t="s">
        <v>57</v>
      </c>
      <c r="I623" s="5" t="s">
        <v>28</v>
      </c>
      <c r="J623" s="5">
        <v>541</v>
      </c>
      <c r="K623" s="5" t="s">
        <v>277</v>
      </c>
      <c r="L623" s="5">
        <v>2</v>
      </c>
      <c r="M623" s="28">
        <v>0</v>
      </c>
      <c r="N623" s="36">
        <f t="shared" si="12"/>
        <v>0</v>
      </c>
      <c r="O623" s="5"/>
      <c r="P623" s="5" t="s">
        <v>30</v>
      </c>
      <c r="Q623" s="5" t="s">
        <v>31</v>
      </c>
      <c r="R623" s="1">
        <v>46085</v>
      </c>
      <c r="S623" s="5" t="s">
        <v>32</v>
      </c>
    </row>
    <row r="624" spans="1:21" x14ac:dyDescent="0.25">
      <c r="A624" t="s">
        <v>612</v>
      </c>
      <c r="B624" s="5" t="s">
        <v>655</v>
      </c>
      <c r="C624" s="5" t="s">
        <v>656</v>
      </c>
      <c r="D624" s="5" t="s">
        <v>657</v>
      </c>
      <c r="E624" s="38" t="s">
        <v>24</v>
      </c>
      <c r="F624" s="5" t="s">
        <v>483</v>
      </c>
      <c r="G624" s="5" t="s">
        <v>658</v>
      </c>
      <c r="H624" s="5" t="s">
        <v>57</v>
      </c>
      <c r="I624" s="5" t="s">
        <v>28</v>
      </c>
      <c r="J624" s="5">
        <v>541</v>
      </c>
      <c r="K624" s="5" t="s">
        <v>277</v>
      </c>
      <c r="L624" s="5">
        <v>2</v>
      </c>
      <c r="M624" s="28">
        <v>0</v>
      </c>
      <c r="N624" s="36">
        <f t="shared" si="12"/>
        <v>0</v>
      </c>
      <c r="O624" s="5"/>
      <c r="P624" s="5" t="s">
        <v>30</v>
      </c>
      <c r="Q624" s="5" t="s">
        <v>31</v>
      </c>
      <c r="R624" s="1">
        <v>46085</v>
      </c>
      <c r="S624" s="5" t="s">
        <v>32</v>
      </c>
    </row>
    <row r="625" spans="1:19" x14ac:dyDescent="0.25">
      <c r="A625" t="s">
        <v>612</v>
      </c>
      <c r="B625" s="5" t="s">
        <v>655</v>
      </c>
      <c r="C625" s="5" t="s">
        <v>656</v>
      </c>
      <c r="D625" s="5" t="s">
        <v>657</v>
      </c>
      <c r="E625" s="38" t="s">
        <v>24</v>
      </c>
      <c r="F625" s="5" t="s">
        <v>483</v>
      </c>
      <c r="G625" s="5" t="s">
        <v>659</v>
      </c>
      <c r="H625" s="5" t="s">
        <v>57</v>
      </c>
      <c r="I625" s="5" t="s">
        <v>28</v>
      </c>
      <c r="J625" s="5">
        <v>541</v>
      </c>
      <c r="K625" s="5" t="s">
        <v>277</v>
      </c>
      <c r="L625" s="5">
        <v>3</v>
      </c>
      <c r="M625" s="28">
        <v>0</v>
      </c>
      <c r="N625" s="36">
        <f t="shared" si="12"/>
        <v>0</v>
      </c>
      <c r="O625" s="5"/>
      <c r="P625" s="5" t="s">
        <v>30</v>
      </c>
      <c r="Q625" s="5" t="s">
        <v>31</v>
      </c>
      <c r="R625" s="1">
        <v>46085</v>
      </c>
      <c r="S625" s="5" t="s">
        <v>32</v>
      </c>
    </row>
    <row r="626" spans="1:19" x14ac:dyDescent="0.25">
      <c r="A626" t="s">
        <v>612</v>
      </c>
      <c r="B626" s="5" t="s">
        <v>655</v>
      </c>
      <c r="C626" s="5" t="s">
        <v>656</v>
      </c>
      <c r="D626" s="5" t="s">
        <v>657</v>
      </c>
      <c r="E626" s="38" t="s">
        <v>24</v>
      </c>
      <c r="F626" s="5" t="s">
        <v>483</v>
      </c>
      <c r="G626" s="5" t="s">
        <v>276</v>
      </c>
      <c r="H626" s="5" t="s">
        <v>57</v>
      </c>
      <c r="I626" s="5" t="s">
        <v>28</v>
      </c>
      <c r="J626" s="5">
        <v>541</v>
      </c>
      <c r="K626" s="5" t="s">
        <v>277</v>
      </c>
      <c r="L626" s="5">
        <v>1</v>
      </c>
      <c r="M626" s="28">
        <v>0</v>
      </c>
      <c r="N626" s="36">
        <f t="shared" si="12"/>
        <v>0</v>
      </c>
      <c r="O626" s="5"/>
      <c r="P626" s="5" t="s">
        <v>30</v>
      </c>
      <c r="Q626" s="5" t="s">
        <v>31</v>
      </c>
      <c r="R626" s="1">
        <v>46085</v>
      </c>
      <c r="S626" s="5" t="s">
        <v>32</v>
      </c>
    </row>
    <row r="627" spans="1:19" x14ac:dyDescent="0.25">
      <c r="A627" t="s">
        <v>612</v>
      </c>
      <c r="B627" s="5" t="s">
        <v>766</v>
      </c>
      <c r="C627" s="5" t="s">
        <v>765</v>
      </c>
      <c r="D627" s="5" t="s">
        <v>657</v>
      </c>
      <c r="E627" s="5" t="s">
        <v>41</v>
      </c>
      <c r="F627" s="5" t="s">
        <v>37</v>
      </c>
      <c r="G627" s="5" t="s">
        <v>767</v>
      </c>
      <c r="H627" s="5" t="s">
        <v>57</v>
      </c>
      <c r="I627" s="5" t="s">
        <v>768</v>
      </c>
      <c r="J627" s="5">
        <v>62</v>
      </c>
      <c r="K627" s="5" t="s">
        <v>29</v>
      </c>
      <c r="L627" s="5">
        <v>9</v>
      </c>
      <c r="M627" s="28">
        <v>96000</v>
      </c>
      <c r="N627" s="36">
        <f t="shared" si="12"/>
        <v>10666.666666666666</v>
      </c>
      <c r="O627" s="5"/>
      <c r="P627" s="5" t="s">
        <v>30</v>
      </c>
      <c r="Q627" s="5" t="s">
        <v>31</v>
      </c>
      <c r="R627" s="1">
        <v>46085</v>
      </c>
      <c r="S627" s="5" t="s">
        <v>32</v>
      </c>
    </row>
    <row r="628" spans="1:19" x14ac:dyDescent="0.25">
      <c r="A628" t="s">
        <v>612</v>
      </c>
      <c r="B628" s="5" t="s">
        <v>660</v>
      </c>
      <c r="C628" s="5" t="s">
        <v>661</v>
      </c>
      <c r="D628" s="5" t="s">
        <v>657</v>
      </c>
      <c r="E628" s="38" t="s">
        <v>24</v>
      </c>
      <c r="F628" s="5" t="s">
        <v>483</v>
      </c>
      <c r="G628" s="5" t="s">
        <v>398</v>
      </c>
      <c r="H628" s="5" t="s">
        <v>57</v>
      </c>
      <c r="I628" s="5" t="s">
        <v>28</v>
      </c>
      <c r="J628" s="5">
        <v>542</v>
      </c>
      <c r="K628" s="5" t="s">
        <v>277</v>
      </c>
      <c r="L628" s="5">
        <v>12</v>
      </c>
      <c r="M628" s="28">
        <v>0</v>
      </c>
      <c r="N628" s="36">
        <f t="shared" si="12"/>
        <v>0</v>
      </c>
      <c r="O628" s="5"/>
      <c r="P628" s="5" t="s">
        <v>30</v>
      </c>
      <c r="Q628" s="5" t="s">
        <v>31</v>
      </c>
      <c r="R628" s="1">
        <v>46085</v>
      </c>
      <c r="S628" s="5" t="s">
        <v>32</v>
      </c>
    </row>
    <row r="629" spans="1:19" x14ac:dyDescent="0.25">
      <c r="A629" t="s">
        <v>612</v>
      </c>
      <c r="B629" s="5" t="s">
        <v>660</v>
      </c>
      <c r="C629" s="5" t="s">
        <v>661</v>
      </c>
      <c r="D629" s="5" t="s">
        <v>657</v>
      </c>
      <c r="E629" s="38" t="s">
        <v>24</v>
      </c>
      <c r="F629" s="5" t="s">
        <v>483</v>
      </c>
      <c r="G629" s="5" t="s">
        <v>399</v>
      </c>
      <c r="H629" s="5" t="s">
        <v>57</v>
      </c>
      <c r="I629" s="5" t="s">
        <v>28</v>
      </c>
      <c r="J629" s="5">
        <v>542</v>
      </c>
      <c r="K629" s="5" t="s">
        <v>277</v>
      </c>
      <c r="L629" s="5">
        <v>12</v>
      </c>
      <c r="M629" s="28">
        <v>0</v>
      </c>
      <c r="N629" s="36">
        <f t="shared" si="12"/>
        <v>0</v>
      </c>
      <c r="O629" s="5"/>
      <c r="P629" s="5" t="s">
        <v>30</v>
      </c>
      <c r="Q629" s="5" t="s">
        <v>31</v>
      </c>
      <c r="R629" s="1">
        <v>46085</v>
      </c>
      <c r="S629" s="5" t="s">
        <v>32</v>
      </c>
    </row>
    <row r="630" spans="1:19" x14ac:dyDescent="0.25">
      <c r="A630" t="s">
        <v>612</v>
      </c>
      <c r="B630" s="5" t="s">
        <v>660</v>
      </c>
      <c r="C630" s="5" t="s">
        <v>661</v>
      </c>
      <c r="D630" s="5" t="s">
        <v>657</v>
      </c>
      <c r="E630" s="38" t="s">
        <v>24</v>
      </c>
      <c r="F630" s="5" t="s">
        <v>483</v>
      </c>
      <c r="G630" s="5" t="s">
        <v>421</v>
      </c>
      <c r="H630" s="5" t="s">
        <v>57</v>
      </c>
      <c r="I630" s="5" t="s">
        <v>28</v>
      </c>
      <c r="J630" s="5">
        <v>542</v>
      </c>
      <c r="K630" s="5" t="s">
        <v>277</v>
      </c>
      <c r="L630" s="5">
        <v>6</v>
      </c>
      <c r="M630" s="28">
        <v>0</v>
      </c>
      <c r="N630" s="36">
        <f t="shared" si="12"/>
        <v>0</v>
      </c>
      <c r="O630" s="5"/>
      <c r="P630" s="5" t="s">
        <v>30</v>
      </c>
      <c r="Q630" s="5" t="s">
        <v>31</v>
      </c>
      <c r="R630" s="1">
        <v>46085</v>
      </c>
      <c r="S630" s="5" t="s">
        <v>32</v>
      </c>
    </row>
    <row r="631" spans="1:19" x14ac:dyDescent="0.25">
      <c r="A631" t="s">
        <v>612</v>
      </c>
      <c r="B631" s="5" t="s">
        <v>660</v>
      </c>
      <c r="C631" s="5" t="s">
        <v>661</v>
      </c>
      <c r="D631" s="5" t="s">
        <v>657</v>
      </c>
      <c r="E631" s="38" t="s">
        <v>24</v>
      </c>
      <c r="F631" s="5" t="s">
        <v>483</v>
      </c>
      <c r="G631" s="5" t="s">
        <v>400</v>
      </c>
      <c r="H631" s="5" t="s">
        <v>57</v>
      </c>
      <c r="I631" s="5" t="s">
        <v>28</v>
      </c>
      <c r="J631" s="5">
        <v>542</v>
      </c>
      <c r="K631" s="5" t="s">
        <v>277</v>
      </c>
      <c r="L631" s="5">
        <v>10</v>
      </c>
      <c r="M631" s="28">
        <v>0</v>
      </c>
      <c r="N631" s="36">
        <f t="shared" si="12"/>
        <v>0</v>
      </c>
      <c r="O631" s="5"/>
      <c r="P631" s="5" t="s">
        <v>30</v>
      </c>
      <c r="Q631" s="5" t="s">
        <v>31</v>
      </c>
      <c r="R631" s="1">
        <v>46085</v>
      </c>
      <c r="S631" s="5" t="s">
        <v>32</v>
      </c>
    </row>
    <row r="632" spans="1:19" x14ac:dyDescent="0.25">
      <c r="A632" t="s">
        <v>612</v>
      </c>
      <c r="B632" s="5" t="s">
        <v>660</v>
      </c>
      <c r="C632" s="5" t="s">
        <v>661</v>
      </c>
      <c r="D632" s="5" t="s">
        <v>657</v>
      </c>
      <c r="E632" s="38" t="s">
        <v>24</v>
      </c>
      <c r="F632" s="5" t="s">
        <v>483</v>
      </c>
      <c r="G632" s="5" t="s">
        <v>420</v>
      </c>
      <c r="H632" s="5" t="s">
        <v>57</v>
      </c>
      <c r="I632" s="5" t="s">
        <v>28</v>
      </c>
      <c r="J632" s="5">
        <v>542</v>
      </c>
      <c r="K632" s="5" t="s">
        <v>277</v>
      </c>
      <c r="L632" s="5">
        <v>6</v>
      </c>
      <c r="M632" s="28">
        <v>0</v>
      </c>
      <c r="N632" s="36">
        <f t="shared" si="12"/>
        <v>0</v>
      </c>
      <c r="O632" s="5"/>
      <c r="P632" s="5" t="s">
        <v>30</v>
      </c>
      <c r="Q632" s="5" t="s">
        <v>31</v>
      </c>
      <c r="R632" s="1">
        <v>46085</v>
      </c>
      <c r="S632" s="5" t="s">
        <v>32</v>
      </c>
    </row>
    <row r="633" spans="1:19" x14ac:dyDescent="0.25">
      <c r="A633" t="s">
        <v>612</v>
      </c>
      <c r="B633" s="5" t="s">
        <v>95</v>
      </c>
      <c r="C633" s="5" t="s">
        <v>96</v>
      </c>
      <c r="D633" s="5" t="s">
        <v>657</v>
      </c>
      <c r="E633" s="5" t="s">
        <v>41</v>
      </c>
      <c r="F633" s="5" t="s">
        <v>37</v>
      </c>
      <c r="G633" s="5" t="s">
        <v>245</v>
      </c>
      <c r="H633" s="5" t="s">
        <v>57</v>
      </c>
      <c r="I633" s="5" t="s">
        <v>28</v>
      </c>
      <c r="J633" s="5">
        <v>543</v>
      </c>
      <c r="K633" s="5" t="s">
        <v>124</v>
      </c>
      <c r="L633" s="5">
        <v>20</v>
      </c>
      <c r="M633" s="5">
        <v>170000</v>
      </c>
      <c r="N633" s="36">
        <f t="shared" si="12"/>
        <v>8500</v>
      </c>
      <c r="O633" s="5"/>
      <c r="P633" s="5" t="s">
        <v>30</v>
      </c>
      <c r="Q633" s="5" t="s">
        <v>31</v>
      </c>
      <c r="R633" s="1">
        <v>46118</v>
      </c>
      <c r="S633" s="5" t="s">
        <v>32</v>
      </c>
    </row>
    <row r="634" spans="1:19" x14ac:dyDescent="0.25">
      <c r="A634" t="s">
        <v>612</v>
      </c>
      <c r="B634" s="5" t="s">
        <v>95</v>
      </c>
      <c r="C634" s="5" t="s">
        <v>96</v>
      </c>
      <c r="D634" s="5" t="s">
        <v>657</v>
      </c>
      <c r="E634" s="5" t="s">
        <v>41</v>
      </c>
      <c r="F634" s="5" t="s">
        <v>37</v>
      </c>
      <c r="G634" s="5" t="s">
        <v>328</v>
      </c>
      <c r="H634" s="5" t="s">
        <v>57</v>
      </c>
      <c r="I634" s="5" t="s">
        <v>28</v>
      </c>
      <c r="J634" s="5">
        <v>543</v>
      </c>
      <c r="K634" s="5" t="s">
        <v>124</v>
      </c>
      <c r="L634" s="5">
        <v>10</v>
      </c>
      <c r="M634" s="5">
        <v>85000</v>
      </c>
      <c r="N634" s="36">
        <f t="shared" si="12"/>
        <v>8500</v>
      </c>
      <c r="O634" s="5"/>
      <c r="P634" s="5" t="s">
        <v>30</v>
      </c>
      <c r="Q634" s="5" t="s">
        <v>31</v>
      </c>
      <c r="R634" s="1">
        <v>46118</v>
      </c>
      <c r="S634" s="5" t="s">
        <v>32</v>
      </c>
    </row>
    <row r="635" spans="1:19" x14ac:dyDescent="0.25">
      <c r="A635" t="s">
        <v>612</v>
      </c>
      <c r="B635" t="s">
        <v>662</v>
      </c>
      <c r="C635" t="s">
        <v>663</v>
      </c>
      <c r="D635" t="s">
        <v>664</v>
      </c>
      <c r="E635" t="s">
        <v>48</v>
      </c>
      <c r="F635" t="s">
        <v>59</v>
      </c>
      <c r="G635" t="s">
        <v>295</v>
      </c>
      <c r="H635" t="s">
        <v>57</v>
      </c>
      <c r="I635" t="s">
        <v>28</v>
      </c>
      <c r="J635">
        <v>544</v>
      </c>
      <c r="K635" t="s">
        <v>124</v>
      </c>
      <c r="L635">
        <v>5</v>
      </c>
      <c r="M635" s="5">
        <v>17700</v>
      </c>
      <c r="N635" s="36">
        <f t="shared" si="12"/>
        <v>3540</v>
      </c>
      <c r="P635" s="5" t="s">
        <v>30</v>
      </c>
      <c r="Q635" s="5" t="s">
        <v>31</v>
      </c>
      <c r="R635" s="1">
        <v>46086</v>
      </c>
      <c r="S635" s="5" t="s">
        <v>32</v>
      </c>
    </row>
    <row r="636" spans="1:19" x14ac:dyDescent="0.25">
      <c r="A636" t="s">
        <v>612</v>
      </c>
      <c r="B636" t="s">
        <v>662</v>
      </c>
      <c r="C636" t="s">
        <v>663</v>
      </c>
      <c r="D636" t="s">
        <v>664</v>
      </c>
      <c r="E636" t="s">
        <v>48</v>
      </c>
      <c r="F636" t="s">
        <v>59</v>
      </c>
      <c r="G636" t="s">
        <v>296</v>
      </c>
      <c r="H636" t="s">
        <v>57</v>
      </c>
      <c r="I636" t="s">
        <v>28</v>
      </c>
      <c r="J636">
        <v>544</v>
      </c>
      <c r="K636" t="s">
        <v>124</v>
      </c>
      <c r="L636">
        <v>5</v>
      </c>
      <c r="M636" s="5">
        <v>17700</v>
      </c>
      <c r="N636" s="36">
        <f t="shared" si="12"/>
        <v>3540</v>
      </c>
      <c r="P636" s="5" t="s">
        <v>30</v>
      </c>
      <c r="Q636" s="5" t="s">
        <v>31</v>
      </c>
      <c r="R636" s="1">
        <v>46086</v>
      </c>
      <c r="S636" s="5" t="s">
        <v>32</v>
      </c>
    </row>
    <row r="637" spans="1:19" x14ac:dyDescent="0.25">
      <c r="A637" t="s">
        <v>612</v>
      </c>
      <c r="B637" t="s">
        <v>662</v>
      </c>
      <c r="C637" t="s">
        <v>663</v>
      </c>
      <c r="D637" t="s">
        <v>664</v>
      </c>
      <c r="E637" t="s">
        <v>48</v>
      </c>
      <c r="F637" t="s">
        <v>59</v>
      </c>
      <c r="G637" t="s">
        <v>299</v>
      </c>
      <c r="H637" t="s">
        <v>57</v>
      </c>
      <c r="I637" t="s">
        <v>28</v>
      </c>
      <c r="J637">
        <v>544</v>
      </c>
      <c r="K637" t="s">
        <v>124</v>
      </c>
      <c r="L637">
        <v>5</v>
      </c>
      <c r="M637" s="5">
        <v>17700</v>
      </c>
      <c r="N637" s="36">
        <f t="shared" si="12"/>
        <v>3540</v>
      </c>
      <c r="P637" s="5" t="s">
        <v>30</v>
      </c>
      <c r="Q637" s="5" t="s">
        <v>31</v>
      </c>
      <c r="R637" s="1">
        <v>46086</v>
      </c>
      <c r="S637" s="5" t="s">
        <v>32</v>
      </c>
    </row>
    <row r="638" spans="1:19" x14ac:dyDescent="0.25">
      <c r="A638" t="s">
        <v>612</v>
      </c>
      <c r="B638" t="s">
        <v>662</v>
      </c>
      <c r="C638" t="s">
        <v>663</v>
      </c>
      <c r="D638" t="s">
        <v>664</v>
      </c>
      <c r="E638" t="s">
        <v>48</v>
      </c>
      <c r="F638" t="s">
        <v>59</v>
      </c>
      <c r="G638" t="s">
        <v>259</v>
      </c>
      <c r="H638" t="s">
        <v>57</v>
      </c>
      <c r="I638" t="s">
        <v>28</v>
      </c>
      <c r="J638">
        <v>544</v>
      </c>
      <c r="K638" t="s">
        <v>124</v>
      </c>
      <c r="L638">
        <v>5</v>
      </c>
      <c r="M638" s="5">
        <v>17700</v>
      </c>
      <c r="N638" s="36">
        <f t="shared" si="12"/>
        <v>3540</v>
      </c>
      <c r="P638" s="5" t="s">
        <v>30</v>
      </c>
      <c r="Q638" s="5" t="s">
        <v>31</v>
      </c>
      <c r="R638" s="1">
        <v>46086</v>
      </c>
      <c r="S638" s="5" t="s">
        <v>32</v>
      </c>
    </row>
    <row r="639" spans="1:19" x14ac:dyDescent="0.25">
      <c r="A639" t="s">
        <v>612</v>
      </c>
      <c r="B639" t="s">
        <v>662</v>
      </c>
      <c r="C639" t="s">
        <v>663</v>
      </c>
      <c r="D639" t="s">
        <v>664</v>
      </c>
      <c r="E639" t="s">
        <v>48</v>
      </c>
      <c r="F639" t="s">
        <v>59</v>
      </c>
      <c r="G639" t="s">
        <v>309</v>
      </c>
      <c r="H639" t="s">
        <v>57</v>
      </c>
      <c r="I639" t="s">
        <v>28</v>
      </c>
      <c r="J639">
        <v>544</v>
      </c>
      <c r="K639" t="s">
        <v>124</v>
      </c>
      <c r="L639">
        <v>5</v>
      </c>
      <c r="M639" s="5">
        <v>17700</v>
      </c>
      <c r="N639" s="36">
        <f t="shared" si="12"/>
        <v>3540</v>
      </c>
      <c r="P639" s="5" t="s">
        <v>30</v>
      </c>
      <c r="Q639" s="5" t="s">
        <v>31</v>
      </c>
      <c r="R639" s="1">
        <v>46086</v>
      </c>
      <c r="S639" s="5" t="s">
        <v>32</v>
      </c>
    </row>
    <row r="640" spans="1:19" x14ac:dyDescent="0.25">
      <c r="A640" t="s">
        <v>612</v>
      </c>
      <c r="B640" t="s">
        <v>662</v>
      </c>
      <c r="C640" t="s">
        <v>663</v>
      </c>
      <c r="D640" t="s">
        <v>664</v>
      </c>
      <c r="E640" t="s">
        <v>48</v>
      </c>
      <c r="F640" t="s">
        <v>59</v>
      </c>
      <c r="G640" t="s">
        <v>327</v>
      </c>
      <c r="H640" t="s">
        <v>57</v>
      </c>
      <c r="I640" t="s">
        <v>28</v>
      </c>
      <c r="J640">
        <v>544</v>
      </c>
      <c r="K640" t="s">
        <v>124</v>
      </c>
      <c r="L640">
        <v>5</v>
      </c>
      <c r="M640" s="5">
        <v>24790</v>
      </c>
      <c r="N640" s="36">
        <f t="shared" si="12"/>
        <v>4958</v>
      </c>
      <c r="P640" s="5" t="s">
        <v>30</v>
      </c>
      <c r="Q640" s="5" t="s">
        <v>31</v>
      </c>
      <c r="R640" s="1">
        <v>46086</v>
      </c>
      <c r="S640" s="5" t="s">
        <v>32</v>
      </c>
    </row>
    <row r="641" spans="1:21" ht="15.75" x14ac:dyDescent="0.25">
      <c r="A641" t="s">
        <v>612</v>
      </c>
      <c r="B641" t="s">
        <v>307</v>
      </c>
      <c r="C641" t="s">
        <v>308</v>
      </c>
      <c r="D641" t="s">
        <v>664</v>
      </c>
      <c r="E641" t="s">
        <v>48</v>
      </c>
      <c r="F641" t="s">
        <v>59</v>
      </c>
      <c r="G641" t="s">
        <v>290</v>
      </c>
      <c r="H641" t="s">
        <v>27</v>
      </c>
      <c r="I641" t="s">
        <v>28</v>
      </c>
      <c r="J641">
        <v>545</v>
      </c>
      <c r="K641" t="s">
        <v>124</v>
      </c>
      <c r="L641">
        <v>20</v>
      </c>
      <c r="M641" s="5">
        <v>0</v>
      </c>
      <c r="N641" s="36">
        <f t="shared" si="12"/>
        <v>0</v>
      </c>
      <c r="P641" s="5" t="s">
        <v>30</v>
      </c>
      <c r="Q641" s="5" t="s">
        <v>31</v>
      </c>
      <c r="R641" s="1">
        <v>46101</v>
      </c>
      <c r="S641" s="5" t="s">
        <v>32</v>
      </c>
      <c r="T641" s="27" t="s">
        <v>665</v>
      </c>
      <c r="U641" s="3">
        <v>46041</v>
      </c>
    </row>
    <row r="642" spans="1:21" ht="15.75" x14ac:dyDescent="0.25">
      <c r="A642" t="s">
        <v>612</v>
      </c>
      <c r="B642" t="s">
        <v>307</v>
      </c>
      <c r="C642" t="s">
        <v>308</v>
      </c>
      <c r="D642" t="s">
        <v>664</v>
      </c>
      <c r="E642" t="s">
        <v>48</v>
      </c>
      <c r="F642" t="s">
        <v>59</v>
      </c>
      <c r="G642" t="s">
        <v>309</v>
      </c>
      <c r="H642" t="s">
        <v>27</v>
      </c>
      <c r="I642" t="s">
        <v>28</v>
      </c>
      <c r="J642">
        <v>545</v>
      </c>
      <c r="K642" t="s">
        <v>124</v>
      </c>
      <c r="L642">
        <v>15</v>
      </c>
      <c r="M642" s="5">
        <v>0</v>
      </c>
      <c r="N642" s="36">
        <f t="shared" si="12"/>
        <v>0</v>
      </c>
      <c r="P642" s="5" t="s">
        <v>30</v>
      </c>
      <c r="Q642" s="5" t="s">
        <v>31</v>
      </c>
      <c r="R642" s="1">
        <v>46101</v>
      </c>
      <c r="S642" s="5" t="s">
        <v>32</v>
      </c>
      <c r="T642" s="27" t="s">
        <v>665</v>
      </c>
      <c r="U642" s="3">
        <v>46041</v>
      </c>
    </row>
    <row r="643" spans="1:21" ht="15.75" x14ac:dyDescent="0.25">
      <c r="A643" t="s">
        <v>612</v>
      </c>
      <c r="B643" t="s">
        <v>307</v>
      </c>
      <c r="C643" t="s">
        <v>308</v>
      </c>
      <c r="D643" t="s">
        <v>664</v>
      </c>
      <c r="E643" t="s">
        <v>48</v>
      </c>
      <c r="F643" t="s">
        <v>59</v>
      </c>
      <c r="G643" t="s">
        <v>310</v>
      </c>
      <c r="H643" t="s">
        <v>27</v>
      </c>
      <c r="I643" t="s">
        <v>28</v>
      </c>
      <c r="J643">
        <v>545</v>
      </c>
      <c r="K643" t="s">
        <v>124</v>
      </c>
      <c r="L643">
        <v>1</v>
      </c>
      <c r="M643" s="5">
        <v>0</v>
      </c>
      <c r="N643" s="36">
        <f t="shared" si="12"/>
        <v>0</v>
      </c>
      <c r="P643" s="5" t="s">
        <v>30</v>
      </c>
      <c r="Q643" s="5" t="s">
        <v>31</v>
      </c>
      <c r="R643" s="1">
        <v>46101</v>
      </c>
      <c r="S643" s="5" t="s">
        <v>32</v>
      </c>
      <c r="T643" s="27" t="s">
        <v>665</v>
      </c>
      <c r="U643" s="3">
        <v>46041</v>
      </c>
    </row>
    <row r="644" spans="1:21" ht="15.75" x14ac:dyDescent="0.25">
      <c r="A644" t="s">
        <v>612</v>
      </c>
      <c r="B644" t="s">
        <v>307</v>
      </c>
      <c r="C644" t="s">
        <v>308</v>
      </c>
      <c r="D644" t="s">
        <v>664</v>
      </c>
      <c r="E644" t="s">
        <v>48</v>
      </c>
      <c r="F644" t="s">
        <v>59</v>
      </c>
      <c r="G644" t="s">
        <v>296</v>
      </c>
      <c r="H644" t="s">
        <v>27</v>
      </c>
      <c r="I644" t="s">
        <v>28</v>
      </c>
      <c r="J644">
        <v>545</v>
      </c>
      <c r="K644" t="s">
        <v>124</v>
      </c>
      <c r="L644">
        <v>5</v>
      </c>
      <c r="M644" s="5">
        <v>0</v>
      </c>
      <c r="N644" s="36">
        <f t="shared" si="12"/>
        <v>0</v>
      </c>
      <c r="P644" s="5" t="s">
        <v>30</v>
      </c>
      <c r="Q644" s="5" t="s">
        <v>31</v>
      </c>
      <c r="R644" s="1">
        <v>46101</v>
      </c>
      <c r="S644" s="5" t="s">
        <v>32</v>
      </c>
      <c r="T644" s="27" t="s">
        <v>665</v>
      </c>
      <c r="U644" s="3">
        <v>46041</v>
      </c>
    </row>
    <row r="645" spans="1:21" ht="15.75" x14ac:dyDescent="0.25">
      <c r="A645" t="s">
        <v>612</v>
      </c>
      <c r="B645" t="s">
        <v>307</v>
      </c>
      <c r="C645" t="s">
        <v>308</v>
      </c>
      <c r="D645" t="s">
        <v>664</v>
      </c>
      <c r="E645" t="s">
        <v>48</v>
      </c>
      <c r="F645" t="s">
        <v>59</v>
      </c>
      <c r="G645" t="s">
        <v>311</v>
      </c>
      <c r="H645" t="s">
        <v>27</v>
      </c>
      <c r="I645" t="s">
        <v>28</v>
      </c>
      <c r="J645">
        <v>545</v>
      </c>
      <c r="K645" t="s">
        <v>124</v>
      </c>
      <c r="L645">
        <v>3</v>
      </c>
      <c r="M645" s="5">
        <v>0</v>
      </c>
      <c r="N645" s="36">
        <f t="shared" si="12"/>
        <v>0</v>
      </c>
      <c r="P645" s="5" t="s">
        <v>30</v>
      </c>
      <c r="Q645" s="5" t="s">
        <v>31</v>
      </c>
      <c r="R645" s="1">
        <v>46101</v>
      </c>
      <c r="S645" s="5" t="s">
        <v>32</v>
      </c>
      <c r="T645" s="27" t="s">
        <v>665</v>
      </c>
      <c r="U645" s="3">
        <v>46041</v>
      </c>
    </row>
    <row r="646" spans="1:21" ht="15.75" x14ac:dyDescent="0.25">
      <c r="A646" t="s">
        <v>612</v>
      </c>
      <c r="B646" t="s">
        <v>174</v>
      </c>
      <c r="C646" t="s">
        <v>175</v>
      </c>
      <c r="D646" t="s">
        <v>664</v>
      </c>
      <c r="E646" s="38" t="s">
        <v>24</v>
      </c>
      <c r="F646" t="s">
        <v>25</v>
      </c>
      <c r="G646" t="s">
        <v>666</v>
      </c>
      <c r="H646" t="s">
        <v>27</v>
      </c>
      <c r="I646" t="s">
        <v>28</v>
      </c>
      <c r="J646">
        <v>546</v>
      </c>
      <c r="K646" t="s">
        <v>7</v>
      </c>
      <c r="L646">
        <v>16</v>
      </c>
      <c r="M646" s="5">
        <v>0</v>
      </c>
      <c r="N646" s="36">
        <f t="shared" si="12"/>
        <v>0</v>
      </c>
      <c r="P646" s="5" t="s">
        <v>30</v>
      </c>
      <c r="Q646" s="5" t="s">
        <v>31</v>
      </c>
      <c r="R646" s="1">
        <v>46079</v>
      </c>
      <c r="S646" s="5" t="s">
        <v>32</v>
      </c>
      <c r="T646" s="27" t="s">
        <v>667</v>
      </c>
      <c r="U646" s="3">
        <v>46019</v>
      </c>
    </row>
    <row r="647" spans="1:21" ht="15.75" x14ac:dyDescent="0.25">
      <c r="A647" t="s">
        <v>612</v>
      </c>
      <c r="B647" t="s">
        <v>174</v>
      </c>
      <c r="C647" t="s">
        <v>175</v>
      </c>
      <c r="D647" t="s">
        <v>664</v>
      </c>
      <c r="E647" s="38" t="s">
        <v>24</v>
      </c>
      <c r="F647" t="s">
        <v>25</v>
      </c>
      <c r="G647" t="s">
        <v>154</v>
      </c>
      <c r="H647" t="s">
        <v>27</v>
      </c>
      <c r="I647" t="s">
        <v>28</v>
      </c>
      <c r="J647">
        <v>546</v>
      </c>
      <c r="K647" t="s">
        <v>29</v>
      </c>
      <c r="L647">
        <v>70</v>
      </c>
      <c r="M647" s="5">
        <v>0</v>
      </c>
      <c r="N647" s="36">
        <f t="shared" si="12"/>
        <v>0</v>
      </c>
      <c r="P647" s="5" t="s">
        <v>30</v>
      </c>
      <c r="Q647" s="5" t="s">
        <v>31</v>
      </c>
      <c r="R647" s="1">
        <v>46079</v>
      </c>
      <c r="S647" s="5" t="s">
        <v>32</v>
      </c>
      <c r="T647" s="27" t="s">
        <v>667</v>
      </c>
      <c r="U647" s="3">
        <v>46019</v>
      </c>
    </row>
    <row r="648" spans="1:21" ht="15.75" x14ac:dyDescent="0.25">
      <c r="A648" t="s">
        <v>612</v>
      </c>
      <c r="B648" t="s">
        <v>174</v>
      </c>
      <c r="C648" t="s">
        <v>175</v>
      </c>
      <c r="D648" t="s">
        <v>664</v>
      </c>
      <c r="E648" s="38" t="s">
        <v>24</v>
      </c>
      <c r="F648" t="s">
        <v>25</v>
      </c>
      <c r="G648" t="s">
        <v>45</v>
      </c>
      <c r="H648" t="s">
        <v>27</v>
      </c>
      <c r="I648" t="s">
        <v>28</v>
      </c>
      <c r="J648">
        <v>546</v>
      </c>
      <c r="K648" t="s">
        <v>29</v>
      </c>
      <c r="L648">
        <v>75</v>
      </c>
      <c r="M648" s="5">
        <v>0</v>
      </c>
      <c r="N648" s="36">
        <f t="shared" si="12"/>
        <v>0</v>
      </c>
      <c r="P648" s="5" t="s">
        <v>30</v>
      </c>
      <c r="Q648" s="5" t="s">
        <v>31</v>
      </c>
      <c r="R648" s="1">
        <v>46079</v>
      </c>
      <c r="S648" s="5" t="s">
        <v>32</v>
      </c>
      <c r="T648" s="27" t="s">
        <v>667</v>
      </c>
      <c r="U648" s="3">
        <v>46019</v>
      </c>
    </row>
    <row r="649" spans="1:21" ht="15.75" x14ac:dyDescent="0.25">
      <c r="A649" t="s">
        <v>612</v>
      </c>
      <c r="B649" t="s">
        <v>375</v>
      </c>
      <c r="C649" t="s">
        <v>376</v>
      </c>
      <c r="D649" t="s">
        <v>664</v>
      </c>
      <c r="E649" s="38" t="s">
        <v>24</v>
      </c>
      <c r="F649" t="s">
        <v>55</v>
      </c>
      <c r="G649" t="s">
        <v>276</v>
      </c>
      <c r="H649" t="s">
        <v>57</v>
      </c>
      <c r="I649" t="s">
        <v>28</v>
      </c>
      <c r="J649">
        <v>547</v>
      </c>
      <c r="K649" t="s">
        <v>277</v>
      </c>
      <c r="L649">
        <v>20</v>
      </c>
      <c r="M649" s="5">
        <v>0</v>
      </c>
      <c r="N649" s="36">
        <f t="shared" si="12"/>
        <v>0</v>
      </c>
      <c r="P649" s="5" t="s">
        <v>30</v>
      </c>
      <c r="Q649" s="5" t="s">
        <v>31</v>
      </c>
      <c r="R649" s="1">
        <v>46103</v>
      </c>
      <c r="S649" s="5" t="s">
        <v>32</v>
      </c>
      <c r="T649" s="2" t="s">
        <v>668</v>
      </c>
      <c r="U649" s="3">
        <v>46043</v>
      </c>
    </row>
    <row r="650" spans="1:21" ht="15.75" x14ac:dyDescent="0.25">
      <c r="A650" t="s">
        <v>612</v>
      </c>
      <c r="B650" t="s">
        <v>375</v>
      </c>
      <c r="C650" t="s">
        <v>376</v>
      </c>
      <c r="D650" t="s">
        <v>664</v>
      </c>
      <c r="E650" s="38" t="s">
        <v>24</v>
      </c>
      <c r="F650" t="s">
        <v>55</v>
      </c>
      <c r="G650" t="s">
        <v>297</v>
      </c>
      <c r="H650" t="s">
        <v>57</v>
      </c>
      <c r="I650" t="s">
        <v>28</v>
      </c>
      <c r="J650">
        <v>547</v>
      </c>
      <c r="K650" t="s">
        <v>124</v>
      </c>
      <c r="L650">
        <v>40</v>
      </c>
      <c r="M650" s="5">
        <v>0</v>
      </c>
      <c r="N650" s="36">
        <f t="shared" si="12"/>
        <v>0</v>
      </c>
      <c r="P650" s="5" t="s">
        <v>30</v>
      </c>
      <c r="Q650" s="5" t="s">
        <v>31</v>
      </c>
      <c r="R650" s="1">
        <v>46103</v>
      </c>
      <c r="S650" s="5" t="s">
        <v>32</v>
      </c>
      <c r="T650" s="2" t="s">
        <v>668</v>
      </c>
      <c r="U650" s="3">
        <v>46043</v>
      </c>
    </row>
    <row r="651" spans="1:21" ht="15.75" x14ac:dyDescent="0.25">
      <c r="A651" t="s">
        <v>612</v>
      </c>
      <c r="B651" t="s">
        <v>375</v>
      </c>
      <c r="C651" t="s">
        <v>376</v>
      </c>
      <c r="D651" t="s">
        <v>664</v>
      </c>
      <c r="E651" s="38" t="s">
        <v>24</v>
      </c>
      <c r="F651" t="s">
        <v>55</v>
      </c>
      <c r="G651" t="s">
        <v>379</v>
      </c>
      <c r="H651" t="s">
        <v>57</v>
      </c>
      <c r="I651" t="s">
        <v>28</v>
      </c>
      <c r="J651">
        <v>547</v>
      </c>
      <c r="K651" t="s">
        <v>124</v>
      </c>
      <c r="L651">
        <v>12</v>
      </c>
      <c r="M651" s="5">
        <v>0</v>
      </c>
      <c r="N651" s="36">
        <f t="shared" si="12"/>
        <v>0</v>
      </c>
      <c r="P651" s="5" t="s">
        <v>30</v>
      </c>
      <c r="Q651" s="5" t="s">
        <v>31</v>
      </c>
      <c r="R651" s="1">
        <v>46103</v>
      </c>
      <c r="S651" s="5" t="s">
        <v>32</v>
      </c>
      <c r="T651" s="2" t="s">
        <v>668</v>
      </c>
      <c r="U651" s="3">
        <v>46043</v>
      </c>
    </row>
    <row r="652" spans="1:21" ht="15.75" x14ac:dyDescent="0.25">
      <c r="A652" t="s">
        <v>612</v>
      </c>
      <c r="B652" t="s">
        <v>375</v>
      </c>
      <c r="C652" t="s">
        <v>376</v>
      </c>
      <c r="D652" t="s">
        <v>664</v>
      </c>
      <c r="E652" s="38" t="s">
        <v>24</v>
      </c>
      <c r="F652" t="s">
        <v>55</v>
      </c>
      <c r="G652" t="s">
        <v>380</v>
      </c>
      <c r="H652" t="s">
        <v>57</v>
      </c>
      <c r="I652" t="s">
        <v>28</v>
      </c>
      <c r="J652">
        <v>547</v>
      </c>
      <c r="K652" t="s">
        <v>124</v>
      </c>
      <c r="L652">
        <v>120</v>
      </c>
      <c r="M652" s="5">
        <v>0</v>
      </c>
      <c r="N652" s="36">
        <f t="shared" si="12"/>
        <v>0</v>
      </c>
      <c r="P652" s="5" t="s">
        <v>30</v>
      </c>
      <c r="Q652" s="5" t="s">
        <v>31</v>
      </c>
      <c r="R652" s="1">
        <v>46103</v>
      </c>
      <c r="S652" s="5" t="s">
        <v>32</v>
      </c>
      <c r="T652" s="2" t="s">
        <v>668</v>
      </c>
      <c r="U652" s="3">
        <v>46043</v>
      </c>
    </row>
    <row r="653" spans="1:21" ht="15.75" x14ac:dyDescent="0.25">
      <c r="A653" t="s">
        <v>612</v>
      </c>
      <c r="B653" t="s">
        <v>200</v>
      </c>
      <c r="C653" t="s">
        <v>201</v>
      </c>
      <c r="D653" t="s">
        <v>664</v>
      </c>
      <c r="E653" t="s">
        <v>41</v>
      </c>
      <c r="F653" t="s">
        <v>37</v>
      </c>
      <c r="G653" t="s">
        <v>669</v>
      </c>
      <c r="H653" t="s">
        <v>57</v>
      </c>
      <c r="I653" t="s">
        <v>28</v>
      </c>
      <c r="J653">
        <v>548</v>
      </c>
      <c r="K653" t="s">
        <v>29</v>
      </c>
      <c r="L653">
        <v>200</v>
      </c>
      <c r="M653" s="5">
        <v>0</v>
      </c>
      <c r="N653" s="36">
        <f t="shared" ref="N653:N684" si="13">M653/L653</f>
        <v>0</v>
      </c>
      <c r="P653" s="5" t="s">
        <v>30</v>
      </c>
      <c r="Q653" s="5" t="s">
        <v>31</v>
      </c>
      <c r="R653" s="1">
        <v>46091</v>
      </c>
      <c r="S653" s="5" t="s">
        <v>32</v>
      </c>
      <c r="T653" s="2" t="s">
        <v>670</v>
      </c>
      <c r="U653" s="3">
        <v>46002</v>
      </c>
    </row>
    <row r="654" spans="1:21" ht="15.75" x14ac:dyDescent="0.25">
      <c r="A654" t="s">
        <v>612</v>
      </c>
      <c r="B654" t="s">
        <v>671</v>
      </c>
      <c r="C654" t="s">
        <v>672</v>
      </c>
      <c r="D654" t="s">
        <v>664</v>
      </c>
      <c r="E654" t="s">
        <v>41</v>
      </c>
      <c r="F654" t="s">
        <v>25</v>
      </c>
      <c r="G654" t="s">
        <v>652</v>
      </c>
      <c r="H654" t="s">
        <v>27</v>
      </c>
      <c r="I654" t="s">
        <v>28</v>
      </c>
      <c r="J654">
        <v>549</v>
      </c>
      <c r="K654" t="s">
        <v>29</v>
      </c>
      <c r="L654">
        <v>200</v>
      </c>
      <c r="M654" s="5">
        <v>0</v>
      </c>
      <c r="N654" s="36">
        <f t="shared" si="13"/>
        <v>0</v>
      </c>
      <c r="P654" s="5" t="s">
        <v>30</v>
      </c>
      <c r="Q654" s="5" t="s">
        <v>31</v>
      </c>
      <c r="R654" s="1">
        <v>46082</v>
      </c>
      <c r="S654" s="5" t="s">
        <v>32</v>
      </c>
      <c r="T654" s="2" t="s">
        <v>673</v>
      </c>
      <c r="U654" s="3">
        <v>45992</v>
      </c>
    </row>
    <row r="655" spans="1:21" ht="15.75" x14ac:dyDescent="0.25">
      <c r="A655" t="s">
        <v>612</v>
      </c>
      <c r="B655" t="s">
        <v>203</v>
      </c>
      <c r="C655" t="s">
        <v>204</v>
      </c>
      <c r="D655" t="s">
        <v>664</v>
      </c>
      <c r="E655" t="s">
        <v>41</v>
      </c>
      <c r="F655" t="s">
        <v>37</v>
      </c>
      <c r="G655" t="s">
        <v>674</v>
      </c>
      <c r="H655" t="s">
        <v>57</v>
      </c>
      <c r="I655" t="s">
        <v>28</v>
      </c>
      <c r="J655">
        <v>550</v>
      </c>
      <c r="K655" t="s">
        <v>29</v>
      </c>
      <c r="L655">
        <v>100</v>
      </c>
      <c r="M655" s="5">
        <v>0</v>
      </c>
      <c r="N655" s="36">
        <f t="shared" si="13"/>
        <v>0</v>
      </c>
      <c r="P655" s="5" t="s">
        <v>30</v>
      </c>
      <c r="Q655" s="5" t="s">
        <v>31</v>
      </c>
      <c r="R655" s="1">
        <v>46057</v>
      </c>
      <c r="S655" s="5" t="s">
        <v>32</v>
      </c>
      <c r="T655" s="2" t="s">
        <v>675</v>
      </c>
      <c r="U655" s="3">
        <v>45995</v>
      </c>
    </row>
    <row r="656" spans="1:21" ht="15.75" x14ac:dyDescent="0.25">
      <c r="A656" t="s">
        <v>612</v>
      </c>
      <c r="B656" t="s">
        <v>406</v>
      </c>
      <c r="C656" t="s">
        <v>407</v>
      </c>
      <c r="D656" t="s">
        <v>676</v>
      </c>
      <c r="E656" t="s">
        <v>48</v>
      </c>
      <c r="F656" t="s">
        <v>59</v>
      </c>
      <c r="G656" t="s">
        <v>245</v>
      </c>
      <c r="H656" t="s">
        <v>57</v>
      </c>
      <c r="I656" t="s">
        <v>28</v>
      </c>
      <c r="J656">
        <v>551</v>
      </c>
      <c r="K656" t="s">
        <v>124</v>
      </c>
      <c r="L656" s="5">
        <v>40</v>
      </c>
      <c r="M656" s="5">
        <v>320000</v>
      </c>
      <c r="N656" s="36">
        <f t="shared" si="13"/>
        <v>8000</v>
      </c>
      <c r="P656" s="5" t="s">
        <v>30</v>
      </c>
      <c r="Q656" s="5" t="s">
        <v>31</v>
      </c>
      <c r="R656" s="1">
        <v>46218</v>
      </c>
      <c r="S656" s="5" t="s">
        <v>32</v>
      </c>
      <c r="T656" s="2"/>
      <c r="U656" s="2"/>
    </row>
    <row r="657" spans="1:21" ht="15.75" x14ac:dyDescent="0.25">
      <c r="A657" t="s">
        <v>612</v>
      </c>
      <c r="B657" t="s">
        <v>95</v>
      </c>
      <c r="C657" t="s">
        <v>96</v>
      </c>
      <c r="D657" t="s">
        <v>676</v>
      </c>
      <c r="E657" t="s">
        <v>41</v>
      </c>
      <c r="F657" t="s">
        <v>37</v>
      </c>
      <c r="G657" t="s">
        <v>259</v>
      </c>
      <c r="H657" t="s">
        <v>27</v>
      </c>
      <c r="I657" t="s">
        <v>65</v>
      </c>
      <c r="J657">
        <v>230</v>
      </c>
      <c r="K657" t="s">
        <v>124</v>
      </c>
      <c r="L657" s="5">
        <v>10</v>
      </c>
      <c r="M657" s="5">
        <v>70000</v>
      </c>
      <c r="N657" s="36">
        <f t="shared" si="13"/>
        <v>7000</v>
      </c>
      <c r="P657" s="5" t="s">
        <v>30</v>
      </c>
      <c r="Q657" s="5" t="s">
        <v>31</v>
      </c>
      <c r="R657" s="1">
        <v>46117</v>
      </c>
      <c r="S657" s="5" t="s">
        <v>32</v>
      </c>
      <c r="T657" s="2"/>
      <c r="U657" s="2"/>
    </row>
    <row r="658" spans="1:21" ht="15.75" x14ac:dyDescent="0.25">
      <c r="A658" t="s">
        <v>612</v>
      </c>
      <c r="B658" t="s">
        <v>95</v>
      </c>
      <c r="C658" t="s">
        <v>96</v>
      </c>
      <c r="D658" t="s">
        <v>676</v>
      </c>
      <c r="E658" t="s">
        <v>41</v>
      </c>
      <c r="F658" t="s">
        <v>37</v>
      </c>
      <c r="G658" t="s">
        <v>243</v>
      </c>
      <c r="H658" t="s">
        <v>27</v>
      </c>
      <c r="I658" t="s">
        <v>65</v>
      </c>
      <c r="J658">
        <v>230</v>
      </c>
      <c r="K658" t="s">
        <v>124</v>
      </c>
      <c r="L658" s="5">
        <v>40</v>
      </c>
      <c r="M658" s="5">
        <v>440000</v>
      </c>
      <c r="N658" s="36">
        <f t="shared" si="13"/>
        <v>11000</v>
      </c>
      <c r="P658" s="5" t="s">
        <v>30</v>
      </c>
      <c r="Q658" s="5" t="s">
        <v>31</v>
      </c>
      <c r="R658" s="1">
        <v>46117</v>
      </c>
      <c r="S658" s="5" t="s">
        <v>32</v>
      </c>
      <c r="T658" s="2"/>
      <c r="U658" s="2"/>
    </row>
    <row r="659" spans="1:21" ht="15.75" x14ac:dyDescent="0.25">
      <c r="A659" t="s">
        <v>612</v>
      </c>
      <c r="B659" t="s">
        <v>95</v>
      </c>
      <c r="C659" t="s">
        <v>96</v>
      </c>
      <c r="D659" t="s">
        <v>676</v>
      </c>
      <c r="E659" t="s">
        <v>41</v>
      </c>
      <c r="F659" t="s">
        <v>37</v>
      </c>
      <c r="G659" t="s">
        <v>383</v>
      </c>
      <c r="H659" t="s">
        <v>27</v>
      </c>
      <c r="I659" t="s">
        <v>65</v>
      </c>
      <c r="J659">
        <v>230</v>
      </c>
      <c r="K659" t="s">
        <v>124</v>
      </c>
      <c r="L659" s="5">
        <v>20</v>
      </c>
      <c r="M659" s="5">
        <v>100000</v>
      </c>
      <c r="N659" s="36">
        <f t="shared" si="13"/>
        <v>5000</v>
      </c>
      <c r="P659" s="5" t="s">
        <v>30</v>
      </c>
      <c r="Q659" s="5" t="s">
        <v>31</v>
      </c>
      <c r="R659" s="1">
        <v>46117</v>
      </c>
      <c r="S659" s="5" t="s">
        <v>32</v>
      </c>
      <c r="T659" s="2"/>
      <c r="U659" s="2"/>
    </row>
    <row r="660" spans="1:21" ht="15.75" x14ac:dyDescent="0.25">
      <c r="A660" t="s">
        <v>612</v>
      </c>
      <c r="B660" t="s">
        <v>95</v>
      </c>
      <c r="C660" t="s">
        <v>96</v>
      </c>
      <c r="D660" t="s">
        <v>676</v>
      </c>
      <c r="E660" t="s">
        <v>41</v>
      </c>
      <c r="F660" t="s">
        <v>37</v>
      </c>
      <c r="G660" t="s">
        <v>283</v>
      </c>
      <c r="H660" t="s">
        <v>27</v>
      </c>
      <c r="I660" t="s">
        <v>65</v>
      </c>
      <c r="J660">
        <v>230</v>
      </c>
      <c r="K660" t="s">
        <v>124</v>
      </c>
      <c r="L660" s="5">
        <v>5</v>
      </c>
      <c r="M660" s="5">
        <v>57500</v>
      </c>
      <c r="N660" s="36">
        <f t="shared" si="13"/>
        <v>11500</v>
      </c>
      <c r="P660" s="5" t="s">
        <v>30</v>
      </c>
      <c r="Q660" s="5" t="s">
        <v>31</v>
      </c>
      <c r="R660" s="1">
        <v>46117</v>
      </c>
      <c r="S660" s="5" t="s">
        <v>32</v>
      </c>
      <c r="T660" s="2"/>
      <c r="U660" s="2"/>
    </row>
    <row r="661" spans="1:21" ht="15.75" x14ac:dyDescent="0.25">
      <c r="A661" t="s">
        <v>612</v>
      </c>
      <c r="B661" t="s">
        <v>95</v>
      </c>
      <c r="C661" t="s">
        <v>96</v>
      </c>
      <c r="D661" t="s">
        <v>676</v>
      </c>
      <c r="E661" t="s">
        <v>41</v>
      </c>
      <c r="F661" t="s">
        <v>37</v>
      </c>
      <c r="G661" t="s">
        <v>463</v>
      </c>
      <c r="H661" t="s">
        <v>27</v>
      </c>
      <c r="I661" t="s">
        <v>65</v>
      </c>
      <c r="J661">
        <v>230</v>
      </c>
      <c r="K661" t="s">
        <v>124</v>
      </c>
      <c r="L661" s="5">
        <v>10</v>
      </c>
      <c r="M661" s="5">
        <v>70000</v>
      </c>
      <c r="N661" s="36">
        <f t="shared" si="13"/>
        <v>7000</v>
      </c>
      <c r="P661" s="5" t="s">
        <v>30</v>
      </c>
      <c r="Q661" s="5" t="s">
        <v>31</v>
      </c>
      <c r="R661" s="1">
        <v>46117</v>
      </c>
      <c r="S661" s="5" t="s">
        <v>32</v>
      </c>
      <c r="T661" s="2"/>
      <c r="U661" s="2"/>
    </row>
    <row r="662" spans="1:21" ht="15.75" x14ac:dyDescent="0.25">
      <c r="A662" t="s">
        <v>612</v>
      </c>
      <c r="B662" t="s">
        <v>95</v>
      </c>
      <c r="C662" t="s">
        <v>96</v>
      </c>
      <c r="D662" t="s">
        <v>676</v>
      </c>
      <c r="E662" t="s">
        <v>41</v>
      </c>
      <c r="F662" t="s">
        <v>37</v>
      </c>
      <c r="G662" t="s">
        <v>276</v>
      </c>
      <c r="H662" t="s">
        <v>27</v>
      </c>
      <c r="I662" t="s">
        <v>65</v>
      </c>
      <c r="J662">
        <v>230</v>
      </c>
      <c r="K662" t="s">
        <v>277</v>
      </c>
      <c r="L662" s="5">
        <v>40</v>
      </c>
      <c r="M662" s="5">
        <v>1200000</v>
      </c>
      <c r="N662" s="36">
        <f t="shared" si="13"/>
        <v>30000</v>
      </c>
      <c r="P662" s="5" t="s">
        <v>30</v>
      </c>
      <c r="Q662" s="5" t="s">
        <v>31</v>
      </c>
      <c r="R662" s="1">
        <v>46117</v>
      </c>
      <c r="S662" s="5" t="s">
        <v>32</v>
      </c>
      <c r="T662" s="2"/>
      <c r="U662" s="2"/>
    </row>
    <row r="663" spans="1:21" ht="15.75" x14ac:dyDescent="0.25">
      <c r="A663" t="s">
        <v>612</v>
      </c>
      <c r="B663" t="s">
        <v>68</v>
      </c>
      <c r="C663" t="s">
        <v>69</v>
      </c>
      <c r="D663" t="s">
        <v>677</v>
      </c>
      <c r="E663" t="s">
        <v>48</v>
      </c>
      <c r="F663" t="s">
        <v>25</v>
      </c>
      <c r="G663" t="s">
        <v>389</v>
      </c>
      <c r="H663" t="s">
        <v>27</v>
      </c>
      <c r="I663" t="s">
        <v>65</v>
      </c>
      <c r="J663">
        <v>231</v>
      </c>
      <c r="K663" t="s">
        <v>124</v>
      </c>
      <c r="L663" s="5">
        <v>100</v>
      </c>
      <c r="M663" s="5">
        <v>408100</v>
      </c>
      <c r="N663" s="36">
        <f t="shared" si="13"/>
        <v>4081</v>
      </c>
      <c r="P663" s="5" t="s">
        <v>30</v>
      </c>
      <c r="Q663" s="5" t="s">
        <v>31</v>
      </c>
      <c r="R663" s="1">
        <v>46371</v>
      </c>
      <c r="S663" s="5" t="s">
        <v>32</v>
      </c>
      <c r="T663" s="2"/>
      <c r="U663" s="2"/>
    </row>
    <row r="664" spans="1:21" ht="15.75" x14ac:dyDescent="0.25">
      <c r="A664" t="s">
        <v>612</v>
      </c>
      <c r="B664" t="s">
        <v>445</v>
      </c>
      <c r="C664" t="s">
        <v>446</v>
      </c>
      <c r="D664" t="s">
        <v>677</v>
      </c>
      <c r="E664" t="s">
        <v>48</v>
      </c>
      <c r="F664" t="s">
        <v>25</v>
      </c>
      <c r="G664" t="s">
        <v>389</v>
      </c>
      <c r="H664" t="s">
        <v>27</v>
      </c>
      <c r="I664" t="s">
        <v>65</v>
      </c>
      <c r="J664">
        <v>232</v>
      </c>
      <c r="K664" t="s">
        <v>124</v>
      </c>
      <c r="L664" s="5">
        <v>40</v>
      </c>
      <c r="M664" s="5">
        <v>163240</v>
      </c>
      <c r="N664" s="36">
        <f t="shared" si="13"/>
        <v>4081</v>
      </c>
      <c r="P664" s="5" t="s">
        <v>30</v>
      </c>
      <c r="Q664" s="5" t="s">
        <v>31</v>
      </c>
      <c r="R664" s="1">
        <v>46371</v>
      </c>
      <c r="S664" s="5" t="s">
        <v>32</v>
      </c>
      <c r="T664" s="2"/>
      <c r="U664" s="2"/>
    </row>
    <row r="665" spans="1:21" ht="15.75" x14ac:dyDescent="0.25">
      <c r="A665" t="s">
        <v>612</v>
      </c>
      <c r="B665" t="s">
        <v>445</v>
      </c>
      <c r="C665" t="s">
        <v>446</v>
      </c>
      <c r="D665" t="s">
        <v>677</v>
      </c>
      <c r="E665" t="s">
        <v>48</v>
      </c>
      <c r="F665" t="s">
        <v>25</v>
      </c>
      <c r="G665" t="s">
        <v>439</v>
      </c>
      <c r="H665" t="s">
        <v>27</v>
      </c>
      <c r="I665" t="s">
        <v>65</v>
      </c>
      <c r="J665">
        <v>232</v>
      </c>
      <c r="K665" t="s">
        <v>124</v>
      </c>
      <c r="L665" s="5">
        <v>10</v>
      </c>
      <c r="M665" s="5">
        <v>40810</v>
      </c>
      <c r="N665" s="36">
        <f t="shared" si="13"/>
        <v>4081</v>
      </c>
      <c r="P665" s="5" t="s">
        <v>30</v>
      </c>
      <c r="Q665" s="5" t="s">
        <v>31</v>
      </c>
      <c r="R665" s="1">
        <v>46371</v>
      </c>
      <c r="S665" s="5" t="s">
        <v>32</v>
      </c>
      <c r="T665" s="2"/>
      <c r="U665" s="2"/>
    </row>
    <row r="666" spans="1:21" x14ac:dyDescent="0.25">
      <c r="A666" t="s">
        <v>612</v>
      </c>
      <c r="B666" t="s">
        <v>678</v>
      </c>
      <c r="C666" t="s">
        <v>679</v>
      </c>
      <c r="D666" t="s">
        <v>680</v>
      </c>
      <c r="E666" t="s">
        <v>637</v>
      </c>
      <c r="F666" t="s">
        <v>55</v>
      </c>
      <c r="G666" t="s">
        <v>466</v>
      </c>
      <c r="H666" t="s">
        <v>27</v>
      </c>
      <c r="I666" t="s">
        <v>28</v>
      </c>
      <c r="J666">
        <v>552</v>
      </c>
      <c r="K666" t="s">
        <v>124</v>
      </c>
      <c r="L666">
        <v>1</v>
      </c>
      <c r="M666" s="5">
        <v>11430</v>
      </c>
      <c r="N666" s="36">
        <f t="shared" si="13"/>
        <v>11430</v>
      </c>
      <c r="P666" s="5" t="s">
        <v>30</v>
      </c>
      <c r="Q666" s="5" t="s">
        <v>31</v>
      </c>
      <c r="R666" s="1">
        <v>46092</v>
      </c>
      <c r="S666" s="5" t="s">
        <v>32</v>
      </c>
    </row>
    <row r="667" spans="1:21" x14ac:dyDescent="0.25">
      <c r="A667" t="s">
        <v>612</v>
      </c>
      <c r="B667" t="s">
        <v>678</v>
      </c>
      <c r="C667" t="s">
        <v>679</v>
      </c>
      <c r="D667" t="s">
        <v>680</v>
      </c>
      <c r="E667" t="s">
        <v>637</v>
      </c>
      <c r="F667" t="s">
        <v>55</v>
      </c>
      <c r="G667" t="s">
        <v>429</v>
      </c>
      <c r="H667" t="s">
        <v>27</v>
      </c>
      <c r="I667" t="s">
        <v>28</v>
      </c>
      <c r="J667">
        <v>552</v>
      </c>
      <c r="K667" t="s">
        <v>124</v>
      </c>
      <c r="L667">
        <v>1</v>
      </c>
      <c r="M667" s="5">
        <v>9600</v>
      </c>
      <c r="N667" s="36">
        <f t="shared" si="13"/>
        <v>9600</v>
      </c>
      <c r="P667" s="5" t="s">
        <v>30</v>
      </c>
      <c r="Q667" s="5" t="s">
        <v>31</v>
      </c>
      <c r="R667" s="1">
        <v>46092</v>
      </c>
      <c r="S667" s="5" t="s">
        <v>32</v>
      </c>
    </row>
    <row r="668" spans="1:21" x14ac:dyDescent="0.25">
      <c r="A668" t="s">
        <v>612</v>
      </c>
      <c r="B668" t="s">
        <v>678</v>
      </c>
      <c r="C668" t="s">
        <v>679</v>
      </c>
      <c r="D668" t="s">
        <v>680</v>
      </c>
      <c r="E668" t="s">
        <v>637</v>
      </c>
      <c r="F668" t="s">
        <v>55</v>
      </c>
      <c r="G668" t="s">
        <v>310</v>
      </c>
      <c r="H668" t="s">
        <v>27</v>
      </c>
      <c r="I668" t="s">
        <v>28</v>
      </c>
      <c r="J668">
        <v>552</v>
      </c>
      <c r="K668" t="s">
        <v>124</v>
      </c>
      <c r="L668">
        <v>1</v>
      </c>
      <c r="M668" s="5">
        <v>7900</v>
      </c>
      <c r="N668" s="36">
        <f t="shared" si="13"/>
        <v>7900</v>
      </c>
      <c r="P668" s="5" t="s">
        <v>30</v>
      </c>
      <c r="Q668" s="5" t="s">
        <v>31</v>
      </c>
      <c r="R668" s="1">
        <v>46092</v>
      </c>
      <c r="S668" s="5" t="s">
        <v>32</v>
      </c>
    </row>
    <row r="669" spans="1:21" x14ac:dyDescent="0.25">
      <c r="A669" t="s">
        <v>612</v>
      </c>
      <c r="B669" t="s">
        <v>678</v>
      </c>
      <c r="C669" t="s">
        <v>679</v>
      </c>
      <c r="D669" t="s">
        <v>680</v>
      </c>
      <c r="E669" t="s">
        <v>637</v>
      </c>
      <c r="F669" t="s">
        <v>55</v>
      </c>
      <c r="G669" t="s">
        <v>438</v>
      </c>
      <c r="H669" t="s">
        <v>27</v>
      </c>
      <c r="I669" t="s">
        <v>28</v>
      </c>
      <c r="J669">
        <v>552</v>
      </c>
      <c r="K669" t="s">
        <v>124</v>
      </c>
      <c r="L669">
        <v>1</v>
      </c>
      <c r="M669" s="5">
        <v>11800</v>
      </c>
      <c r="N669" s="36">
        <f t="shared" si="13"/>
        <v>11800</v>
      </c>
      <c r="P669" s="5" t="s">
        <v>30</v>
      </c>
      <c r="Q669" s="5" t="s">
        <v>31</v>
      </c>
      <c r="R669" s="1">
        <v>46092</v>
      </c>
      <c r="S669" s="5" t="s">
        <v>32</v>
      </c>
    </row>
    <row r="670" spans="1:21" x14ac:dyDescent="0.25">
      <c r="A670" t="s">
        <v>612</v>
      </c>
      <c r="B670" t="s">
        <v>678</v>
      </c>
      <c r="C670" t="s">
        <v>679</v>
      </c>
      <c r="D670" t="s">
        <v>680</v>
      </c>
      <c r="E670" t="s">
        <v>637</v>
      </c>
      <c r="F670" t="s">
        <v>55</v>
      </c>
      <c r="G670" t="s">
        <v>276</v>
      </c>
      <c r="H670" t="s">
        <v>27</v>
      </c>
      <c r="I670" t="s">
        <v>28</v>
      </c>
      <c r="J670">
        <v>552</v>
      </c>
      <c r="K670" t="s">
        <v>277</v>
      </c>
      <c r="L670">
        <v>1</v>
      </c>
      <c r="M670" s="5">
        <v>38000</v>
      </c>
      <c r="N670" s="36">
        <f t="shared" si="13"/>
        <v>38000</v>
      </c>
      <c r="P670" s="5" t="s">
        <v>30</v>
      </c>
      <c r="Q670" s="5" t="s">
        <v>31</v>
      </c>
      <c r="R670" s="1">
        <v>46092</v>
      </c>
      <c r="S670" s="5" t="s">
        <v>32</v>
      </c>
    </row>
    <row r="671" spans="1:21" x14ac:dyDescent="0.25">
      <c r="A671" t="s">
        <v>612</v>
      </c>
      <c r="B671" t="s">
        <v>682</v>
      </c>
      <c r="C671" t="s">
        <v>683</v>
      </c>
      <c r="D671" t="s">
        <v>680</v>
      </c>
      <c r="E671" t="s">
        <v>681</v>
      </c>
      <c r="F671" t="s">
        <v>37</v>
      </c>
      <c r="G671" t="s">
        <v>684</v>
      </c>
      <c r="H671" t="s">
        <v>86</v>
      </c>
      <c r="I671" t="s">
        <v>28</v>
      </c>
      <c r="J671">
        <v>554</v>
      </c>
      <c r="K671" t="s">
        <v>7</v>
      </c>
      <c r="L671">
        <v>2</v>
      </c>
      <c r="M671" s="5">
        <v>0</v>
      </c>
      <c r="N671" s="36">
        <f t="shared" si="13"/>
        <v>0</v>
      </c>
      <c r="P671" s="5" t="s">
        <v>30</v>
      </c>
      <c r="Q671" s="5" t="s">
        <v>31</v>
      </c>
      <c r="R671" s="1">
        <v>46092</v>
      </c>
      <c r="S671" s="5" t="s">
        <v>32</v>
      </c>
    </row>
    <row r="672" spans="1:21" x14ac:dyDescent="0.25">
      <c r="A672" t="s">
        <v>612</v>
      </c>
      <c r="B672" t="s">
        <v>236</v>
      </c>
      <c r="C672" t="s">
        <v>237</v>
      </c>
      <c r="D672" t="s">
        <v>680</v>
      </c>
      <c r="E672" t="s">
        <v>637</v>
      </c>
      <c r="F672" t="s">
        <v>55</v>
      </c>
      <c r="G672" t="s">
        <v>641</v>
      </c>
      <c r="H672" t="s">
        <v>57</v>
      </c>
      <c r="I672" t="s">
        <v>65</v>
      </c>
      <c r="J672">
        <v>58</v>
      </c>
      <c r="K672" t="s">
        <v>277</v>
      </c>
      <c r="L672">
        <v>668</v>
      </c>
      <c r="M672" s="5">
        <v>11356000</v>
      </c>
      <c r="N672" s="36">
        <f t="shared" si="13"/>
        <v>17000</v>
      </c>
      <c r="P672" s="5" t="s">
        <v>30</v>
      </c>
      <c r="Q672" s="5" t="s">
        <v>31</v>
      </c>
      <c r="R672" s="1">
        <v>46276</v>
      </c>
      <c r="S672" s="5" t="s">
        <v>32</v>
      </c>
    </row>
    <row r="673" spans="1:19" x14ac:dyDescent="0.25">
      <c r="A673" t="s">
        <v>612</v>
      </c>
      <c r="B673" t="s">
        <v>375</v>
      </c>
      <c r="C673" t="s">
        <v>376</v>
      </c>
      <c r="D673" t="s">
        <v>685</v>
      </c>
      <c r="E673" s="38" t="s">
        <v>24</v>
      </c>
      <c r="F673" t="s">
        <v>55</v>
      </c>
      <c r="G673" t="s">
        <v>380</v>
      </c>
      <c r="H673" t="s">
        <v>57</v>
      </c>
      <c r="I673" t="s">
        <v>65</v>
      </c>
      <c r="J673">
        <v>234</v>
      </c>
      <c r="K673" t="s">
        <v>124</v>
      </c>
      <c r="L673">
        <v>200</v>
      </c>
      <c r="M673" s="5">
        <v>659779</v>
      </c>
      <c r="N673" s="36">
        <f t="shared" si="13"/>
        <v>3298.895</v>
      </c>
      <c r="P673" s="5" t="s">
        <v>30</v>
      </c>
      <c r="Q673" s="5" t="s">
        <v>31</v>
      </c>
      <c r="R673" s="1">
        <v>46153</v>
      </c>
      <c r="S673" s="5" t="s">
        <v>32</v>
      </c>
    </row>
    <row r="674" spans="1:19" x14ac:dyDescent="0.25">
      <c r="A674" t="s">
        <v>612</v>
      </c>
      <c r="B674" t="s">
        <v>404</v>
      </c>
      <c r="C674" t="s">
        <v>405</v>
      </c>
      <c r="D674" t="s">
        <v>685</v>
      </c>
      <c r="E674" t="s">
        <v>48</v>
      </c>
      <c r="F674" t="s">
        <v>59</v>
      </c>
      <c r="G674" t="s">
        <v>408</v>
      </c>
      <c r="H674" t="s">
        <v>27</v>
      </c>
      <c r="I674" t="s">
        <v>65</v>
      </c>
      <c r="J674">
        <v>235</v>
      </c>
      <c r="K674" t="s">
        <v>124</v>
      </c>
      <c r="L674">
        <v>40</v>
      </c>
      <c r="M674" s="5">
        <v>540000</v>
      </c>
      <c r="N674" s="36">
        <f t="shared" si="13"/>
        <v>13500</v>
      </c>
      <c r="P674" s="5" t="s">
        <v>30</v>
      </c>
      <c r="Q674" s="5" t="s">
        <v>31</v>
      </c>
      <c r="R674" s="1">
        <v>46295</v>
      </c>
      <c r="S674" s="5" t="s">
        <v>32</v>
      </c>
    </row>
    <row r="675" spans="1:19" x14ac:dyDescent="0.25">
      <c r="A675" t="s">
        <v>612</v>
      </c>
      <c r="B675" t="s">
        <v>404</v>
      </c>
      <c r="C675" t="s">
        <v>405</v>
      </c>
      <c r="D675" t="s">
        <v>685</v>
      </c>
      <c r="E675" t="s">
        <v>48</v>
      </c>
      <c r="F675" t="s">
        <v>59</v>
      </c>
      <c r="G675" t="s">
        <v>409</v>
      </c>
      <c r="H675" t="s">
        <v>27</v>
      </c>
      <c r="I675" t="s">
        <v>65</v>
      </c>
      <c r="J675">
        <v>235</v>
      </c>
      <c r="K675" t="s">
        <v>124</v>
      </c>
      <c r="L675">
        <v>15</v>
      </c>
      <c r="M675" s="5">
        <v>202500</v>
      </c>
      <c r="N675" s="36">
        <f t="shared" si="13"/>
        <v>13500</v>
      </c>
      <c r="P675" s="5" t="s">
        <v>30</v>
      </c>
      <c r="Q675" s="5" t="s">
        <v>31</v>
      </c>
      <c r="R675" s="1">
        <v>46295</v>
      </c>
      <c r="S675" s="5" t="s">
        <v>32</v>
      </c>
    </row>
    <row r="676" spans="1:19" x14ac:dyDescent="0.25">
      <c r="A676" t="s">
        <v>612</v>
      </c>
      <c r="B676" t="s">
        <v>404</v>
      </c>
      <c r="C676" t="s">
        <v>405</v>
      </c>
      <c r="D676" t="s">
        <v>685</v>
      </c>
      <c r="E676" t="s">
        <v>48</v>
      </c>
      <c r="F676" t="s">
        <v>59</v>
      </c>
      <c r="G676" t="s">
        <v>258</v>
      </c>
      <c r="H676" t="s">
        <v>27</v>
      </c>
      <c r="I676" t="s">
        <v>65</v>
      </c>
      <c r="J676">
        <v>235</v>
      </c>
      <c r="K676" t="s">
        <v>124</v>
      </c>
      <c r="L676">
        <v>20</v>
      </c>
      <c r="M676" s="5">
        <v>162000</v>
      </c>
      <c r="N676" s="36">
        <f t="shared" si="13"/>
        <v>8100</v>
      </c>
      <c r="P676" s="5" t="s">
        <v>30</v>
      </c>
      <c r="Q676" s="5" t="s">
        <v>31</v>
      </c>
      <c r="R676" s="1">
        <v>46295</v>
      </c>
      <c r="S676" s="5" t="s">
        <v>32</v>
      </c>
    </row>
    <row r="677" spans="1:19" x14ac:dyDescent="0.25">
      <c r="A677" t="s">
        <v>612</v>
      </c>
      <c r="B677" t="s">
        <v>404</v>
      </c>
      <c r="C677" t="s">
        <v>405</v>
      </c>
      <c r="D677" t="s">
        <v>685</v>
      </c>
      <c r="E677" t="s">
        <v>48</v>
      </c>
      <c r="F677" t="s">
        <v>59</v>
      </c>
      <c r="G677" t="s">
        <v>259</v>
      </c>
      <c r="H677" t="s">
        <v>27</v>
      </c>
      <c r="I677" t="s">
        <v>65</v>
      </c>
      <c r="J677">
        <v>235</v>
      </c>
      <c r="K677" t="s">
        <v>124</v>
      </c>
      <c r="L677">
        <v>15</v>
      </c>
      <c r="M677" s="5">
        <v>121500</v>
      </c>
      <c r="N677" s="36">
        <f t="shared" si="13"/>
        <v>8100</v>
      </c>
      <c r="P677" s="5" t="s">
        <v>30</v>
      </c>
      <c r="Q677" s="5" t="s">
        <v>31</v>
      </c>
      <c r="R677" s="1">
        <v>46295</v>
      </c>
      <c r="S677" s="5" t="s">
        <v>32</v>
      </c>
    </row>
    <row r="678" spans="1:19" x14ac:dyDescent="0.25">
      <c r="A678" t="s">
        <v>612</v>
      </c>
      <c r="B678" t="s">
        <v>404</v>
      </c>
      <c r="C678" t="s">
        <v>405</v>
      </c>
      <c r="D678" t="s">
        <v>685</v>
      </c>
      <c r="E678" t="s">
        <v>48</v>
      </c>
      <c r="F678" t="s">
        <v>59</v>
      </c>
      <c r="G678" t="s">
        <v>454</v>
      </c>
      <c r="H678" t="s">
        <v>27</v>
      </c>
      <c r="I678" t="s">
        <v>65</v>
      </c>
      <c r="J678">
        <v>235</v>
      </c>
      <c r="K678" t="s">
        <v>124</v>
      </c>
      <c r="L678">
        <v>1</v>
      </c>
      <c r="M678" s="5">
        <v>8100</v>
      </c>
      <c r="N678" s="36">
        <f t="shared" si="13"/>
        <v>8100</v>
      </c>
      <c r="P678" s="5" t="s">
        <v>30</v>
      </c>
      <c r="Q678" s="5" t="s">
        <v>31</v>
      </c>
      <c r="R678" s="1">
        <v>46295</v>
      </c>
      <c r="S678" s="5" t="s">
        <v>32</v>
      </c>
    </row>
    <row r="679" spans="1:19" x14ac:dyDescent="0.25">
      <c r="A679" t="s">
        <v>612</v>
      </c>
      <c r="B679" t="s">
        <v>404</v>
      </c>
      <c r="C679" t="s">
        <v>405</v>
      </c>
      <c r="D679" t="s">
        <v>685</v>
      </c>
      <c r="E679" t="s">
        <v>48</v>
      </c>
      <c r="F679" t="s">
        <v>59</v>
      </c>
      <c r="G679" t="s">
        <v>322</v>
      </c>
      <c r="H679" t="s">
        <v>27</v>
      </c>
      <c r="I679" t="s">
        <v>65</v>
      </c>
      <c r="J679">
        <v>235</v>
      </c>
      <c r="K679" t="s">
        <v>124</v>
      </c>
      <c r="L679">
        <v>80</v>
      </c>
      <c r="M679" s="5">
        <v>720000</v>
      </c>
      <c r="N679" s="36">
        <f t="shared" si="13"/>
        <v>9000</v>
      </c>
      <c r="P679" s="5" t="s">
        <v>30</v>
      </c>
      <c r="Q679" s="5" t="s">
        <v>31</v>
      </c>
      <c r="R679" s="1">
        <v>46295</v>
      </c>
      <c r="S679" s="5" t="s">
        <v>32</v>
      </c>
    </row>
    <row r="680" spans="1:19" x14ac:dyDescent="0.25">
      <c r="A680" t="s">
        <v>612</v>
      </c>
      <c r="B680" t="s">
        <v>404</v>
      </c>
      <c r="C680" t="s">
        <v>405</v>
      </c>
      <c r="D680" t="s">
        <v>685</v>
      </c>
      <c r="E680" t="s">
        <v>48</v>
      </c>
      <c r="F680" t="s">
        <v>59</v>
      </c>
      <c r="G680" t="s">
        <v>283</v>
      </c>
      <c r="H680" t="s">
        <v>27</v>
      </c>
      <c r="I680" t="s">
        <v>65</v>
      </c>
      <c r="J680">
        <v>235</v>
      </c>
      <c r="K680" t="s">
        <v>124</v>
      </c>
      <c r="L680">
        <v>10</v>
      </c>
      <c r="M680" s="5">
        <v>90000</v>
      </c>
      <c r="N680" s="36">
        <f t="shared" si="13"/>
        <v>9000</v>
      </c>
      <c r="P680" s="5" t="s">
        <v>30</v>
      </c>
      <c r="Q680" s="5" t="s">
        <v>31</v>
      </c>
      <c r="R680" s="1">
        <v>46295</v>
      </c>
      <c r="S680" s="5" t="s">
        <v>32</v>
      </c>
    </row>
    <row r="681" spans="1:19" x14ac:dyDescent="0.25">
      <c r="A681" t="s">
        <v>612</v>
      </c>
      <c r="B681" t="s">
        <v>447</v>
      </c>
      <c r="C681" t="s">
        <v>448</v>
      </c>
      <c r="D681" t="s">
        <v>686</v>
      </c>
      <c r="E681" t="s">
        <v>48</v>
      </c>
      <c r="F681" t="s">
        <v>25</v>
      </c>
      <c r="G681" t="s">
        <v>245</v>
      </c>
      <c r="H681" t="s">
        <v>27</v>
      </c>
      <c r="I681" t="s">
        <v>28</v>
      </c>
      <c r="J681">
        <v>555</v>
      </c>
      <c r="K681" t="s">
        <v>124</v>
      </c>
      <c r="L681">
        <v>40</v>
      </c>
      <c r="M681" s="5">
        <v>300000</v>
      </c>
      <c r="N681" s="36">
        <f t="shared" si="13"/>
        <v>7500</v>
      </c>
      <c r="P681" s="5" t="s">
        <v>30</v>
      </c>
      <c r="Q681" s="5" t="s">
        <v>31</v>
      </c>
      <c r="R681" s="1">
        <v>46094</v>
      </c>
      <c r="S681" s="5" t="s">
        <v>32</v>
      </c>
    </row>
    <row r="682" spans="1:19" x14ac:dyDescent="0.25">
      <c r="A682" t="s">
        <v>612</v>
      </c>
      <c r="B682" t="s">
        <v>687</v>
      </c>
      <c r="C682" t="s">
        <v>688</v>
      </c>
      <c r="D682" t="s">
        <v>686</v>
      </c>
      <c r="E682" t="s">
        <v>36</v>
      </c>
      <c r="F682" t="s">
        <v>55</v>
      </c>
      <c r="G682" t="s">
        <v>689</v>
      </c>
      <c r="H682" t="s">
        <v>27</v>
      </c>
      <c r="I682" t="s">
        <v>65</v>
      </c>
      <c r="J682">
        <v>54</v>
      </c>
      <c r="K682" t="s">
        <v>124</v>
      </c>
      <c r="L682">
        <v>80</v>
      </c>
      <c r="M682" s="5">
        <v>1014000</v>
      </c>
      <c r="N682" s="36">
        <f t="shared" si="13"/>
        <v>12675</v>
      </c>
      <c r="P682" s="5" t="s">
        <v>30</v>
      </c>
      <c r="Q682" s="5" t="s">
        <v>31</v>
      </c>
      <c r="R682" s="1">
        <v>46094</v>
      </c>
      <c r="S682" s="5" t="s">
        <v>32</v>
      </c>
    </row>
    <row r="683" spans="1:19" x14ac:dyDescent="0.25">
      <c r="A683" t="s">
        <v>612</v>
      </c>
      <c r="B683" t="s">
        <v>687</v>
      </c>
      <c r="C683" t="s">
        <v>688</v>
      </c>
      <c r="D683" t="s">
        <v>686</v>
      </c>
      <c r="E683" t="s">
        <v>36</v>
      </c>
      <c r="F683" t="s">
        <v>55</v>
      </c>
      <c r="G683" t="s">
        <v>690</v>
      </c>
      <c r="H683" t="s">
        <v>27</v>
      </c>
      <c r="I683" t="s">
        <v>65</v>
      </c>
      <c r="J683">
        <v>54</v>
      </c>
      <c r="K683" t="s">
        <v>124</v>
      </c>
      <c r="L683">
        <v>100</v>
      </c>
      <c r="M683" s="5">
        <v>1417500</v>
      </c>
      <c r="N683" s="36">
        <f t="shared" si="13"/>
        <v>14175</v>
      </c>
      <c r="P683" s="5" t="s">
        <v>30</v>
      </c>
      <c r="Q683" s="5" t="s">
        <v>31</v>
      </c>
      <c r="R683" s="1">
        <v>46094</v>
      </c>
      <c r="S683" s="5" t="s">
        <v>32</v>
      </c>
    </row>
    <row r="684" spans="1:19" x14ac:dyDescent="0.25">
      <c r="A684" t="s">
        <v>612</v>
      </c>
      <c r="B684" t="s">
        <v>687</v>
      </c>
      <c r="C684" t="s">
        <v>688</v>
      </c>
      <c r="D684" t="s">
        <v>686</v>
      </c>
      <c r="E684" t="s">
        <v>36</v>
      </c>
      <c r="F684" t="s">
        <v>55</v>
      </c>
      <c r="G684" t="s">
        <v>691</v>
      </c>
      <c r="H684" t="s">
        <v>27</v>
      </c>
      <c r="I684" t="s">
        <v>65</v>
      </c>
      <c r="J684">
        <v>54</v>
      </c>
      <c r="K684" t="s">
        <v>124</v>
      </c>
      <c r="L684">
        <v>20</v>
      </c>
      <c r="M684" s="5">
        <v>328500</v>
      </c>
      <c r="N684" s="36">
        <f t="shared" si="13"/>
        <v>16425</v>
      </c>
      <c r="P684" s="5" t="s">
        <v>30</v>
      </c>
      <c r="Q684" s="5" t="s">
        <v>31</v>
      </c>
      <c r="R684" s="1">
        <v>46094</v>
      </c>
      <c r="S684" s="5" t="s">
        <v>32</v>
      </c>
    </row>
    <row r="685" spans="1:19" x14ac:dyDescent="0.25">
      <c r="A685" t="s">
        <v>612</v>
      </c>
      <c r="B685" t="s">
        <v>62</v>
      </c>
      <c r="C685" t="s">
        <v>63</v>
      </c>
      <c r="D685" t="s">
        <v>686</v>
      </c>
      <c r="E685" t="s">
        <v>48</v>
      </c>
      <c r="F685" t="s">
        <v>25</v>
      </c>
      <c r="G685" t="s">
        <v>389</v>
      </c>
      <c r="H685" t="s">
        <v>27</v>
      </c>
      <c r="I685" t="s">
        <v>65</v>
      </c>
      <c r="J685">
        <v>236</v>
      </c>
      <c r="K685" t="s">
        <v>124</v>
      </c>
      <c r="L685">
        <v>80</v>
      </c>
      <c r="M685" s="5">
        <v>480000</v>
      </c>
      <c r="N685" s="36">
        <f t="shared" ref="N685:N689" si="14">M685/L685</f>
        <v>6000</v>
      </c>
      <c r="P685" s="5" t="s">
        <v>30</v>
      </c>
      <c r="Q685" s="5" t="s">
        <v>31</v>
      </c>
      <c r="R685" s="1">
        <v>46173</v>
      </c>
      <c r="S685" s="5" t="s">
        <v>32</v>
      </c>
    </row>
    <row r="686" spans="1:19" x14ac:dyDescent="0.25">
      <c r="A686" t="s">
        <v>612</v>
      </c>
      <c r="B686" t="s">
        <v>152</v>
      </c>
      <c r="C686" t="s">
        <v>153</v>
      </c>
      <c r="D686" t="s">
        <v>686</v>
      </c>
      <c r="E686" t="s">
        <v>41</v>
      </c>
      <c r="F686" t="s">
        <v>37</v>
      </c>
      <c r="G686" t="s">
        <v>389</v>
      </c>
      <c r="H686" t="s">
        <v>27</v>
      </c>
      <c r="I686" t="s">
        <v>65</v>
      </c>
      <c r="J686">
        <v>237</v>
      </c>
      <c r="K686" t="s">
        <v>124</v>
      </c>
      <c r="L686">
        <v>20</v>
      </c>
      <c r="M686" s="5">
        <v>83000</v>
      </c>
      <c r="N686" s="36">
        <f t="shared" si="14"/>
        <v>4150</v>
      </c>
      <c r="P686" s="5" t="s">
        <v>30</v>
      </c>
      <c r="Q686" s="5" t="s">
        <v>31</v>
      </c>
      <c r="R686" s="1">
        <v>46155</v>
      </c>
      <c r="S686" s="5" t="s">
        <v>32</v>
      </c>
    </row>
    <row r="687" spans="1:19" x14ac:dyDescent="0.25">
      <c r="A687" t="s">
        <v>612</v>
      </c>
      <c r="B687" t="s">
        <v>152</v>
      </c>
      <c r="C687" t="s">
        <v>153</v>
      </c>
      <c r="D687" t="s">
        <v>686</v>
      </c>
      <c r="E687" t="s">
        <v>41</v>
      </c>
      <c r="F687" t="s">
        <v>37</v>
      </c>
      <c r="G687" t="s">
        <v>692</v>
      </c>
      <c r="H687" t="s">
        <v>27</v>
      </c>
      <c r="I687" t="s">
        <v>65</v>
      </c>
      <c r="J687">
        <v>237</v>
      </c>
      <c r="K687" t="s">
        <v>124</v>
      </c>
      <c r="L687">
        <v>40</v>
      </c>
      <c r="M687" s="5">
        <v>680000</v>
      </c>
      <c r="N687" s="36">
        <f t="shared" si="14"/>
        <v>17000</v>
      </c>
      <c r="P687" s="5" t="s">
        <v>30</v>
      </c>
      <c r="Q687" s="5" t="s">
        <v>31</v>
      </c>
      <c r="R687" s="1">
        <v>46155</v>
      </c>
      <c r="S687" s="5" t="s">
        <v>32</v>
      </c>
    </row>
    <row r="688" spans="1:19" x14ac:dyDescent="0.25">
      <c r="A688" t="s">
        <v>612</v>
      </c>
      <c r="B688" t="s">
        <v>693</v>
      </c>
      <c r="C688" t="s">
        <v>694</v>
      </c>
      <c r="D688" t="s">
        <v>686</v>
      </c>
      <c r="E688" t="s">
        <v>238</v>
      </c>
      <c r="F688" t="s">
        <v>55</v>
      </c>
      <c r="G688" t="s">
        <v>243</v>
      </c>
      <c r="H688" t="s">
        <v>27</v>
      </c>
      <c r="I688" t="s">
        <v>28</v>
      </c>
      <c r="J688">
        <v>556</v>
      </c>
      <c r="K688" t="s">
        <v>124</v>
      </c>
      <c r="L688">
        <v>240</v>
      </c>
      <c r="M688" s="5">
        <v>2140800</v>
      </c>
      <c r="N688" s="36">
        <f t="shared" si="14"/>
        <v>8920</v>
      </c>
      <c r="P688" s="5" t="s">
        <v>30</v>
      </c>
      <c r="Q688" s="5" t="s">
        <v>31</v>
      </c>
      <c r="R688" s="1">
        <v>46094</v>
      </c>
      <c r="S688" s="5" t="s">
        <v>32</v>
      </c>
    </row>
    <row r="689" spans="1:21" x14ac:dyDescent="0.25">
      <c r="A689" t="s">
        <v>612</v>
      </c>
      <c r="B689" t="s">
        <v>693</v>
      </c>
      <c r="C689" t="s">
        <v>694</v>
      </c>
      <c r="D689" t="s">
        <v>686</v>
      </c>
      <c r="E689" t="s">
        <v>238</v>
      </c>
      <c r="F689" t="s">
        <v>55</v>
      </c>
      <c r="G689" t="s">
        <v>290</v>
      </c>
      <c r="H689" t="s">
        <v>27</v>
      </c>
      <c r="I689" t="s">
        <v>28</v>
      </c>
      <c r="J689">
        <v>556</v>
      </c>
      <c r="K689" t="s">
        <v>124</v>
      </c>
      <c r="L689">
        <v>20</v>
      </c>
      <c r="M689" s="5">
        <v>118000</v>
      </c>
      <c r="N689" s="36">
        <f t="shared" si="14"/>
        <v>5900</v>
      </c>
      <c r="P689" s="5" t="s">
        <v>30</v>
      </c>
      <c r="Q689" s="5" t="s">
        <v>31</v>
      </c>
      <c r="R689" s="1">
        <v>46094</v>
      </c>
      <c r="S689" s="5" t="s">
        <v>32</v>
      </c>
    </row>
    <row r="690" spans="1:21" ht="15.75" x14ac:dyDescent="0.25">
      <c r="A690" s="2" t="s">
        <v>612</v>
      </c>
      <c r="B690" s="2" t="s">
        <v>695</v>
      </c>
      <c r="C690" s="2" t="s">
        <v>696</v>
      </c>
      <c r="D690" s="2" t="s">
        <v>697</v>
      </c>
      <c r="E690" s="38" t="s">
        <v>24</v>
      </c>
      <c r="F690" s="2" t="s">
        <v>90</v>
      </c>
      <c r="G690" s="2" t="s">
        <v>464</v>
      </c>
      <c r="H690" s="2" t="s">
        <v>57</v>
      </c>
      <c r="I690" s="2" t="s">
        <v>28</v>
      </c>
      <c r="J690" s="2">
        <v>557</v>
      </c>
      <c r="K690" s="2" t="s">
        <v>124</v>
      </c>
      <c r="L690" s="2">
        <v>36</v>
      </c>
      <c r="M690" s="27">
        <v>0</v>
      </c>
      <c r="N690" s="44">
        <f t="shared" ref="N690:N754" si="15">M690/L690</f>
        <v>0</v>
      </c>
      <c r="O690" s="2"/>
      <c r="P690" s="27" t="s">
        <v>30</v>
      </c>
      <c r="Q690" s="27" t="s">
        <v>31</v>
      </c>
      <c r="R690" s="3">
        <v>46111</v>
      </c>
      <c r="S690" s="27" t="s">
        <v>32</v>
      </c>
      <c r="T690" s="2" t="s">
        <v>698</v>
      </c>
      <c r="U690" s="3">
        <v>45982</v>
      </c>
    </row>
    <row r="691" spans="1:21" ht="15.75" x14ac:dyDescent="0.25">
      <c r="A691" s="2" t="s">
        <v>612</v>
      </c>
      <c r="B691" s="2" t="s">
        <v>695</v>
      </c>
      <c r="C691" s="2" t="s">
        <v>696</v>
      </c>
      <c r="D691" s="2" t="s">
        <v>697</v>
      </c>
      <c r="E691" s="38" t="s">
        <v>24</v>
      </c>
      <c r="F691" s="2" t="s">
        <v>90</v>
      </c>
      <c r="G691" s="2" t="s">
        <v>288</v>
      </c>
      <c r="H691" s="2" t="s">
        <v>57</v>
      </c>
      <c r="I691" s="2" t="s">
        <v>28</v>
      </c>
      <c r="J691" s="2">
        <v>558</v>
      </c>
      <c r="K691" s="2" t="s">
        <v>124</v>
      </c>
      <c r="L691" s="2">
        <v>24</v>
      </c>
      <c r="M691" s="27">
        <v>0</v>
      </c>
      <c r="N691" s="44">
        <f t="shared" si="15"/>
        <v>0</v>
      </c>
      <c r="O691" s="2"/>
      <c r="P691" s="27" t="s">
        <v>30</v>
      </c>
      <c r="Q691" s="27" t="s">
        <v>31</v>
      </c>
      <c r="R691" s="3">
        <v>46111</v>
      </c>
      <c r="S691" s="27" t="s">
        <v>32</v>
      </c>
      <c r="T691" s="27" t="s">
        <v>699</v>
      </c>
      <c r="U691" s="3">
        <v>45940</v>
      </c>
    </row>
    <row r="692" spans="1:21" ht="15.75" x14ac:dyDescent="0.25">
      <c r="A692" s="2" t="s">
        <v>612</v>
      </c>
      <c r="B692" s="2" t="s">
        <v>695</v>
      </c>
      <c r="C692" s="2" t="s">
        <v>696</v>
      </c>
      <c r="D692" s="2" t="s">
        <v>697</v>
      </c>
      <c r="E692" s="38" t="s">
        <v>24</v>
      </c>
      <c r="F692" s="2" t="s">
        <v>90</v>
      </c>
      <c r="G692" s="2" t="s">
        <v>464</v>
      </c>
      <c r="H692" s="2" t="s">
        <v>57</v>
      </c>
      <c r="I692" s="2" t="s">
        <v>28</v>
      </c>
      <c r="J692" s="2">
        <v>559</v>
      </c>
      <c r="K692" s="2" t="s">
        <v>124</v>
      </c>
      <c r="L692" s="2">
        <v>36</v>
      </c>
      <c r="M692" s="27">
        <v>0</v>
      </c>
      <c r="N692" s="44">
        <f t="shared" si="15"/>
        <v>0</v>
      </c>
      <c r="O692" s="2"/>
      <c r="P692" s="27" t="s">
        <v>30</v>
      </c>
      <c r="Q692" s="27" t="s">
        <v>31</v>
      </c>
      <c r="R692" s="3">
        <v>46111</v>
      </c>
      <c r="S692" s="27" t="s">
        <v>32</v>
      </c>
      <c r="T692" s="27" t="s">
        <v>700</v>
      </c>
      <c r="U692" s="3">
        <v>45930</v>
      </c>
    </row>
    <row r="693" spans="1:21" ht="15.75" x14ac:dyDescent="0.25">
      <c r="A693" s="2" t="s">
        <v>612</v>
      </c>
      <c r="B693" s="2" t="s">
        <v>701</v>
      </c>
      <c r="C693" s="2" t="s">
        <v>702</v>
      </c>
      <c r="D693" s="2" t="s">
        <v>697</v>
      </c>
      <c r="E693" s="2" t="s">
        <v>512</v>
      </c>
      <c r="F693" s="2" t="s">
        <v>218</v>
      </c>
      <c r="G693" s="2" t="s">
        <v>703</v>
      </c>
      <c r="H693" s="2" t="s">
        <v>86</v>
      </c>
      <c r="I693" s="2" t="s">
        <v>28</v>
      </c>
      <c r="J693" s="2">
        <v>560</v>
      </c>
      <c r="K693" s="2" t="s">
        <v>7</v>
      </c>
      <c r="L693" s="2">
        <v>2</v>
      </c>
      <c r="M693" s="27">
        <v>0</v>
      </c>
      <c r="N693" s="44">
        <f t="shared" si="15"/>
        <v>0</v>
      </c>
      <c r="O693" s="2"/>
      <c r="P693" s="27" t="s">
        <v>30</v>
      </c>
      <c r="Q693" s="27" t="s">
        <v>31</v>
      </c>
      <c r="R693" s="3">
        <v>46097</v>
      </c>
      <c r="S693" s="27" t="s">
        <v>32</v>
      </c>
      <c r="T693" s="2"/>
      <c r="U693" s="2"/>
    </row>
    <row r="694" spans="1:21" ht="15.75" x14ac:dyDescent="0.25">
      <c r="A694" s="2" t="s">
        <v>612</v>
      </c>
      <c r="B694" s="2" t="s">
        <v>701</v>
      </c>
      <c r="C694" s="2" t="s">
        <v>702</v>
      </c>
      <c r="D694" s="2" t="s">
        <v>697</v>
      </c>
      <c r="E694" s="2" t="s">
        <v>512</v>
      </c>
      <c r="F694" s="2" t="s">
        <v>218</v>
      </c>
      <c r="G694" s="2" t="s">
        <v>704</v>
      </c>
      <c r="H694" s="2" t="s">
        <v>86</v>
      </c>
      <c r="I694" s="2" t="s">
        <v>28</v>
      </c>
      <c r="J694" s="2">
        <v>560</v>
      </c>
      <c r="K694" s="2" t="s">
        <v>7</v>
      </c>
      <c r="L694" s="2">
        <v>2</v>
      </c>
      <c r="M694" s="27">
        <v>0</v>
      </c>
      <c r="N694" s="44">
        <f t="shared" si="15"/>
        <v>0</v>
      </c>
      <c r="O694" s="2"/>
      <c r="P694" s="27" t="s">
        <v>30</v>
      </c>
      <c r="Q694" s="27" t="s">
        <v>31</v>
      </c>
      <c r="R694" s="3">
        <v>46097</v>
      </c>
      <c r="S694" s="27" t="s">
        <v>32</v>
      </c>
      <c r="T694" s="2"/>
      <c r="U694" s="2"/>
    </row>
    <row r="695" spans="1:21" ht="15.75" x14ac:dyDescent="0.25">
      <c r="A695" s="2" t="s">
        <v>612</v>
      </c>
      <c r="B695" s="2" t="s">
        <v>701</v>
      </c>
      <c r="C695" s="2" t="s">
        <v>702</v>
      </c>
      <c r="D695" s="2" t="s">
        <v>697</v>
      </c>
      <c r="E695" s="2" t="s">
        <v>512</v>
      </c>
      <c r="F695" s="2" t="s">
        <v>218</v>
      </c>
      <c r="G695" s="2" t="s">
        <v>705</v>
      </c>
      <c r="H695" s="2" t="s">
        <v>86</v>
      </c>
      <c r="I695" s="2" t="s">
        <v>28</v>
      </c>
      <c r="J695" s="2">
        <v>560</v>
      </c>
      <c r="K695" s="2" t="s">
        <v>7</v>
      </c>
      <c r="L695" s="2">
        <v>2</v>
      </c>
      <c r="M695" s="27">
        <v>0</v>
      </c>
      <c r="N695" s="44">
        <f t="shared" si="15"/>
        <v>0</v>
      </c>
      <c r="O695" s="2"/>
      <c r="P695" s="27" t="s">
        <v>30</v>
      </c>
      <c r="Q695" s="27" t="s">
        <v>31</v>
      </c>
      <c r="R695" s="3">
        <v>46097</v>
      </c>
      <c r="S695" s="27" t="s">
        <v>32</v>
      </c>
      <c r="T695" s="2"/>
      <c r="U695" s="2"/>
    </row>
    <row r="696" spans="1:21" ht="15.75" x14ac:dyDescent="0.25">
      <c r="A696" s="2" t="s">
        <v>612</v>
      </c>
      <c r="B696" s="2" t="s">
        <v>701</v>
      </c>
      <c r="C696" s="2" t="s">
        <v>702</v>
      </c>
      <c r="D696" s="2" t="s">
        <v>697</v>
      </c>
      <c r="E696" s="2" t="s">
        <v>512</v>
      </c>
      <c r="F696" s="2" t="s">
        <v>218</v>
      </c>
      <c r="G696" s="2" t="s">
        <v>706</v>
      </c>
      <c r="H696" s="2" t="s">
        <v>86</v>
      </c>
      <c r="I696" s="2" t="s">
        <v>28</v>
      </c>
      <c r="J696" s="2">
        <v>560</v>
      </c>
      <c r="K696" s="2" t="s">
        <v>7</v>
      </c>
      <c r="L696" s="2">
        <v>1</v>
      </c>
      <c r="M696" s="27">
        <v>0</v>
      </c>
      <c r="N696" s="44">
        <f t="shared" si="15"/>
        <v>0</v>
      </c>
      <c r="O696" s="2"/>
      <c r="P696" s="27" t="s">
        <v>30</v>
      </c>
      <c r="Q696" s="27" t="s">
        <v>31</v>
      </c>
      <c r="R696" s="3">
        <v>46097</v>
      </c>
      <c r="S696" s="27" t="s">
        <v>32</v>
      </c>
      <c r="T696" s="2"/>
      <c r="U696" s="2"/>
    </row>
    <row r="697" spans="1:21" ht="15.75" x14ac:dyDescent="0.25">
      <c r="A697" s="2" t="s">
        <v>612</v>
      </c>
      <c r="B697" s="2" t="s">
        <v>432</v>
      </c>
      <c r="C697" s="2" t="s">
        <v>433</v>
      </c>
      <c r="D697" s="2" t="s">
        <v>707</v>
      </c>
      <c r="E697" s="2" t="s">
        <v>48</v>
      </c>
      <c r="F697" s="2" t="s">
        <v>59</v>
      </c>
      <c r="G697" s="2" t="s">
        <v>245</v>
      </c>
      <c r="H697" s="2" t="s">
        <v>57</v>
      </c>
      <c r="I697" s="2" t="s">
        <v>28</v>
      </c>
      <c r="J697" s="2">
        <v>561</v>
      </c>
      <c r="K697" s="2" t="s">
        <v>124</v>
      </c>
      <c r="L697" s="2">
        <v>20</v>
      </c>
      <c r="M697" s="27">
        <v>0</v>
      </c>
      <c r="N697" s="44">
        <f t="shared" si="15"/>
        <v>0</v>
      </c>
      <c r="O697" s="2"/>
      <c r="P697" s="27" t="s">
        <v>30</v>
      </c>
      <c r="Q697" s="27" t="s">
        <v>31</v>
      </c>
      <c r="R697" s="3">
        <v>46108</v>
      </c>
      <c r="S697" s="27" t="s">
        <v>32</v>
      </c>
      <c r="T697" s="2" t="s">
        <v>708</v>
      </c>
      <c r="U697" s="3">
        <v>46048</v>
      </c>
    </row>
    <row r="698" spans="1:21" ht="15.75" x14ac:dyDescent="0.25">
      <c r="A698" s="2" t="s">
        <v>612</v>
      </c>
      <c r="B698" s="2" t="s">
        <v>52</v>
      </c>
      <c r="C698" s="2" t="s">
        <v>53</v>
      </c>
      <c r="D698" s="2" t="s">
        <v>707</v>
      </c>
      <c r="E698" s="2" t="s">
        <v>48</v>
      </c>
      <c r="F698" s="2" t="s">
        <v>59</v>
      </c>
      <c r="G698" s="2" t="s">
        <v>198</v>
      </c>
      <c r="H698" s="2" t="s">
        <v>27</v>
      </c>
      <c r="I698" s="2" t="s">
        <v>28</v>
      </c>
      <c r="J698" s="2">
        <v>562</v>
      </c>
      <c r="K698" s="2" t="s">
        <v>277</v>
      </c>
      <c r="L698" s="2">
        <v>20</v>
      </c>
      <c r="M698" s="27">
        <v>700000</v>
      </c>
      <c r="N698" s="44">
        <f t="shared" si="15"/>
        <v>35000</v>
      </c>
      <c r="O698" s="2"/>
      <c r="P698" s="27" t="s">
        <v>30</v>
      </c>
      <c r="Q698" s="27" t="s">
        <v>31</v>
      </c>
      <c r="R698" s="3">
        <v>46188</v>
      </c>
      <c r="S698" s="27" t="s">
        <v>32</v>
      </c>
      <c r="T698" s="2"/>
      <c r="U698" s="2"/>
    </row>
    <row r="699" spans="1:21" ht="15.75" x14ac:dyDescent="0.25">
      <c r="A699" s="2" t="s">
        <v>612</v>
      </c>
      <c r="B699" s="2" t="s">
        <v>418</v>
      </c>
      <c r="C699" s="2" t="s">
        <v>419</v>
      </c>
      <c r="D699" s="2" t="s">
        <v>707</v>
      </c>
      <c r="E699" s="2" t="s">
        <v>36</v>
      </c>
      <c r="F699" s="2" t="s">
        <v>49</v>
      </c>
      <c r="G699" s="2" t="s">
        <v>420</v>
      </c>
      <c r="H699" s="2" t="s">
        <v>57</v>
      </c>
      <c r="I699" s="2" t="s">
        <v>28</v>
      </c>
      <c r="J699" s="2">
        <v>563</v>
      </c>
      <c r="K699" s="2" t="s">
        <v>277</v>
      </c>
      <c r="L699" s="2">
        <v>1</v>
      </c>
      <c r="M699" s="27">
        <v>0</v>
      </c>
      <c r="N699" s="44">
        <f t="shared" si="15"/>
        <v>0</v>
      </c>
      <c r="O699" s="2"/>
      <c r="P699" s="27" t="s">
        <v>30</v>
      </c>
      <c r="Q699" s="27" t="s">
        <v>31</v>
      </c>
      <c r="R699" s="3">
        <v>46098</v>
      </c>
      <c r="S699" s="27" t="s">
        <v>32</v>
      </c>
      <c r="T699" s="2"/>
      <c r="U699" s="2"/>
    </row>
    <row r="700" spans="1:21" ht="15.75" x14ac:dyDescent="0.25">
      <c r="A700" s="2" t="s">
        <v>612</v>
      </c>
      <c r="B700" s="2" t="s">
        <v>418</v>
      </c>
      <c r="C700" s="2" t="s">
        <v>419</v>
      </c>
      <c r="D700" s="2" t="s">
        <v>707</v>
      </c>
      <c r="E700" s="2" t="s">
        <v>36</v>
      </c>
      <c r="F700" s="2" t="s">
        <v>49</v>
      </c>
      <c r="G700" s="2" t="s">
        <v>399</v>
      </c>
      <c r="H700" s="2" t="s">
        <v>57</v>
      </c>
      <c r="I700" s="2" t="s">
        <v>28</v>
      </c>
      <c r="J700" s="2">
        <v>563</v>
      </c>
      <c r="K700" s="2" t="s">
        <v>277</v>
      </c>
      <c r="L700" s="2">
        <v>4</v>
      </c>
      <c r="M700" s="27">
        <v>0</v>
      </c>
      <c r="N700" s="44">
        <f t="shared" si="15"/>
        <v>0</v>
      </c>
      <c r="O700" s="2"/>
      <c r="P700" s="27" t="s">
        <v>30</v>
      </c>
      <c r="Q700" s="27" t="s">
        <v>31</v>
      </c>
      <c r="R700" s="3">
        <v>46098</v>
      </c>
      <c r="S700" s="27" t="s">
        <v>32</v>
      </c>
      <c r="T700" s="2"/>
      <c r="U700" s="2"/>
    </row>
    <row r="701" spans="1:21" ht="15.75" x14ac:dyDescent="0.25">
      <c r="A701" s="2" t="s">
        <v>612</v>
      </c>
      <c r="B701" s="2" t="s">
        <v>95</v>
      </c>
      <c r="C701" s="2" t="s">
        <v>96</v>
      </c>
      <c r="D701" s="2" t="s">
        <v>707</v>
      </c>
      <c r="E701" s="2" t="s">
        <v>382</v>
      </c>
      <c r="F701" s="2" t="s">
        <v>37</v>
      </c>
      <c r="G701" s="2" t="s">
        <v>259</v>
      </c>
      <c r="H701" s="2" t="s">
        <v>27</v>
      </c>
      <c r="I701" s="2" t="s">
        <v>28</v>
      </c>
      <c r="J701" s="2">
        <v>564</v>
      </c>
      <c r="K701" s="2" t="s">
        <v>124</v>
      </c>
      <c r="L701" s="2">
        <v>10</v>
      </c>
      <c r="M701" s="27">
        <v>0</v>
      </c>
      <c r="N701" s="44">
        <v>0</v>
      </c>
      <c r="O701" s="2"/>
      <c r="P701" s="27" t="s">
        <v>30</v>
      </c>
      <c r="Q701" s="27" t="s">
        <v>31</v>
      </c>
      <c r="R701" s="3">
        <v>46128</v>
      </c>
      <c r="S701" s="27" t="s">
        <v>32</v>
      </c>
      <c r="T701" s="2" t="s">
        <v>709</v>
      </c>
      <c r="U701" s="3">
        <v>46128</v>
      </c>
    </row>
    <row r="702" spans="1:21" ht="15.75" x14ac:dyDescent="0.25">
      <c r="A702" s="2" t="s">
        <v>612</v>
      </c>
      <c r="B702" s="2" t="s">
        <v>95</v>
      </c>
      <c r="C702" s="2" t="s">
        <v>96</v>
      </c>
      <c r="D702" s="2" t="s">
        <v>707</v>
      </c>
      <c r="E702" s="2" t="s">
        <v>41</v>
      </c>
      <c r="F702" s="2" t="s">
        <v>37</v>
      </c>
      <c r="G702" s="2" t="s">
        <v>243</v>
      </c>
      <c r="H702" s="2" t="s">
        <v>27</v>
      </c>
      <c r="I702" s="2" t="s">
        <v>28</v>
      </c>
      <c r="J702" s="2">
        <v>564</v>
      </c>
      <c r="K702" s="2" t="s">
        <v>124</v>
      </c>
      <c r="L702" s="2">
        <v>40</v>
      </c>
      <c r="M702" s="27">
        <v>0</v>
      </c>
      <c r="N702" s="44">
        <f t="shared" si="15"/>
        <v>0</v>
      </c>
      <c r="O702" s="2"/>
      <c r="P702" s="27" t="s">
        <v>30</v>
      </c>
      <c r="Q702" s="27" t="s">
        <v>31</v>
      </c>
      <c r="R702" s="3">
        <v>46128</v>
      </c>
      <c r="S702" s="27" t="s">
        <v>32</v>
      </c>
      <c r="T702" s="2" t="s">
        <v>709</v>
      </c>
      <c r="U702" s="3">
        <v>46128</v>
      </c>
    </row>
    <row r="703" spans="1:21" ht="15.75" x14ac:dyDescent="0.25">
      <c r="A703" s="2" t="s">
        <v>612</v>
      </c>
      <c r="B703" s="2" t="s">
        <v>95</v>
      </c>
      <c r="C703" s="2" t="s">
        <v>96</v>
      </c>
      <c r="D703" s="2" t="s">
        <v>707</v>
      </c>
      <c r="E703" s="2" t="s">
        <v>41</v>
      </c>
      <c r="F703" s="2" t="s">
        <v>37</v>
      </c>
      <c r="G703" s="2" t="s">
        <v>383</v>
      </c>
      <c r="H703" s="2" t="s">
        <v>27</v>
      </c>
      <c r="I703" s="2" t="s">
        <v>28</v>
      </c>
      <c r="J703" s="2">
        <v>564</v>
      </c>
      <c r="K703" s="2" t="s">
        <v>124</v>
      </c>
      <c r="L703" s="2">
        <v>20</v>
      </c>
      <c r="M703" s="27">
        <v>0</v>
      </c>
      <c r="N703" s="44">
        <f t="shared" si="15"/>
        <v>0</v>
      </c>
      <c r="O703" s="2"/>
      <c r="P703" s="27" t="s">
        <v>30</v>
      </c>
      <c r="Q703" s="27" t="s">
        <v>31</v>
      </c>
      <c r="R703" s="3">
        <v>46128</v>
      </c>
      <c r="S703" s="27" t="s">
        <v>32</v>
      </c>
      <c r="T703" s="2" t="s">
        <v>709</v>
      </c>
      <c r="U703" s="3">
        <v>46128</v>
      </c>
    </row>
    <row r="704" spans="1:21" ht="15.75" x14ac:dyDescent="0.25">
      <c r="A704" s="2" t="s">
        <v>612</v>
      </c>
      <c r="B704" s="2" t="s">
        <v>95</v>
      </c>
      <c r="C704" s="2" t="s">
        <v>96</v>
      </c>
      <c r="D704" s="2" t="s">
        <v>707</v>
      </c>
      <c r="E704" s="2" t="s">
        <v>382</v>
      </c>
      <c r="F704" s="2" t="s">
        <v>37</v>
      </c>
      <c r="G704" s="2" t="s">
        <v>283</v>
      </c>
      <c r="H704" s="2" t="s">
        <v>27</v>
      </c>
      <c r="I704" s="2" t="s">
        <v>28</v>
      </c>
      <c r="J704" s="2">
        <v>564</v>
      </c>
      <c r="K704" s="2" t="s">
        <v>124</v>
      </c>
      <c r="L704" s="2">
        <v>5</v>
      </c>
      <c r="M704" s="27">
        <v>0</v>
      </c>
      <c r="N704" s="44">
        <f t="shared" si="15"/>
        <v>0</v>
      </c>
      <c r="O704" s="2"/>
      <c r="P704" s="27" t="s">
        <v>30</v>
      </c>
      <c r="Q704" s="27" t="s">
        <v>31</v>
      </c>
      <c r="R704" s="3">
        <v>46128</v>
      </c>
      <c r="S704" s="27" t="s">
        <v>32</v>
      </c>
      <c r="T704" s="2" t="s">
        <v>709</v>
      </c>
      <c r="U704" s="3">
        <v>46128</v>
      </c>
    </row>
    <row r="705" spans="1:21" ht="15.75" x14ac:dyDescent="0.25">
      <c r="A705" s="2" t="s">
        <v>612</v>
      </c>
      <c r="B705" s="2" t="s">
        <v>95</v>
      </c>
      <c r="C705" s="2" t="s">
        <v>96</v>
      </c>
      <c r="D705" s="2" t="s">
        <v>707</v>
      </c>
      <c r="E705" s="2" t="s">
        <v>41</v>
      </c>
      <c r="F705" s="2" t="s">
        <v>37</v>
      </c>
      <c r="G705" s="2" t="s">
        <v>463</v>
      </c>
      <c r="H705" s="2" t="s">
        <v>27</v>
      </c>
      <c r="I705" s="2" t="s">
        <v>28</v>
      </c>
      <c r="J705" s="2">
        <v>564</v>
      </c>
      <c r="K705" s="2" t="s">
        <v>124</v>
      </c>
      <c r="L705" s="2">
        <v>10</v>
      </c>
      <c r="M705" s="27">
        <v>0</v>
      </c>
      <c r="N705" s="44">
        <f t="shared" si="15"/>
        <v>0</v>
      </c>
      <c r="O705" s="2"/>
      <c r="P705" s="27" t="s">
        <v>30</v>
      </c>
      <c r="Q705" s="27" t="s">
        <v>31</v>
      </c>
      <c r="R705" s="3">
        <v>46128</v>
      </c>
      <c r="S705" s="27" t="s">
        <v>32</v>
      </c>
      <c r="T705" s="2" t="s">
        <v>709</v>
      </c>
      <c r="U705" s="3">
        <v>46128</v>
      </c>
    </row>
    <row r="706" spans="1:21" ht="15.75" x14ac:dyDescent="0.25">
      <c r="A706" s="2" t="s">
        <v>612</v>
      </c>
      <c r="B706" s="2" t="s">
        <v>95</v>
      </c>
      <c r="C706" s="2" t="s">
        <v>96</v>
      </c>
      <c r="D706" s="2" t="s">
        <v>707</v>
      </c>
      <c r="E706" s="2" t="s">
        <v>41</v>
      </c>
      <c r="F706" s="2" t="s">
        <v>37</v>
      </c>
      <c r="G706" s="2" t="s">
        <v>276</v>
      </c>
      <c r="H706" s="2" t="s">
        <v>27</v>
      </c>
      <c r="I706" s="2" t="s">
        <v>28</v>
      </c>
      <c r="J706" s="2">
        <v>564</v>
      </c>
      <c r="K706" s="2" t="s">
        <v>277</v>
      </c>
      <c r="L706" s="2">
        <v>40</v>
      </c>
      <c r="M706" s="27">
        <v>0</v>
      </c>
      <c r="N706" s="44">
        <f t="shared" si="15"/>
        <v>0</v>
      </c>
      <c r="O706" s="2"/>
      <c r="P706" s="27" t="s">
        <v>30</v>
      </c>
      <c r="Q706" s="27" t="s">
        <v>31</v>
      </c>
      <c r="R706" s="3">
        <v>46128</v>
      </c>
      <c r="S706" s="27" t="s">
        <v>32</v>
      </c>
      <c r="T706" s="2" t="s">
        <v>709</v>
      </c>
      <c r="U706" s="3">
        <v>46128</v>
      </c>
    </row>
    <row r="707" spans="1:21" ht="15.75" x14ac:dyDescent="0.25">
      <c r="A707" s="2" t="s">
        <v>612</v>
      </c>
      <c r="B707" s="2" t="s">
        <v>280</v>
      </c>
      <c r="C707" s="2" t="s">
        <v>281</v>
      </c>
      <c r="D707" s="2" t="s">
        <v>707</v>
      </c>
      <c r="E707" s="2" t="s">
        <v>48</v>
      </c>
      <c r="F707" s="2" t="s">
        <v>25</v>
      </c>
      <c r="G707" s="2" t="s">
        <v>282</v>
      </c>
      <c r="H707" s="2" t="s">
        <v>57</v>
      </c>
      <c r="I707" s="2" t="s">
        <v>28</v>
      </c>
      <c r="J707" s="2">
        <v>565</v>
      </c>
      <c r="K707" s="2" t="s">
        <v>124</v>
      </c>
      <c r="L707" s="2">
        <v>10</v>
      </c>
      <c r="M707" s="27">
        <v>0</v>
      </c>
      <c r="N707" s="44">
        <f t="shared" si="15"/>
        <v>0</v>
      </c>
      <c r="O707" s="2"/>
      <c r="P707" s="27" t="s">
        <v>30</v>
      </c>
      <c r="Q707" s="27" t="s">
        <v>31</v>
      </c>
      <c r="R707" s="3">
        <v>46098</v>
      </c>
      <c r="S707" s="27" t="s">
        <v>32</v>
      </c>
      <c r="T707" s="2" t="s">
        <v>710</v>
      </c>
      <c r="U707" s="3">
        <v>46038</v>
      </c>
    </row>
    <row r="708" spans="1:21" ht="15.75" x14ac:dyDescent="0.25">
      <c r="A708" s="2" t="s">
        <v>612</v>
      </c>
      <c r="B708" s="2" t="s">
        <v>280</v>
      </c>
      <c r="C708" s="2" t="s">
        <v>281</v>
      </c>
      <c r="D708" s="2" t="s">
        <v>707</v>
      </c>
      <c r="E708" s="2" t="s">
        <v>48</v>
      </c>
      <c r="F708" s="2" t="s">
        <v>25</v>
      </c>
      <c r="G708" s="2" t="s">
        <v>283</v>
      </c>
      <c r="H708" s="2" t="s">
        <v>57</v>
      </c>
      <c r="I708" s="2" t="s">
        <v>28</v>
      </c>
      <c r="J708" s="2">
        <v>565</v>
      </c>
      <c r="K708" s="2" t="s">
        <v>124</v>
      </c>
      <c r="L708" s="2">
        <v>10</v>
      </c>
      <c r="M708" s="27">
        <v>0</v>
      </c>
      <c r="N708" s="44">
        <f t="shared" si="15"/>
        <v>0</v>
      </c>
      <c r="O708" s="2"/>
      <c r="P708" s="27" t="s">
        <v>30</v>
      </c>
      <c r="Q708" s="27" t="s">
        <v>31</v>
      </c>
      <c r="R708" s="3">
        <v>46098</v>
      </c>
      <c r="S708" s="27" t="s">
        <v>32</v>
      </c>
      <c r="T708" s="2" t="s">
        <v>710</v>
      </c>
      <c r="U708" s="3">
        <v>46038</v>
      </c>
    </row>
    <row r="709" spans="1:21" ht="15.75" x14ac:dyDescent="0.25">
      <c r="A709" s="2" t="s">
        <v>612</v>
      </c>
      <c r="B709" s="2" t="s">
        <v>52</v>
      </c>
      <c r="C709" s="2" t="s">
        <v>53</v>
      </c>
      <c r="D709" s="2" t="s">
        <v>711</v>
      </c>
      <c r="E709" s="2" t="s">
        <v>48</v>
      </c>
      <c r="F709" s="2" t="s">
        <v>59</v>
      </c>
      <c r="G709" s="2" t="s">
        <v>198</v>
      </c>
      <c r="H709" s="2" t="s">
        <v>27</v>
      </c>
      <c r="I709" s="2" t="s">
        <v>28</v>
      </c>
      <c r="J709" s="2">
        <v>566</v>
      </c>
      <c r="K709" s="2" t="s">
        <v>277</v>
      </c>
      <c r="L709" s="2">
        <v>23</v>
      </c>
      <c r="M709" s="27">
        <v>805000</v>
      </c>
      <c r="N709" s="44">
        <f t="shared" si="15"/>
        <v>35000</v>
      </c>
      <c r="O709" s="2"/>
      <c r="P709" s="27" t="s">
        <v>30</v>
      </c>
      <c r="Q709" s="27" t="s">
        <v>31</v>
      </c>
      <c r="R709" s="3">
        <v>46193</v>
      </c>
      <c r="S709" s="27" t="s">
        <v>32</v>
      </c>
      <c r="T709" s="2"/>
      <c r="U709" s="2"/>
    </row>
    <row r="710" spans="1:21" ht="15.75" x14ac:dyDescent="0.25">
      <c r="A710" s="2" t="s">
        <v>612</v>
      </c>
      <c r="B710" s="2" t="s">
        <v>712</v>
      </c>
      <c r="C710" s="2" t="s">
        <v>713</v>
      </c>
      <c r="D710" s="2" t="s">
        <v>711</v>
      </c>
      <c r="E710" s="2" t="s">
        <v>89</v>
      </c>
      <c r="F710" s="2" t="s">
        <v>90</v>
      </c>
      <c r="G710" s="2" t="s">
        <v>714</v>
      </c>
      <c r="H710" s="2" t="s">
        <v>57</v>
      </c>
      <c r="I710" s="2" t="s">
        <v>28</v>
      </c>
      <c r="J710" s="2">
        <v>567</v>
      </c>
      <c r="K710" s="2" t="s">
        <v>124</v>
      </c>
      <c r="L710" s="2">
        <v>120</v>
      </c>
      <c r="M710" s="27">
        <v>1008000</v>
      </c>
      <c r="N710" s="44">
        <f t="shared" si="15"/>
        <v>8400</v>
      </c>
      <c r="O710" s="2"/>
      <c r="P710" s="27" t="s">
        <v>30</v>
      </c>
      <c r="Q710" s="27" t="s">
        <v>31</v>
      </c>
      <c r="R710" s="3">
        <v>46129</v>
      </c>
      <c r="S710" s="27" t="s">
        <v>32</v>
      </c>
      <c r="T710" s="2"/>
      <c r="U710" s="2"/>
    </row>
    <row r="711" spans="1:21" ht="15.75" x14ac:dyDescent="0.25">
      <c r="A711" s="2" t="s">
        <v>612</v>
      </c>
      <c r="B711" s="2" t="s">
        <v>236</v>
      </c>
      <c r="C711" s="2" t="s">
        <v>237</v>
      </c>
      <c r="D711" s="2" t="s">
        <v>711</v>
      </c>
      <c r="E711" s="2" t="s">
        <v>238</v>
      </c>
      <c r="F711" s="2" t="s">
        <v>55</v>
      </c>
      <c r="G711" s="2" t="s">
        <v>638</v>
      </c>
      <c r="H711" s="2" t="s">
        <v>27</v>
      </c>
      <c r="I711" s="2" t="s">
        <v>28</v>
      </c>
      <c r="J711" s="2">
        <v>568</v>
      </c>
      <c r="K711" s="2" t="s">
        <v>7</v>
      </c>
      <c r="L711" s="2">
        <v>200</v>
      </c>
      <c r="M711" s="27">
        <v>0</v>
      </c>
      <c r="N711" s="44">
        <f t="shared" si="15"/>
        <v>0</v>
      </c>
      <c r="O711" s="2"/>
      <c r="P711" s="27" t="s">
        <v>30</v>
      </c>
      <c r="Q711" s="27" t="s">
        <v>31</v>
      </c>
      <c r="R711" s="3">
        <v>46099</v>
      </c>
      <c r="S711" s="27" t="s">
        <v>32</v>
      </c>
      <c r="T711" s="2" t="s">
        <v>715</v>
      </c>
      <c r="U711" s="3">
        <v>45890</v>
      </c>
    </row>
    <row r="712" spans="1:21" ht="15.75" x14ac:dyDescent="0.25">
      <c r="A712" s="2" t="s">
        <v>612</v>
      </c>
      <c r="B712" s="2" t="s">
        <v>387</v>
      </c>
      <c r="C712" s="2" t="s">
        <v>388</v>
      </c>
      <c r="D712" s="2" t="s">
        <v>716</v>
      </c>
      <c r="E712" s="2" t="s">
        <v>48</v>
      </c>
      <c r="F712" s="2" t="s">
        <v>59</v>
      </c>
      <c r="G712" s="2" t="s">
        <v>322</v>
      </c>
      <c r="H712" s="2" t="s">
        <v>27</v>
      </c>
      <c r="I712" s="2" t="s">
        <v>28</v>
      </c>
      <c r="J712" s="2">
        <v>569</v>
      </c>
      <c r="K712" s="2" t="s">
        <v>124</v>
      </c>
      <c r="L712" s="2">
        <v>20</v>
      </c>
      <c r="M712" s="27">
        <v>214120</v>
      </c>
      <c r="N712" s="44">
        <f t="shared" si="15"/>
        <v>10706</v>
      </c>
      <c r="O712" s="2"/>
      <c r="P712" s="27" t="s">
        <v>30</v>
      </c>
      <c r="Q712" s="27" t="s">
        <v>31</v>
      </c>
      <c r="R712" s="3">
        <v>46100</v>
      </c>
      <c r="S712" s="27" t="s">
        <v>32</v>
      </c>
      <c r="T712" s="2"/>
      <c r="U712" s="2"/>
    </row>
    <row r="713" spans="1:21" ht="15.75" x14ac:dyDescent="0.25">
      <c r="A713" s="2" t="s">
        <v>612</v>
      </c>
      <c r="B713" s="2" t="s">
        <v>387</v>
      </c>
      <c r="C713" s="2" t="s">
        <v>388</v>
      </c>
      <c r="D713" s="2" t="s">
        <v>716</v>
      </c>
      <c r="E713" s="2" t="s">
        <v>48</v>
      </c>
      <c r="F713" s="2" t="s">
        <v>59</v>
      </c>
      <c r="G713" s="2" t="s">
        <v>426</v>
      </c>
      <c r="H713" s="2" t="s">
        <v>27</v>
      </c>
      <c r="I713" s="2" t="s">
        <v>28</v>
      </c>
      <c r="J713" s="2">
        <v>569</v>
      </c>
      <c r="K713" s="2" t="s">
        <v>124</v>
      </c>
      <c r="L713" s="2">
        <v>20</v>
      </c>
      <c r="M713" s="27">
        <v>80000</v>
      </c>
      <c r="N713" s="44">
        <f t="shared" si="15"/>
        <v>4000</v>
      </c>
      <c r="O713" s="2"/>
      <c r="P713" s="27" t="s">
        <v>30</v>
      </c>
      <c r="Q713" s="27" t="s">
        <v>31</v>
      </c>
      <c r="R713" s="3">
        <v>46100</v>
      </c>
      <c r="S713" s="27" t="s">
        <v>32</v>
      </c>
      <c r="T713" s="2"/>
      <c r="U713" s="2"/>
    </row>
    <row r="714" spans="1:21" ht="15.75" x14ac:dyDescent="0.25">
      <c r="A714" s="2" t="s">
        <v>612</v>
      </c>
      <c r="B714" s="2" t="s">
        <v>307</v>
      </c>
      <c r="C714" s="2" t="s">
        <v>308</v>
      </c>
      <c r="D714" s="2" t="s">
        <v>716</v>
      </c>
      <c r="E714" s="2" t="s">
        <v>48</v>
      </c>
      <c r="F714" s="2" t="s">
        <v>59</v>
      </c>
      <c r="G714" s="2" t="s">
        <v>411</v>
      </c>
      <c r="H714" s="2" t="s">
        <v>57</v>
      </c>
      <c r="I714" s="2" t="s">
        <v>28</v>
      </c>
      <c r="J714" s="2">
        <v>570</v>
      </c>
      <c r="K714" s="2" t="s">
        <v>124</v>
      </c>
      <c r="L714" s="2">
        <v>20</v>
      </c>
      <c r="M714" s="27">
        <v>0</v>
      </c>
      <c r="N714" s="44">
        <f t="shared" si="15"/>
        <v>0</v>
      </c>
      <c r="O714" s="2"/>
      <c r="P714" s="27" t="s">
        <v>30</v>
      </c>
      <c r="Q714" s="27" t="s">
        <v>31</v>
      </c>
      <c r="R714" s="3">
        <v>46125</v>
      </c>
      <c r="S714" s="27" t="s">
        <v>32</v>
      </c>
      <c r="T714" s="2" t="s">
        <v>717</v>
      </c>
      <c r="U714" s="3">
        <v>46065</v>
      </c>
    </row>
    <row r="715" spans="1:21" ht="15.75" x14ac:dyDescent="0.25">
      <c r="A715" s="2" t="s">
        <v>612</v>
      </c>
      <c r="B715" s="2" t="s">
        <v>307</v>
      </c>
      <c r="C715" s="2" t="s">
        <v>308</v>
      </c>
      <c r="D715" s="2" t="s">
        <v>716</v>
      </c>
      <c r="E715" s="2" t="s">
        <v>48</v>
      </c>
      <c r="F715" s="2" t="s">
        <v>59</v>
      </c>
      <c r="G715" s="2" t="s">
        <v>311</v>
      </c>
      <c r="H715" s="2" t="s">
        <v>57</v>
      </c>
      <c r="I715" s="2" t="s">
        <v>28</v>
      </c>
      <c r="J715" s="2">
        <v>570</v>
      </c>
      <c r="K715" s="2" t="s">
        <v>124</v>
      </c>
      <c r="L715" s="2">
        <v>4</v>
      </c>
      <c r="M715" s="27">
        <v>0</v>
      </c>
      <c r="N715" s="44">
        <f t="shared" si="15"/>
        <v>0</v>
      </c>
      <c r="O715" s="2"/>
      <c r="P715" s="27" t="s">
        <v>30</v>
      </c>
      <c r="Q715" s="27" t="s">
        <v>31</v>
      </c>
      <c r="R715" s="3">
        <v>46125</v>
      </c>
      <c r="S715" s="27" t="s">
        <v>32</v>
      </c>
      <c r="T715" s="2" t="s">
        <v>717</v>
      </c>
      <c r="U715" s="3">
        <v>46065</v>
      </c>
    </row>
    <row r="716" spans="1:21" ht="15.75" x14ac:dyDescent="0.25">
      <c r="A716" s="2" t="s">
        <v>612</v>
      </c>
      <c r="B716" s="2" t="s">
        <v>307</v>
      </c>
      <c r="C716" s="2" t="s">
        <v>308</v>
      </c>
      <c r="D716" s="2" t="s">
        <v>716</v>
      </c>
      <c r="E716" s="2" t="s">
        <v>48</v>
      </c>
      <c r="F716" s="2" t="s">
        <v>59</v>
      </c>
      <c r="G716" s="2" t="s">
        <v>290</v>
      </c>
      <c r="H716" s="2" t="s">
        <v>57</v>
      </c>
      <c r="I716" s="2" t="s">
        <v>28</v>
      </c>
      <c r="J716" s="2">
        <v>570</v>
      </c>
      <c r="K716" s="2" t="s">
        <v>124</v>
      </c>
      <c r="L716" s="2">
        <v>40</v>
      </c>
      <c r="M716" s="27">
        <v>0</v>
      </c>
      <c r="N716" s="44">
        <f t="shared" si="15"/>
        <v>0</v>
      </c>
      <c r="O716" s="2"/>
      <c r="P716" s="27" t="s">
        <v>30</v>
      </c>
      <c r="Q716" s="27" t="s">
        <v>31</v>
      </c>
      <c r="R716" s="3">
        <v>46125</v>
      </c>
      <c r="S716" s="27" t="s">
        <v>32</v>
      </c>
      <c r="T716" s="2" t="s">
        <v>717</v>
      </c>
      <c r="U716" s="3">
        <v>46065</v>
      </c>
    </row>
    <row r="717" spans="1:21" ht="15.75" x14ac:dyDescent="0.25">
      <c r="A717" s="2" t="s">
        <v>612</v>
      </c>
      <c r="B717" s="2" t="s">
        <v>307</v>
      </c>
      <c r="C717" s="2" t="s">
        <v>308</v>
      </c>
      <c r="D717" s="2" t="s">
        <v>716</v>
      </c>
      <c r="E717" s="2" t="s">
        <v>48</v>
      </c>
      <c r="F717" s="2" t="s">
        <v>59</v>
      </c>
      <c r="G717" s="2" t="s">
        <v>389</v>
      </c>
      <c r="H717" s="2" t="s">
        <v>27</v>
      </c>
      <c r="I717" s="2" t="s">
        <v>28</v>
      </c>
      <c r="J717" s="2">
        <v>571</v>
      </c>
      <c r="K717" s="2" t="s">
        <v>124</v>
      </c>
      <c r="L717" s="2">
        <v>20</v>
      </c>
      <c r="M717" s="27">
        <v>0</v>
      </c>
      <c r="N717" s="44">
        <f t="shared" si="15"/>
        <v>0</v>
      </c>
      <c r="O717" s="2"/>
      <c r="P717" s="27" t="s">
        <v>30</v>
      </c>
      <c r="Q717" s="27" t="s">
        <v>31</v>
      </c>
      <c r="R717" s="3">
        <v>46125</v>
      </c>
      <c r="S717" s="27" t="s">
        <v>32</v>
      </c>
      <c r="T717" s="2" t="s">
        <v>717</v>
      </c>
      <c r="U717" s="3">
        <v>46065</v>
      </c>
    </row>
    <row r="718" spans="1:21" ht="15.75" x14ac:dyDescent="0.25">
      <c r="A718" s="2" t="s">
        <v>612</v>
      </c>
      <c r="B718" s="2" t="s">
        <v>307</v>
      </c>
      <c r="C718" s="2" t="s">
        <v>308</v>
      </c>
      <c r="D718" s="2" t="s">
        <v>716</v>
      </c>
      <c r="E718" s="2" t="s">
        <v>48</v>
      </c>
      <c r="F718" s="2" t="s">
        <v>59</v>
      </c>
      <c r="G718" s="2" t="s">
        <v>439</v>
      </c>
      <c r="H718" s="2" t="s">
        <v>27</v>
      </c>
      <c r="I718" s="2" t="s">
        <v>28</v>
      </c>
      <c r="J718" s="2">
        <v>571</v>
      </c>
      <c r="K718" s="2" t="s">
        <v>124</v>
      </c>
      <c r="L718" s="2">
        <v>10</v>
      </c>
      <c r="M718" s="27">
        <v>0</v>
      </c>
      <c r="N718" s="44">
        <f t="shared" si="15"/>
        <v>0</v>
      </c>
      <c r="O718" s="2"/>
      <c r="P718" s="27" t="s">
        <v>30</v>
      </c>
      <c r="Q718" s="27" t="s">
        <v>31</v>
      </c>
      <c r="R718" s="3">
        <v>46125</v>
      </c>
      <c r="S718" s="27" t="s">
        <v>32</v>
      </c>
      <c r="T718" s="2" t="s">
        <v>718</v>
      </c>
      <c r="U718" s="3">
        <v>46065</v>
      </c>
    </row>
    <row r="719" spans="1:21" ht="15.75" x14ac:dyDescent="0.25">
      <c r="A719" s="2" t="s">
        <v>612</v>
      </c>
      <c r="B719" s="2" t="s">
        <v>307</v>
      </c>
      <c r="C719" s="2" t="s">
        <v>308</v>
      </c>
      <c r="D719" s="2" t="s">
        <v>716</v>
      </c>
      <c r="E719" s="2" t="s">
        <v>48</v>
      </c>
      <c r="F719" s="2" t="s">
        <v>59</v>
      </c>
      <c r="G719" s="2" t="s">
        <v>290</v>
      </c>
      <c r="H719" s="2" t="s">
        <v>27</v>
      </c>
      <c r="I719" s="2" t="s">
        <v>28</v>
      </c>
      <c r="J719" s="2">
        <v>571</v>
      </c>
      <c r="K719" s="2" t="s">
        <v>124</v>
      </c>
      <c r="L719" s="2">
        <v>60</v>
      </c>
      <c r="M719" s="27">
        <v>0</v>
      </c>
      <c r="N719" s="44">
        <f t="shared" si="15"/>
        <v>0</v>
      </c>
      <c r="O719" s="2"/>
      <c r="P719" s="27" t="s">
        <v>30</v>
      </c>
      <c r="Q719" s="27" t="s">
        <v>31</v>
      </c>
      <c r="R719" s="3">
        <v>46125</v>
      </c>
      <c r="S719" s="27" t="s">
        <v>32</v>
      </c>
      <c r="T719" s="2" t="s">
        <v>563</v>
      </c>
      <c r="U719" s="3">
        <v>46065</v>
      </c>
    </row>
    <row r="720" spans="1:21" ht="15.75" x14ac:dyDescent="0.25">
      <c r="A720" s="2" t="s">
        <v>612</v>
      </c>
      <c r="B720" s="2" t="s">
        <v>307</v>
      </c>
      <c r="C720" s="2" t="s">
        <v>308</v>
      </c>
      <c r="D720" s="2" t="s">
        <v>716</v>
      </c>
      <c r="E720" s="2" t="s">
        <v>48</v>
      </c>
      <c r="F720" s="2" t="s">
        <v>59</v>
      </c>
      <c r="G720" s="2" t="s">
        <v>411</v>
      </c>
      <c r="H720" s="2" t="s">
        <v>27</v>
      </c>
      <c r="I720" s="2" t="s">
        <v>28</v>
      </c>
      <c r="J720" s="2">
        <v>571</v>
      </c>
      <c r="K720" s="2" t="s">
        <v>124</v>
      </c>
      <c r="L720" s="2">
        <v>40</v>
      </c>
      <c r="M720" s="27">
        <v>0</v>
      </c>
      <c r="N720" s="44">
        <f t="shared" si="15"/>
        <v>0</v>
      </c>
      <c r="O720" s="2"/>
      <c r="P720" s="27" t="s">
        <v>30</v>
      </c>
      <c r="Q720" s="27" t="s">
        <v>31</v>
      </c>
      <c r="R720" s="3">
        <v>46125</v>
      </c>
      <c r="S720" s="27" t="s">
        <v>32</v>
      </c>
      <c r="T720" s="2" t="s">
        <v>565</v>
      </c>
      <c r="U720" s="3">
        <v>46065</v>
      </c>
    </row>
    <row r="721" spans="1:21" ht="15.75" x14ac:dyDescent="0.25">
      <c r="A721" s="2" t="s">
        <v>612</v>
      </c>
      <c r="B721" s="2" t="s">
        <v>404</v>
      </c>
      <c r="C721" s="2" t="s">
        <v>405</v>
      </c>
      <c r="D721" s="2" t="s">
        <v>719</v>
      </c>
      <c r="E721" s="2" t="s">
        <v>48</v>
      </c>
      <c r="F721" s="2" t="s">
        <v>59</v>
      </c>
      <c r="G721" s="2" t="s">
        <v>245</v>
      </c>
      <c r="H721" s="2" t="s">
        <v>27</v>
      </c>
      <c r="I721" s="2" t="s">
        <v>28</v>
      </c>
      <c r="J721" s="2">
        <v>572</v>
      </c>
      <c r="K721" s="2" t="s">
        <v>124</v>
      </c>
      <c r="L721" s="2">
        <v>140</v>
      </c>
      <c r="M721" s="27">
        <v>0</v>
      </c>
      <c r="N721" s="44">
        <f t="shared" si="15"/>
        <v>0</v>
      </c>
      <c r="O721" s="2"/>
      <c r="P721" s="27" t="s">
        <v>30</v>
      </c>
      <c r="Q721" s="27" t="s">
        <v>31</v>
      </c>
      <c r="R721" s="3">
        <v>46172</v>
      </c>
      <c r="S721" s="27" t="s">
        <v>32</v>
      </c>
      <c r="T721" s="2" t="s">
        <v>720</v>
      </c>
      <c r="U721" s="3">
        <v>46045</v>
      </c>
    </row>
    <row r="722" spans="1:21" ht="15.75" x14ac:dyDescent="0.25">
      <c r="A722" s="2" t="s">
        <v>612</v>
      </c>
      <c r="B722" s="2" t="s">
        <v>404</v>
      </c>
      <c r="C722" s="2" t="s">
        <v>405</v>
      </c>
      <c r="D722" s="2" t="s">
        <v>719</v>
      </c>
      <c r="E722" s="2" t="s">
        <v>48</v>
      </c>
      <c r="F722" s="2" t="s">
        <v>59</v>
      </c>
      <c r="G722" s="2" t="s">
        <v>328</v>
      </c>
      <c r="H722" s="2" t="s">
        <v>27</v>
      </c>
      <c r="I722" s="2" t="s">
        <v>28</v>
      </c>
      <c r="J722" s="2">
        <v>572</v>
      </c>
      <c r="K722" s="2" t="s">
        <v>124</v>
      </c>
      <c r="L722" s="2">
        <v>10</v>
      </c>
      <c r="M722" s="27">
        <v>0</v>
      </c>
      <c r="N722" s="44">
        <f t="shared" si="15"/>
        <v>0</v>
      </c>
      <c r="O722" s="2"/>
      <c r="P722" s="27" t="s">
        <v>30</v>
      </c>
      <c r="Q722" s="27" t="s">
        <v>31</v>
      </c>
      <c r="R722" s="3">
        <v>46172</v>
      </c>
      <c r="S722" s="27" t="s">
        <v>32</v>
      </c>
      <c r="T722" s="2" t="s">
        <v>720</v>
      </c>
      <c r="U722" s="3">
        <v>46045</v>
      </c>
    </row>
    <row r="723" spans="1:21" ht="15.75" x14ac:dyDescent="0.25">
      <c r="A723" s="2" t="s">
        <v>612</v>
      </c>
      <c r="B723" s="2" t="s">
        <v>404</v>
      </c>
      <c r="C723" s="2" t="s">
        <v>405</v>
      </c>
      <c r="D723" s="2" t="s">
        <v>719</v>
      </c>
      <c r="E723" s="2" t="s">
        <v>48</v>
      </c>
      <c r="F723" s="2" t="s">
        <v>59</v>
      </c>
      <c r="G723" s="2" t="s">
        <v>408</v>
      </c>
      <c r="H723" s="2" t="s">
        <v>27</v>
      </c>
      <c r="I723" s="2" t="s">
        <v>28</v>
      </c>
      <c r="J723" s="2">
        <v>573</v>
      </c>
      <c r="K723" s="2" t="s">
        <v>124</v>
      </c>
      <c r="L723" s="2">
        <v>40</v>
      </c>
      <c r="M723" s="27">
        <v>0</v>
      </c>
      <c r="N723" s="44">
        <f t="shared" si="15"/>
        <v>0</v>
      </c>
      <c r="O723" s="2"/>
      <c r="P723" s="27" t="s">
        <v>30</v>
      </c>
      <c r="Q723" s="27" t="s">
        <v>31</v>
      </c>
      <c r="R723" s="3">
        <v>46295</v>
      </c>
      <c r="S723" s="27" t="s">
        <v>32</v>
      </c>
      <c r="T723" s="2" t="s">
        <v>721</v>
      </c>
      <c r="U723" s="3">
        <v>46093</v>
      </c>
    </row>
    <row r="724" spans="1:21" ht="15.75" x14ac:dyDescent="0.25">
      <c r="A724" s="2" t="s">
        <v>612</v>
      </c>
      <c r="B724" s="2" t="s">
        <v>404</v>
      </c>
      <c r="C724" s="2" t="s">
        <v>405</v>
      </c>
      <c r="D724" s="2" t="s">
        <v>719</v>
      </c>
      <c r="E724" s="2" t="s">
        <v>48</v>
      </c>
      <c r="F724" s="2" t="s">
        <v>59</v>
      </c>
      <c r="G724" s="2" t="s">
        <v>409</v>
      </c>
      <c r="H724" s="2" t="s">
        <v>27</v>
      </c>
      <c r="I724" s="2" t="s">
        <v>28</v>
      </c>
      <c r="J724" s="2">
        <v>573</v>
      </c>
      <c r="K724" s="2" t="s">
        <v>124</v>
      </c>
      <c r="L724" s="2">
        <v>15</v>
      </c>
      <c r="M724" s="27">
        <v>0</v>
      </c>
      <c r="N724" s="44">
        <f t="shared" si="15"/>
        <v>0</v>
      </c>
      <c r="O724" s="2"/>
      <c r="P724" s="27" t="s">
        <v>30</v>
      </c>
      <c r="Q724" s="27" t="s">
        <v>31</v>
      </c>
      <c r="R724" s="3">
        <v>46295</v>
      </c>
      <c r="S724" s="27" t="s">
        <v>32</v>
      </c>
      <c r="T724" s="2" t="s">
        <v>721</v>
      </c>
      <c r="U724" s="3">
        <v>46093</v>
      </c>
    </row>
    <row r="725" spans="1:21" ht="15.75" x14ac:dyDescent="0.25">
      <c r="A725" s="2" t="s">
        <v>612</v>
      </c>
      <c r="B725" s="2" t="s">
        <v>404</v>
      </c>
      <c r="C725" s="2" t="s">
        <v>405</v>
      </c>
      <c r="D725" s="2" t="s">
        <v>719</v>
      </c>
      <c r="E725" s="2" t="s">
        <v>48</v>
      </c>
      <c r="F725" s="2" t="s">
        <v>59</v>
      </c>
      <c r="G725" s="2" t="s">
        <v>258</v>
      </c>
      <c r="H725" s="2" t="s">
        <v>27</v>
      </c>
      <c r="I725" s="2" t="s">
        <v>28</v>
      </c>
      <c r="J725" s="2">
        <v>573</v>
      </c>
      <c r="K725" s="2" t="s">
        <v>124</v>
      </c>
      <c r="L725" s="2">
        <v>20</v>
      </c>
      <c r="M725" s="27">
        <v>0</v>
      </c>
      <c r="N725" s="44">
        <f t="shared" si="15"/>
        <v>0</v>
      </c>
      <c r="O725" s="2"/>
      <c r="P725" s="27" t="s">
        <v>30</v>
      </c>
      <c r="Q725" s="27" t="s">
        <v>31</v>
      </c>
      <c r="R725" s="3">
        <v>46295</v>
      </c>
      <c r="S725" s="27" t="s">
        <v>32</v>
      </c>
      <c r="T725" s="2" t="s">
        <v>721</v>
      </c>
      <c r="U725" s="3">
        <v>46093</v>
      </c>
    </row>
    <row r="726" spans="1:21" ht="15.75" x14ac:dyDescent="0.25">
      <c r="A726" s="2" t="s">
        <v>612</v>
      </c>
      <c r="B726" s="2" t="s">
        <v>404</v>
      </c>
      <c r="C726" s="2" t="s">
        <v>405</v>
      </c>
      <c r="D726" s="2" t="s">
        <v>719</v>
      </c>
      <c r="E726" s="2" t="s">
        <v>48</v>
      </c>
      <c r="F726" s="2" t="s">
        <v>59</v>
      </c>
      <c r="G726" s="2" t="s">
        <v>259</v>
      </c>
      <c r="H726" s="2" t="s">
        <v>27</v>
      </c>
      <c r="I726" s="2" t="s">
        <v>28</v>
      </c>
      <c r="J726" s="2">
        <v>573</v>
      </c>
      <c r="K726" s="2" t="s">
        <v>124</v>
      </c>
      <c r="L726" s="2">
        <v>15</v>
      </c>
      <c r="M726" s="27">
        <v>0</v>
      </c>
      <c r="N726" s="44">
        <f t="shared" si="15"/>
        <v>0</v>
      </c>
      <c r="O726" s="2"/>
      <c r="P726" s="27" t="s">
        <v>30</v>
      </c>
      <c r="Q726" s="27" t="s">
        <v>31</v>
      </c>
      <c r="R726" s="3">
        <v>46295</v>
      </c>
      <c r="S726" s="27" t="s">
        <v>32</v>
      </c>
      <c r="T726" s="2" t="s">
        <v>721</v>
      </c>
      <c r="U726" s="3">
        <v>46093</v>
      </c>
    </row>
    <row r="727" spans="1:21" ht="15.75" x14ac:dyDescent="0.25">
      <c r="A727" s="2" t="s">
        <v>612</v>
      </c>
      <c r="B727" s="2" t="s">
        <v>404</v>
      </c>
      <c r="C727" s="2" t="s">
        <v>405</v>
      </c>
      <c r="D727" s="2" t="s">
        <v>719</v>
      </c>
      <c r="E727" s="2" t="s">
        <v>48</v>
      </c>
      <c r="F727" s="2" t="s">
        <v>59</v>
      </c>
      <c r="G727" s="2" t="s">
        <v>454</v>
      </c>
      <c r="H727" s="2" t="s">
        <v>27</v>
      </c>
      <c r="I727" s="2" t="s">
        <v>28</v>
      </c>
      <c r="J727" s="2">
        <v>573</v>
      </c>
      <c r="K727" s="2" t="s">
        <v>124</v>
      </c>
      <c r="L727" s="2">
        <v>1</v>
      </c>
      <c r="M727" s="27">
        <v>0</v>
      </c>
      <c r="N727" s="44">
        <f t="shared" si="15"/>
        <v>0</v>
      </c>
      <c r="O727" s="2"/>
      <c r="P727" s="27" t="s">
        <v>30</v>
      </c>
      <c r="Q727" s="27" t="s">
        <v>31</v>
      </c>
      <c r="R727" s="3">
        <v>46295</v>
      </c>
      <c r="S727" s="27" t="s">
        <v>32</v>
      </c>
      <c r="T727" s="2" t="s">
        <v>721</v>
      </c>
      <c r="U727" s="3">
        <v>46093</v>
      </c>
    </row>
    <row r="728" spans="1:21" ht="15.75" x14ac:dyDescent="0.25">
      <c r="A728" s="2" t="s">
        <v>612</v>
      </c>
      <c r="B728" s="2" t="s">
        <v>404</v>
      </c>
      <c r="C728" s="2" t="s">
        <v>405</v>
      </c>
      <c r="D728" s="2" t="s">
        <v>719</v>
      </c>
      <c r="E728" s="2" t="s">
        <v>48</v>
      </c>
      <c r="F728" s="2" t="s">
        <v>59</v>
      </c>
      <c r="G728" s="2" t="s">
        <v>322</v>
      </c>
      <c r="H728" s="2" t="s">
        <v>27</v>
      </c>
      <c r="I728" s="2" t="s">
        <v>28</v>
      </c>
      <c r="J728" s="2">
        <v>573</v>
      </c>
      <c r="K728" s="2" t="s">
        <v>124</v>
      </c>
      <c r="L728" s="2">
        <v>80</v>
      </c>
      <c r="M728" s="27">
        <v>0</v>
      </c>
      <c r="N728" s="44">
        <f t="shared" si="15"/>
        <v>0</v>
      </c>
      <c r="O728" s="2"/>
      <c r="P728" s="27" t="s">
        <v>30</v>
      </c>
      <c r="Q728" s="27" t="s">
        <v>31</v>
      </c>
      <c r="R728" s="3">
        <v>46295</v>
      </c>
      <c r="S728" s="27" t="s">
        <v>32</v>
      </c>
      <c r="T728" s="2" t="s">
        <v>721</v>
      </c>
      <c r="U728" s="3">
        <v>46093</v>
      </c>
    </row>
    <row r="729" spans="1:21" ht="15.75" x14ac:dyDescent="0.25">
      <c r="A729" s="2" t="s">
        <v>612</v>
      </c>
      <c r="B729" s="2" t="s">
        <v>404</v>
      </c>
      <c r="C729" s="2" t="s">
        <v>405</v>
      </c>
      <c r="D729" s="2" t="s">
        <v>719</v>
      </c>
      <c r="E729" s="2" t="s">
        <v>48</v>
      </c>
      <c r="F729" s="2" t="s">
        <v>59</v>
      </c>
      <c r="G729" s="2" t="s">
        <v>283</v>
      </c>
      <c r="H729" s="2" t="s">
        <v>27</v>
      </c>
      <c r="I729" s="2" t="s">
        <v>28</v>
      </c>
      <c r="J729" s="2">
        <v>573</v>
      </c>
      <c r="K729" s="2" t="s">
        <v>124</v>
      </c>
      <c r="L729" s="2">
        <v>10</v>
      </c>
      <c r="M729" s="27">
        <v>0</v>
      </c>
      <c r="N729" s="44">
        <f t="shared" si="15"/>
        <v>0</v>
      </c>
      <c r="O729" s="2"/>
      <c r="P729" s="27" t="s">
        <v>30</v>
      </c>
      <c r="Q729" s="27" t="s">
        <v>31</v>
      </c>
      <c r="R729" s="3">
        <v>46295</v>
      </c>
      <c r="S729" s="27" t="s">
        <v>32</v>
      </c>
      <c r="T729" s="2" t="s">
        <v>721</v>
      </c>
      <c r="U729" s="3">
        <v>46093</v>
      </c>
    </row>
    <row r="730" spans="1:21" ht="15.75" x14ac:dyDescent="0.25">
      <c r="A730" s="2" t="s">
        <v>612</v>
      </c>
      <c r="B730" s="2" t="s">
        <v>445</v>
      </c>
      <c r="C730" s="2" t="s">
        <v>446</v>
      </c>
      <c r="D730" s="2" t="s">
        <v>719</v>
      </c>
      <c r="E730" s="2" t="s">
        <v>48</v>
      </c>
      <c r="F730" s="2" t="s">
        <v>25</v>
      </c>
      <c r="G730" s="2" t="s">
        <v>722</v>
      </c>
      <c r="H730" s="2" t="s">
        <v>27</v>
      </c>
      <c r="I730" s="2" t="s">
        <v>65</v>
      </c>
      <c r="J730" s="2">
        <v>239</v>
      </c>
      <c r="K730" s="2" t="s">
        <v>277</v>
      </c>
      <c r="L730" s="2">
        <v>5</v>
      </c>
      <c r="M730" s="27">
        <v>165000</v>
      </c>
      <c r="N730" s="44">
        <f t="shared" si="15"/>
        <v>33000</v>
      </c>
      <c r="O730" s="2"/>
      <c r="P730" s="27" t="s">
        <v>30</v>
      </c>
      <c r="Q730" s="27" t="s">
        <v>31</v>
      </c>
      <c r="R730" s="3">
        <v>46376</v>
      </c>
      <c r="S730" s="27" t="s">
        <v>32</v>
      </c>
      <c r="T730" s="2"/>
    </row>
    <row r="731" spans="1:21" ht="15.75" x14ac:dyDescent="0.25">
      <c r="A731" s="2" t="s">
        <v>612</v>
      </c>
      <c r="B731" s="2" t="s">
        <v>68</v>
      </c>
      <c r="C731" s="2" t="s">
        <v>69</v>
      </c>
      <c r="D731" s="2" t="s">
        <v>719</v>
      </c>
      <c r="E731" s="2" t="s">
        <v>48</v>
      </c>
      <c r="F731" s="2" t="s">
        <v>25</v>
      </c>
      <c r="G731" s="2" t="s">
        <v>722</v>
      </c>
      <c r="H731" s="2" t="s">
        <v>27</v>
      </c>
      <c r="I731" s="2" t="s">
        <v>65</v>
      </c>
      <c r="J731" s="2">
        <v>240</v>
      </c>
      <c r="K731" s="2" t="s">
        <v>277</v>
      </c>
      <c r="L731" s="2">
        <v>11</v>
      </c>
      <c r="M731" s="27">
        <v>363000</v>
      </c>
      <c r="N731" s="44">
        <f t="shared" si="15"/>
        <v>33000</v>
      </c>
      <c r="O731" s="2"/>
      <c r="P731" s="27" t="s">
        <v>30</v>
      </c>
      <c r="Q731" s="27" t="s">
        <v>31</v>
      </c>
      <c r="R731" s="3">
        <v>46376</v>
      </c>
      <c r="S731" s="27" t="s">
        <v>32</v>
      </c>
      <c r="T731" s="2"/>
    </row>
    <row r="732" spans="1:21" ht="15.75" x14ac:dyDescent="0.25">
      <c r="A732" s="2" t="s">
        <v>612</v>
      </c>
      <c r="B732" s="2" t="s">
        <v>723</v>
      </c>
      <c r="C732" s="2" t="s">
        <v>724</v>
      </c>
      <c r="D732" s="2" t="s">
        <v>719</v>
      </c>
      <c r="E732" s="2" t="s">
        <v>48</v>
      </c>
      <c r="F732" s="2" t="s">
        <v>25</v>
      </c>
      <c r="G732" s="2" t="s">
        <v>722</v>
      </c>
      <c r="H732" s="2" t="s">
        <v>27</v>
      </c>
      <c r="I732" s="2" t="s">
        <v>65</v>
      </c>
      <c r="J732" s="2">
        <v>241</v>
      </c>
      <c r="K732" s="2" t="s">
        <v>277</v>
      </c>
      <c r="L732" s="2">
        <v>6</v>
      </c>
      <c r="M732" s="27">
        <v>198000</v>
      </c>
      <c r="N732" s="44">
        <f t="shared" si="15"/>
        <v>33000</v>
      </c>
      <c r="O732" s="2"/>
      <c r="P732" s="27" t="s">
        <v>30</v>
      </c>
      <c r="Q732" s="27" t="s">
        <v>31</v>
      </c>
      <c r="R732" s="3">
        <v>46376</v>
      </c>
      <c r="S732" s="27" t="s">
        <v>32</v>
      </c>
      <c r="T732" s="2"/>
    </row>
    <row r="733" spans="1:21" ht="15.75" x14ac:dyDescent="0.25">
      <c r="A733" s="2" t="s">
        <v>612</v>
      </c>
      <c r="B733" s="2" t="s">
        <v>236</v>
      </c>
      <c r="C733" s="2" t="s">
        <v>237</v>
      </c>
      <c r="D733" s="2" t="s">
        <v>719</v>
      </c>
      <c r="E733" s="2" t="s">
        <v>238</v>
      </c>
      <c r="F733" s="2" t="s">
        <v>55</v>
      </c>
      <c r="G733" s="2" t="s">
        <v>725</v>
      </c>
      <c r="H733" s="2" t="s">
        <v>57</v>
      </c>
      <c r="I733" s="2" t="s">
        <v>65</v>
      </c>
      <c r="J733" s="2">
        <v>243</v>
      </c>
      <c r="K733" s="2" t="s">
        <v>726</v>
      </c>
      <c r="L733" s="2">
        <v>600</v>
      </c>
      <c r="M733" s="27">
        <v>10800000</v>
      </c>
      <c r="N733" s="44">
        <f t="shared" si="15"/>
        <v>18000</v>
      </c>
      <c r="O733" s="2"/>
      <c r="P733" s="27" t="s">
        <v>30</v>
      </c>
      <c r="Q733" s="27" t="s">
        <v>31</v>
      </c>
      <c r="R733" s="3">
        <v>46101</v>
      </c>
      <c r="S733" s="27" t="s">
        <v>32</v>
      </c>
      <c r="T733" s="2"/>
    </row>
    <row r="734" spans="1:21" ht="15.75" x14ac:dyDescent="0.25">
      <c r="A734" s="2" t="s">
        <v>612</v>
      </c>
      <c r="B734" s="2" t="s">
        <v>312</v>
      </c>
      <c r="C734" s="2" t="s">
        <v>313</v>
      </c>
      <c r="D734" s="2" t="s">
        <v>727</v>
      </c>
      <c r="E734" s="2" t="s">
        <v>512</v>
      </c>
      <c r="F734" s="2" t="s">
        <v>49</v>
      </c>
      <c r="G734" s="2" t="s">
        <v>455</v>
      </c>
      <c r="H734" s="2" t="s">
        <v>27</v>
      </c>
      <c r="I734" s="2" t="s">
        <v>28</v>
      </c>
      <c r="J734" s="2">
        <v>574</v>
      </c>
      <c r="K734" s="2" t="s">
        <v>124</v>
      </c>
      <c r="L734" s="2">
        <v>12</v>
      </c>
      <c r="M734" s="27">
        <v>73308</v>
      </c>
      <c r="N734" s="44">
        <f t="shared" si="15"/>
        <v>6109</v>
      </c>
      <c r="O734" s="2"/>
      <c r="P734" s="27" t="s">
        <v>30</v>
      </c>
      <c r="Q734" s="27" t="s">
        <v>31</v>
      </c>
      <c r="R734" s="3">
        <v>46132</v>
      </c>
      <c r="S734" s="27" t="s">
        <v>32</v>
      </c>
      <c r="T734" s="2"/>
    </row>
    <row r="735" spans="1:21" ht="15.75" x14ac:dyDescent="0.25">
      <c r="A735" s="2" t="s">
        <v>612</v>
      </c>
      <c r="B735" s="2" t="s">
        <v>312</v>
      </c>
      <c r="C735" s="2" t="s">
        <v>313</v>
      </c>
      <c r="D735" s="2" t="s">
        <v>727</v>
      </c>
      <c r="E735" s="2" t="s">
        <v>512</v>
      </c>
      <c r="F735" s="2" t="s">
        <v>49</v>
      </c>
      <c r="G735" s="2" t="s">
        <v>451</v>
      </c>
      <c r="H735" s="2" t="s">
        <v>27</v>
      </c>
      <c r="I735" s="2" t="s">
        <v>28</v>
      </c>
      <c r="J735" s="2">
        <v>574</v>
      </c>
      <c r="K735" s="2" t="s">
        <v>124</v>
      </c>
      <c r="L735" s="2">
        <v>24</v>
      </c>
      <c r="M735" s="27">
        <v>162840</v>
      </c>
      <c r="N735" s="44">
        <f t="shared" si="15"/>
        <v>6785</v>
      </c>
      <c r="O735" s="2"/>
      <c r="P735" s="27" t="s">
        <v>30</v>
      </c>
      <c r="Q735" s="27" t="s">
        <v>31</v>
      </c>
      <c r="R735" s="3">
        <v>46132</v>
      </c>
      <c r="S735" s="27" t="s">
        <v>32</v>
      </c>
    </row>
    <row r="736" spans="1:21" ht="15.75" x14ac:dyDescent="0.25">
      <c r="A736" s="2" t="s">
        <v>612</v>
      </c>
      <c r="B736" s="2" t="s">
        <v>312</v>
      </c>
      <c r="C736" s="2" t="s">
        <v>313</v>
      </c>
      <c r="D736" s="2" t="s">
        <v>727</v>
      </c>
      <c r="E736" s="2" t="s">
        <v>512</v>
      </c>
      <c r="F736" s="2" t="s">
        <v>49</v>
      </c>
      <c r="G736" s="2" t="s">
        <v>728</v>
      </c>
      <c r="H736" s="2" t="s">
        <v>27</v>
      </c>
      <c r="I736" s="2" t="s">
        <v>28</v>
      </c>
      <c r="J736" s="2">
        <v>574</v>
      </c>
      <c r="K736" s="2" t="s">
        <v>124</v>
      </c>
      <c r="L736" s="2">
        <v>24</v>
      </c>
      <c r="M736" s="27">
        <v>172200</v>
      </c>
      <c r="N736" s="44">
        <f t="shared" si="15"/>
        <v>7175</v>
      </c>
      <c r="O736" s="2"/>
      <c r="P736" s="27" t="s">
        <v>30</v>
      </c>
      <c r="Q736" s="27" t="s">
        <v>31</v>
      </c>
      <c r="R736" s="3">
        <v>46132</v>
      </c>
      <c r="S736" s="27" t="s">
        <v>32</v>
      </c>
    </row>
    <row r="737" spans="1:19" ht="15.75" x14ac:dyDescent="0.25">
      <c r="A737" s="2" t="s">
        <v>612</v>
      </c>
      <c r="B737" s="2" t="s">
        <v>312</v>
      </c>
      <c r="C737" s="2" t="s">
        <v>313</v>
      </c>
      <c r="D737" s="2" t="s">
        <v>727</v>
      </c>
      <c r="E737" s="2" t="s">
        <v>512</v>
      </c>
      <c r="F737" s="2" t="s">
        <v>49</v>
      </c>
      <c r="G737" s="2" t="s">
        <v>310</v>
      </c>
      <c r="H737" s="2" t="s">
        <v>27</v>
      </c>
      <c r="I737" s="2" t="s">
        <v>28</v>
      </c>
      <c r="J737" s="2">
        <v>574</v>
      </c>
      <c r="K737" s="2" t="s">
        <v>124</v>
      </c>
      <c r="L737" s="2">
        <v>12</v>
      </c>
      <c r="M737" s="27">
        <v>74100</v>
      </c>
      <c r="N737" s="44">
        <f t="shared" si="15"/>
        <v>6175</v>
      </c>
      <c r="O737" s="2"/>
      <c r="P737" s="27" t="s">
        <v>30</v>
      </c>
      <c r="Q737" s="27" t="s">
        <v>31</v>
      </c>
      <c r="R737" s="3">
        <v>46132</v>
      </c>
      <c r="S737" s="27" t="s">
        <v>32</v>
      </c>
    </row>
    <row r="738" spans="1:19" ht="15.75" x14ac:dyDescent="0.25">
      <c r="A738" s="2" t="s">
        <v>612</v>
      </c>
      <c r="B738" s="2" t="s">
        <v>312</v>
      </c>
      <c r="C738" s="2" t="s">
        <v>313</v>
      </c>
      <c r="D738" s="2" t="s">
        <v>727</v>
      </c>
      <c r="E738" s="2" t="s">
        <v>512</v>
      </c>
      <c r="F738" s="2" t="s">
        <v>49</v>
      </c>
      <c r="G738" s="2" t="s">
        <v>464</v>
      </c>
      <c r="H738" s="2" t="s">
        <v>27</v>
      </c>
      <c r="I738" s="2" t="s">
        <v>28</v>
      </c>
      <c r="J738" s="2">
        <v>574</v>
      </c>
      <c r="K738" s="2" t="s">
        <v>124</v>
      </c>
      <c r="L738" s="2">
        <v>12</v>
      </c>
      <c r="M738" s="27">
        <v>152280</v>
      </c>
      <c r="N738" s="44">
        <f t="shared" si="15"/>
        <v>12690</v>
      </c>
      <c r="O738" s="2"/>
      <c r="P738" s="27" t="s">
        <v>30</v>
      </c>
      <c r="Q738" s="27" t="s">
        <v>31</v>
      </c>
      <c r="R738" s="3">
        <v>46132</v>
      </c>
      <c r="S738" s="27" t="s">
        <v>32</v>
      </c>
    </row>
    <row r="739" spans="1:19" ht="15.75" x14ac:dyDescent="0.25">
      <c r="A739" s="2" t="s">
        <v>612</v>
      </c>
      <c r="B739" s="2" t="s">
        <v>623</v>
      </c>
      <c r="C739" s="2" t="s">
        <v>624</v>
      </c>
      <c r="D739" s="2" t="s">
        <v>727</v>
      </c>
      <c r="E739" s="2" t="s">
        <v>48</v>
      </c>
      <c r="F739" s="2" t="s">
        <v>25</v>
      </c>
      <c r="G739" s="2" t="s">
        <v>594</v>
      </c>
      <c r="H739" s="2" t="s">
        <v>27</v>
      </c>
      <c r="I739" s="2" t="s">
        <v>65</v>
      </c>
      <c r="J739" s="2">
        <v>244</v>
      </c>
      <c r="K739" s="2" t="s">
        <v>277</v>
      </c>
      <c r="L739" s="2">
        <v>3</v>
      </c>
      <c r="M739" s="27">
        <v>111000</v>
      </c>
      <c r="N739" s="44">
        <f t="shared" si="15"/>
        <v>37000</v>
      </c>
      <c r="O739" s="2"/>
      <c r="P739" s="27" t="s">
        <v>30</v>
      </c>
      <c r="Q739" s="27" t="s">
        <v>31</v>
      </c>
      <c r="R739" s="3">
        <v>46171</v>
      </c>
      <c r="S739" s="27" t="s">
        <v>32</v>
      </c>
    </row>
    <row r="740" spans="1:19" ht="15.75" x14ac:dyDescent="0.25">
      <c r="A740" s="2" t="s">
        <v>612</v>
      </c>
      <c r="B740" s="2" t="s">
        <v>729</v>
      </c>
      <c r="C740" s="2" t="s">
        <v>730</v>
      </c>
      <c r="D740" s="2" t="s">
        <v>731</v>
      </c>
      <c r="E740" s="2" t="s">
        <v>48</v>
      </c>
      <c r="F740" s="2" t="s">
        <v>59</v>
      </c>
      <c r="G740" s="2" t="s">
        <v>722</v>
      </c>
      <c r="H740" s="2" t="s">
        <v>27</v>
      </c>
      <c r="I740" s="2" t="s">
        <v>65</v>
      </c>
      <c r="J740" s="2">
        <v>245</v>
      </c>
      <c r="K740" s="2" t="s">
        <v>277</v>
      </c>
      <c r="L740" s="2">
        <v>10</v>
      </c>
      <c r="M740" s="27">
        <v>350000</v>
      </c>
      <c r="N740" s="44">
        <f t="shared" si="15"/>
        <v>35000</v>
      </c>
      <c r="O740" s="2"/>
      <c r="P740" s="27" t="s">
        <v>30</v>
      </c>
      <c r="Q740" s="27" t="s">
        <v>31</v>
      </c>
      <c r="R740" s="3">
        <v>46254</v>
      </c>
      <c r="S740" s="27" t="s">
        <v>32</v>
      </c>
    </row>
    <row r="741" spans="1:19" ht="15.75" x14ac:dyDescent="0.25">
      <c r="A741" s="2" t="s">
        <v>612</v>
      </c>
      <c r="B741" s="2" t="s">
        <v>729</v>
      </c>
      <c r="C741" s="2" t="s">
        <v>730</v>
      </c>
      <c r="D741" s="2" t="s">
        <v>731</v>
      </c>
      <c r="E741" s="2" t="s">
        <v>48</v>
      </c>
      <c r="F741" s="2" t="s">
        <v>59</v>
      </c>
      <c r="G741" s="2" t="s">
        <v>258</v>
      </c>
      <c r="H741" s="2" t="s">
        <v>27</v>
      </c>
      <c r="I741" s="2" t="s">
        <v>65</v>
      </c>
      <c r="J741" s="2">
        <v>245</v>
      </c>
      <c r="K741" s="2" t="s">
        <v>124</v>
      </c>
      <c r="L741" s="2">
        <v>100</v>
      </c>
      <c r="M741" s="27">
        <v>916000</v>
      </c>
      <c r="N741" s="44">
        <f t="shared" si="15"/>
        <v>9160</v>
      </c>
      <c r="O741" s="2"/>
      <c r="P741" s="27" t="s">
        <v>30</v>
      </c>
      <c r="Q741" s="27" t="s">
        <v>31</v>
      </c>
      <c r="R741" s="3">
        <v>46254</v>
      </c>
      <c r="S741" s="27" t="s">
        <v>32</v>
      </c>
    </row>
    <row r="742" spans="1:19" ht="15.75" x14ac:dyDescent="0.25">
      <c r="A742" s="2" t="s">
        <v>612</v>
      </c>
      <c r="B742" s="2" t="s">
        <v>117</v>
      </c>
      <c r="C742" s="2" t="s">
        <v>118</v>
      </c>
      <c r="D742" s="2" t="s">
        <v>731</v>
      </c>
      <c r="E742" s="2" t="s">
        <v>89</v>
      </c>
      <c r="F742" s="2" t="s">
        <v>90</v>
      </c>
      <c r="G742" s="2" t="s">
        <v>245</v>
      </c>
      <c r="H742" s="2" t="s">
        <v>57</v>
      </c>
      <c r="I742" s="2" t="s">
        <v>65</v>
      </c>
      <c r="J742" s="2">
        <v>246</v>
      </c>
      <c r="K742" s="2" t="s">
        <v>124</v>
      </c>
      <c r="L742" s="2">
        <v>80</v>
      </c>
      <c r="M742" s="27">
        <v>672000</v>
      </c>
      <c r="N742" s="44">
        <f t="shared" si="15"/>
        <v>8400</v>
      </c>
      <c r="P742" s="27" t="s">
        <v>30</v>
      </c>
      <c r="Q742" s="27" t="s">
        <v>31</v>
      </c>
      <c r="R742" s="3">
        <v>46162</v>
      </c>
      <c r="S742" s="27" t="s">
        <v>32</v>
      </c>
    </row>
    <row r="743" spans="1:19" ht="15.75" x14ac:dyDescent="0.25">
      <c r="A743" s="2" t="s">
        <v>612</v>
      </c>
      <c r="B743" s="2" t="s">
        <v>732</v>
      </c>
      <c r="C743" s="2" t="s">
        <v>733</v>
      </c>
      <c r="D743" s="2" t="s">
        <v>734</v>
      </c>
      <c r="E743" s="38" t="s">
        <v>24</v>
      </c>
      <c r="F743" s="2" t="s">
        <v>25</v>
      </c>
      <c r="G743" s="2" t="s">
        <v>411</v>
      </c>
      <c r="H743" s="2" t="s">
        <v>27</v>
      </c>
      <c r="I743" s="2" t="s">
        <v>28</v>
      </c>
      <c r="J743" s="2">
        <v>575</v>
      </c>
      <c r="K743" s="2" t="s">
        <v>124</v>
      </c>
      <c r="L743" s="2">
        <v>20</v>
      </c>
      <c r="M743" s="27">
        <v>60000</v>
      </c>
      <c r="N743" s="44">
        <f t="shared" si="15"/>
        <v>3000</v>
      </c>
      <c r="O743" s="2"/>
      <c r="P743" s="27" t="s">
        <v>30</v>
      </c>
      <c r="Q743" s="27" t="s">
        <v>31</v>
      </c>
      <c r="R743" s="3">
        <v>46132</v>
      </c>
      <c r="S743" s="27" t="s">
        <v>32</v>
      </c>
    </row>
    <row r="744" spans="1:19" ht="15.75" x14ac:dyDescent="0.25">
      <c r="A744" s="2" t="s">
        <v>612</v>
      </c>
      <c r="B744" s="2" t="s">
        <v>732</v>
      </c>
      <c r="C744" s="2" t="s">
        <v>733</v>
      </c>
      <c r="D744" s="2" t="s">
        <v>734</v>
      </c>
      <c r="E744" s="38" t="s">
        <v>24</v>
      </c>
      <c r="F744" s="2" t="s">
        <v>25</v>
      </c>
      <c r="G744" s="2" t="s">
        <v>296</v>
      </c>
      <c r="H744" s="2" t="s">
        <v>27</v>
      </c>
      <c r="I744" s="2" t="s">
        <v>28</v>
      </c>
      <c r="J744" s="2">
        <v>575</v>
      </c>
      <c r="K744" s="2" t="s">
        <v>124</v>
      </c>
      <c r="L744" s="2">
        <v>10</v>
      </c>
      <c r="M744" s="27">
        <v>30000</v>
      </c>
      <c r="N744" s="44">
        <f t="shared" si="15"/>
        <v>3000</v>
      </c>
      <c r="O744" s="2"/>
      <c r="P744" s="27" t="s">
        <v>30</v>
      </c>
      <c r="Q744" s="27" t="s">
        <v>31</v>
      </c>
      <c r="R744" s="3">
        <v>46132</v>
      </c>
      <c r="S744" s="27" t="s">
        <v>32</v>
      </c>
    </row>
    <row r="745" spans="1:19" ht="15.75" x14ac:dyDescent="0.25">
      <c r="A745" s="2" t="s">
        <v>612</v>
      </c>
      <c r="B745" s="2" t="s">
        <v>732</v>
      </c>
      <c r="C745" s="2" t="s">
        <v>733</v>
      </c>
      <c r="D745" s="2" t="s">
        <v>734</v>
      </c>
      <c r="E745" s="38" t="s">
        <v>24</v>
      </c>
      <c r="F745" s="2" t="s">
        <v>25</v>
      </c>
      <c r="G745" s="2" t="s">
        <v>322</v>
      </c>
      <c r="H745" s="2" t="s">
        <v>27</v>
      </c>
      <c r="I745" s="2" t="s">
        <v>28</v>
      </c>
      <c r="J745" s="2">
        <v>575</v>
      </c>
      <c r="K745" s="2" t="s">
        <v>124</v>
      </c>
      <c r="L745" s="2">
        <v>20</v>
      </c>
      <c r="M745" s="27">
        <v>140000</v>
      </c>
      <c r="N745" s="44">
        <f t="shared" si="15"/>
        <v>7000</v>
      </c>
      <c r="O745" s="2"/>
      <c r="P745" s="27" t="s">
        <v>30</v>
      </c>
      <c r="Q745" s="27" t="s">
        <v>31</v>
      </c>
      <c r="R745" s="3">
        <v>46132</v>
      </c>
      <c r="S745" s="27" t="s">
        <v>32</v>
      </c>
    </row>
    <row r="746" spans="1:19" ht="15.75" x14ac:dyDescent="0.25">
      <c r="A746" s="2" t="s">
        <v>612</v>
      </c>
      <c r="B746" s="2" t="s">
        <v>732</v>
      </c>
      <c r="C746" s="2" t="s">
        <v>733</v>
      </c>
      <c r="D746" s="2" t="s">
        <v>734</v>
      </c>
      <c r="E746" s="38" t="s">
        <v>24</v>
      </c>
      <c r="F746" s="2" t="s">
        <v>25</v>
      </c>
      <c r="G746" s="2" t="s">
        <v>243</v>
      </c>
      <c r="H746" s="2" t="s">
        <v>27</v>
      </c>
      <c r="I746" s="2" t="s">
        <v>28</v>
      </c>
      <c r="J746" s="2">
        <v>575</v>
      </c>
      <c r="K746" s="2" t="s">
        <v>124</v>
      </c>
      <c r="L746" s="2">
        <v>20</v>
      </c>
      <c r="M746" s="27">
        <v>120000</v>
      </c>
      <c r="N746" s="44">
        <f t="shared" si="15"/>
        <v>6000</v>
      </c>
      <c r="O746" s="2"/>
      <c r="P746" s="27" t="s">
        <v>30</v>
      </c>
      <c r="Q746" s="27" t="s">
        <v>31</v>
      </c>
      <c r="R746" s="3">
        <v>46132</v>
      </c>
      <c r="S746" s="27" t="s">
        <v>32</v>
      </c>
    </row>
    <row r="747" spans="1:19" ht="15.75" x14ac:dyDescent="0.25">
      <c r="A747" s="2" t="s">
        <v>612</v>
      </c>
      <c r="B747" s="2" t="s">
        <v>732</v>
      </c>
      <c r="C747" s="2" t="s">
        <v>733</v>
      </c>
      <c r="D747" s="2" t="s">
        <v>734</v>
      </c>
      <c r="E747" s="38" t="s">
        <v>24</v>
      </c>
      <c r="F747" s="2" t="s">
        <v>25</v>
      </c>
      <c r="G747" s="2" t="s">
        <v>380</v>
      </c>
      <c r="H747" s="2" t="s">
        <v>27</v>
      </c>
      <c r="I747" s="2" t="s">
        <v>28</v>
      </c>
      <c r="J747" s="2">
        <v>576</v>
      </c>
      <c r="K747" s="2" t="s">
        <v>124</v>
      </c>
      <c r="L747" s="2">
        <v>20</v>
      </c>
      <c r="M747" s="27">
        <v>116000</v>
      </c>
      <c r="N747" s="44">
        <f t="shared" si="15"/>
        <v>5800</v>
      </c>
      <c r="O747" s="2"/>
      <c r="P747" s="27" t="s">
        <v>30</v>
      </c>
      <c r="Q747" s="27" t="s">
        <v>31</v>
      </c>
      <c r="R747" s="3">
        <v>46132</v>
      </c>
      <c r="S747" s="27" t="s">
        <v>32</v>
      </c>
    </row>
    <row r="748" spans="1:19" ht="15.75" x14ac:dyDescent="0.25">
      <c r="A748" s="2" t="s">
        <v>612</v>
      </c>
      <c r="B748" s="2" t="s">
        <v>732</v>
      </c>
      <c r="C748" s="2" t="s">
        <v>733</v>
      </c>
      <c r="D748" s="2" t="s">
        <v>734</v>
      </c>
      <c r="E748" s="38" t="s">
        <v>24</v>
      </c>
      <c r="F748" s="2" t="s">
        <v>25</v>
      </c>
      <c r="G748" s="2" t="s">
        <v>252</v>
      </c>
      <c r="H748" s="2" t="s">
        <v>27</v>
      </c>
      <c r="I748" s="2" t="s">
        <v>28</v>
      </c>
      <c r="J748" s="2">
        <v>576</v>
      </c>
      <c r="K748" s="2" t="s">
        <v>124</v>
      </c>
      <c r="L748" s="2">
        <v>40</v>
      </c>
      <c r="M748" s="27">
        <v>232000</v>
      </c>
      <c r="N748" s="44">
        <f t="shared" si="15"/>
        <v>5800</v>
      </c>
      <c r="O748" s="2"/>
      <c r="P748" s="27" t="s">
        <v>30</v>
      </c>
      <c r="Q748" s="27" t="s">
        <v>31</v>
      </c>
      <c r="R748" s="3">
        <v>46132</v>
      </c>
      <c r="S748" s="27" t="s">
        <v>32</v>
      </c>
    </row>
    <row r="749" spans="1:19" ht="15.75" x14ac:dyDescent="0.25">
      <c r="A749" s="2" t="s">
        <v>612</v>
      </c>
      <c r="B749" s="2" t="s">
        <v>732</v>
      </c>
      <c r="C749" s="2" t="s">
        <v>733</v>
      </c>
      <c r="D749" s="2" t="s">
        <v>734</v>
      </c>
      <c r="E749" s="38" t="s">
        <v>24</v>
      </c>
      <c r="F749" s="2" t="s">
        <v>25</v>
      </c>
      <c r="G749" s="2" t="s">
        <v>243</v>
      </c>
      <c r="H749" s="2" t="s">
        <v>27</v>
      </c>
      <c r="I749" s="2" t="s">
        <v>28</v>
      </c>
      <c r="J749" s="2">
        <v>576</v>
      </c>
      <c r="K749" s="2" t="s">
        <v>124</v>
      </c>
      <c r="L749" s="2">
        <v>20</v>
      </c>
      <c r="M749" s="27">
        <v>196000</v>
      </c>
      <c r="N749" s="44">
        <f t="shared" si="15"/>
        <v>9800</v>
      </c>
      <c r="O749" s="2"/>
      <c r="P749" s="27" t="s">
        <v>30</v>
      </c>
      <c r="Q749" s="27" t="s">
        <v>31</v>
      </c>
      <c r="R749" s="3">
        <v>46132</v>
      </c>
      <c r="S749" s="27" t="s">
        <v>32</v>
      </c>
    </row>
    <row r="750" spans="1:19" ht="15.75" x14ac:dyDescent="0.25">
      <c r="A750" s="2" t="s">
        <v>612</v>
      </c>
      <c r="B750" s="2" t="s">
        <v>471</v>
      </c>
      <c r="C750" s="2" t="s">
        <v>472</v>
      </c>
      <c r="D750" s="2" t="s">
        <v>734</v>
      </c>
      <c r="E750" s="2" t="s">
        <v>48</v>
      </c>
      <c r="F750" s="2" t="s">
        <v>25</v>
      </c>
      <c r="G750" s="2" t="s">
        <v>245</v>
      </c>
      <c r="H750" s="2" t="s">
        <v>57</v>
      </c>
      <c r="I750" s="2" t="s">
        <v>28</v>
      </c>
      <c r="J750" s="2">
        <v>577</v>
      </c>
      <c r="K750" s="2" t="s">
        <v>124</v>
      </c>
      <c r="L750" s="2">
        <v>120</v>
      </c>
      <c r="M750" s="27">
        <v>1056000</v>
      </c>
      <c r="N750" s="44">
        <f t="shared" si="15"/>
        <v>8800</v>
      </c>
      <c r="O750" s="2"/>
      <c r="P750" s="27" t="s">
        <v>30</v>
      </c>
      <c r="Q750" s="27" t="s">
        <v>31</v>
      </c>
      <c r="R750" s="3">
        <v>46136</v>
      </c>
      <c r="S750" s="27" t="s">
        <v>32</v>
      </c>
    </row>
    <row r="751" spans="1:19" ht="15.75" x14ac:dyDescent="0.25">
      <c r="A751" s="2" t="s">
        <v>612</v>
      </c>
      <c r="B751" s="2" t="s">
        <v>471</v>
      </c>
      <c r="C751" s="2" t="s">
        <v>472</v>
      </c>
      <c r="D751" s="2" t="s">
        <v>734</v>
      </c>
      <c r="E751" s="2" t="s">
        <v>48</v>
      </c>
      <c r="F751" s="2" t="s">
        <v>25</v>
      </c>
      <c r="G751" s="2" t="s">
        <v>328</v>
      </c>
      <c r="H751" s="2" t="s">
        <v>57</v>
      </c>
      <c r="I751" s="2" t="s">
        <v>28</v>
      </c>
      <c r="J751" s="2">
        <v>577</v>
      </c>
      <c r="K751" s="2" t="s">
        <v>124</v>
      </c>
      <c r="L751" s="2">
        <v>10</v>
      </c>
      <c r="M751" s="27">
        <v>88000</v>
      </c>
      <c r="N751" s="44">
        <f t="shared" si="15"/>
        <v>8800</v>
      </c>
      <c r="O751" s="2"/>
      <c r="P751" s="27" t="s">
        <v>30</v>
      </c>
      <c r="Q751" s="27" t="s">
        <v>31</v>
      </c>
      <c r="R751" s="3">
        <v>46136</v>
      </c>
      <c r="S751" s="27" t="s">
        <v>32</v>
      </c>
    </row>
    <row r="752" spans="1:19" ht="15.75" x14ac:dyDescent="0.25">
      <c r="A752" s="2" t="s">
        <v>612</v>
      </c>
      <c r="B752" s="2" t="s">
        <v>471</v>
      </c>
      <c r="C752" s="2" t="s">
        <v>472</v>
      </c>
      <c r="D752" s="2" t="s">
        <v>734</v>
      </c>
      <c r="E752" s="2" t="s">
        <v>48</v>
      </c>
      <c r="F752" s="2" t="s">
        <v>25</v>
      </c>
      <c r="G752" s="2" t="s">
        <v>651</v>
      </c>
      <c r="H752" s="2" t="s">
        <v>86</v>
      </c>
      <c r="I752" s="2" t="s">
        <v>28</v>
      </c>
      <c r="J752" s="2">
        <v>578</v>
      </c>
      <c r="K752" s="2" t="s">
        <v>7</v>
      </c>
      <c r="L752" s="2">
        <v>2</v>
      </c>
      <c r="M752" s="27">
        <v>0</v>
      </c>
      <c r="N752" s="44">
        <f t="shared" si="15"/>
        <v>0</v>
      </c>
      <c r="O752" s="2"/>
      <c r="P752" s="27" t="s">
        <v>30</v>
      </c>
      <c r="Q752" s="27" t="s">
        <v>31</v>
      </c>
      <c r="R752" s="3">
        <v>46106</v>
      </c>
      <c r="S752" s="27" t="s">
        <v>32</v>
      </c>
    </row>
    <row r="753" spans="1:21" ht="15.75" x14ac:dyDescent="0.25">
      <c r="A753" s="2" t="s">
        <v>612</v>
      </c>
      <c r="B753" s="2" t="s">
        <v>109</v>
      </c>
      <c r="C753" s="2" t="s">
        <v>110</v>
      </c>
      <c r="D753" s="2" t="s">
        <v>742</v>
      </c>
      <c r="E753" s="2" t="s">
        <v>48</v>
      </c>
      <c r="F753" s="2" t="s">
        <v>59</v>
      </c>
      <c r="G753" s="2" t="s">
        <v>722</v>
      </c>
      <c r="H753" s="2" t="s">
        <v>27</v>
      </c>
      <c r="I753" s="2" t="s">
        <v>65</v>
      </c>
      <c r="J753" s="2">
        <v>249</v>
      </c>
      <c r="K753" s="2" t="s">
        <v>7</v>
      </c>
      <c r="L753" s="2">
        <v>12</v>
      </c>
      <c r="M753" s="27">
        <v>286560</v>
      </c>
      <c r="N753" s="44">
        <f t="shared" si="15"/>
        <v>23880</v>
      </c>
      <c r="O753" s="2"/>
      <c r="P753" s="27" t="s">
        <v>30</v>
      </c>
      <c r="Q753" s="27" t="s">
        <v>31</v>
      </c>
      <c r="R753" s="3">
        <v>46223</v>
      </c>
      <c r="S753" s="27" t="s">
        <v>32</v>
      </c>
    </row>
    <row r="754" spans="1:21" ht="15.75" x14ac:dyDescent="0.25">
      <c r="A754" s="2" t="s">
        <v>612</v>
      </c>
      <c r="B754" s="2" t="s">
        <v>591</v>
      </c>
      <c r="C754" s="2" t="s">
        <v>592</v>
      </c>
      <c r="D754" s="2" t="s">
        <v>735</v>
      </c>
      <c r="E754" s="2" t="s">
        <v>41</v>
      </c>
      <c r="F754" s="2" t="s">
        <v>37</v>
      </c>
      <c r="G754" s="2" t="s">
        <v>559</v>
      </c>
      <c r="H754" s="2" t="s">
        <v>57</v>
      </c>
      <c r="I754" s="2" t="s">
        <v>28</v>
      </c>
      <c r="J754" s="2">
        <v>579</v>
      </c>
      <c r="K754" s="2" t="s">
        <v>124</v>
      </c>
      <c r="L754" s="2">
        <v>20</v>
      </c>
      <c r="M754" s="27">
        <v>0</v>
      </c>
      <c r="N754" s="44">
        <f t="shared" si="15"/>
        <v>0</v>
      </c>
      <c r="O754" s="2"/>
      <c r="P754" s="27" t="s">
        <v>30</v>
      </c>
      <c r="Q754" s="27" t="s">
        <v>31</v>
      </c>
      <c r="R754" s="3">
        <v>46104</v>
      </c>
      <c r="S754" s="27" t="s">
        <v>32</v>
      </c>
      <c r="T754" s="27" t="s">
        <v>736</v>
      </c>
      <c r="U754" s="3">
        <v>46079</v>
      </c>
    </row>
    <row r="755" spans="1:21" ht="15.75" x14ac:dyDescent="0.25">
      <c r="A755" s="2" t="s">
        <v>612</v>
      </c>
      <c r="B755" s="2" t="s">
        <v>737</v>
      </c>
      <c r="C755" s="2" t="s">
        <v>738</v>
      </c>
      <c r="D755" s="2" t="s">
        <v>735</v>
      </c>
      <c r="E755" s="2" t="s">
        <v>48</v>
      </c>
      <c r="F755" s="2" t="s">
        <v>25</v>
      </c>
      <c r="G755" s="2" t="s">
        <v>722</v>
      </c>
      <c r="H755" s="2" t="s">
        <v>57</v>
      </c>
      <c r="I755" s="2" t="s">
        <v>65</v>
      </c>
      <c r="J755" s="2">
        <v>251</v>
      </c>
      <c r="K755" s="2" t="s">
        <v>277</v>
      </c>
      <c r="L755" s="2">
        <v>3</v>
      </c>
      <c r="M755" s="2">
        <v>99000</v>
      </c>
      <c r="N755" s="44">
        <f t="shared" ref="N755:N818" si="16">M755/L755</f>
        <v>33000</v>
      </c>
      <c r="O755" s="2"/>
      <c r="P755" s="27" t="s">
        <v>30</v>
      </c>
      <c r="Q755" s="27" t="s">
        <v>31</v>
      </c>
      <c r="R755" s="3">
        <v>46162</v>
      </c>
      <c r="S755" s="27" t="s">
        <v>32</v>
      </c>
    </row>
    <row r="756" spans="1:21" ht="15.75" x14ac:dyDescent="0.25">
      <c r="A756" s="2" t="s">
        <v>612</v>
      </c>
      <c r="B756" s="2" t="s">
        <v>348</v>
      </c>
      <c r="C756" s="2" t="s">
        <v>595</v>
      </c>
      <c r="D756" s="2" t="s">
        <v>739</v>
      </c>
      <c r="E756" s="2" t="s">
        <v>48</v>
      </c>
      <c r="F756" s="2" t="s">
        <v>59</v>
      </c>
      <c r="G756" s="2" t="s">
        <v>456</v>
      </c>
      <c r="H756" s="2" t="s">
        <v>57</v>
      </c>
      <c r="I756" s="2" t="s">
        <v>28</v>
      </c>
      <c r="J756" s="2">
        <v>580</v>
      </c>
      <c r="K756" s="2" t="s">
        <v>124</v>
      </c>
      <c r="L756" s="2">
        <v>15</v>
      </c>
      <c r="M756" s="2">
        <v>105195</v>
      </c>
      <c r="N756" s="44">
        <f t="shared" si="16"/>
        <v>7013</v>
      </c>
      <c r="O756" s="2"/>
      <c r="P756" s="27" t="s">
        <v>30</v>
      </c>
      <c r="Q756" s="27" t="s">
        <v>31</v>
      </c>
      <c r="R756" s="3">
        <v>46181</v>
      </c>
      <c r="S756" s="27" t="s">
        <v>32</v>
      </c>
    </row>
    <row r="757" spans="1:21" ht="15.75" x14ac:dyDescent="0.25">
      <c r="A757" s="2" t="s">
        <v>612</v>
      </c>
      <c r="B757" s="2" t="s">
        <v>348</v>
      </c>
      <c r="C757" s="2" t="s">
        <v>595</v>
      </c>
      <c r="D757" s="2" t="s">
        <v>739</v>
      </c>
      <c r="E757" s="2" t="s">
        <v>48</v>
      </c>
      <c r="F757" s="2" t="s">
        <v>59</v>
      </c>
      <c r="G757" s="2" t="s">
        <v>383</v>
      </c>
      <c r="H757" s="2" t="s">
        <v>57</v>
      </c>
      <c r="I757" s="2" t="s">
        <v>28</v>
      </c>
      <c r="J757" s="2">
        <v>580</v>
      </c>
      <c r="K757" s="2" t="s">
        <v>124</v>
      </c>
      <c r="L757" s="2">
        <v>40</v>
      </c>
      <c r="M757" s="2">
        <v>220000</v>
      </c>
      <c r="N757" s="44">
        <f t="shared" si="16"/>
        <v>5500</v>
      </c>
      <c r="O757" s="2"/>
      <c r="P757" s="27" t="s">
        <v>30</v>
      </c>
      <c r="Q757" s="27" t="s">
        <v>31</v>
      </c>
      <c r="R757" s="3">
        <v>46181</v>
      </c>
      <c r="S757" s="27" t="s">
        <v>32</v>
      </c>
    </row>
    <row r="758" spans="1:21" ht="15.75" x14ac:dyDescent="0.25">
      <c r="A758" s="2" t="s">
        <v>612</v>
      </c>
      <c r="B758" s="2" t="s">
        <v>348</v>
      </c>
      <c r="C758" s="2" t="s">
        <v>595</v>
      </c>
      <c r="D758" s="2" t="s">
        <v>739</v>
      </c>
      <c r="E758" s="2" t="s">
        <v>48</v>
      </c>
      <c r="F758" s="2" t="s">
        <v>59</v>
      </c>
      <c r="G758" s="2" t="s">
        <v>435</v>
      </c>
      <c r="H758" s="2" t="s">
        <v>57</v>
      </c>
      <c r="I758" s="2" t="s">
        <v>28</v>
      </c>
      <c r="J758" s="2">
        <v>580</v>
      </c>
      <c r="K758" s="2" t="s">
        <v>124</v>
      </c>
      <c r="L758" s="2">
        <v>1</v>
      </c>
      <c r="M758" s="2">
        <v>6225</v>
      </c>
      <c r="N758" s="44">
        <f t="shared" si="16"/>
        <v>6225</v>
      </c>
      <c r="O758" s="2"/>
      <c r="P758" s="27" t="s">
        <v>30</v>
      </c>
      <c r="Q758" s="27" t="s">
        <v>31</v>
      </c>
      <c r="R758" s="3">
        <v>46181</v>
      </c>
      <c r="S758" s="27" t="s">
        <v>32</v>
      </c>
    </row>
    <row r="759" spans="1:21" ht="15.75" x14ac:dyDescent="0.25">
      <c r="A759" s="2" t="s">
        <v>612</v>
      </c>
      <c r="B759" s="2" t="s">
        <v>348</v>
      </c>
      <c r="C759" s="2" t="s">
        <v>595</v>
      </c>
      <c r="D759" s="2" t="s">
        <v>739</v>
      </c>
      <c r="E759" s="2" t="s">
        <v>48</v>
      </c>
      <c r="F759" s="2" t="s">
        <v>59</v>
      </c>
      <c r="G759" s="2" t="s">
        <v>310</v>
      </c>
      <c r="H759" s="2" t="s">
        <v>57</v>
      </c>
      <c r="I759" s="2" t="s">
        <v>28</v>
      </c>
      <c r="J759" s="2">
        <v>580</v>
      </c>
      <c r="K759" s="2" t="s">
        <v>124</v>
      </c>
      <c r="L759" s="2">
        <v>1</v>
      </c>
      <c r="M759" s="2">
        <v>6225</v>
      </c>
      <c r="N759" s="44">
        <f t="shared" si="16"/>
        <v>6225</v>
      </c>
      <c r="O759" s="2"/>
      <c r="P759" s="27" t="s">
        <v>30</v>
      </c>
      <c r="Q759" s="27" t="s">
        <v>31</v>
      </c>
      <c r="R759" s="3">
        <v>46181</v>
      </c>
      <c r="S759" s="27" t="s">
        <v>32</v>
      </c>
    </row>
    <row r="760" spans="1:21" ht="15.75" x14ac:dyDescent="0.25">
      <c r="A760" s="2" t="s">
        <v>612</v>
      </c>
      <c r="B760" s="2" t="s">
        <v>348</v>
      </c>
      <c r="C760" s="2" t="s">
        <v>595</v>
      </c>
      <c r="D760" s="2" t="s">
        <v>739</v>
      </c>
      <c r="E760" s="2" t="s">
        <v>48</v>
      </c>
      <c r="F760" s="2" t="s">
        <v>59</v>
      </c>
      <c r="G760" s="2" t="s">
        <v>290</v>
      </c>
      <c r="H760" s="2" t="s">
        <v>57</v>
      </c>
      <c r="I760" s="2" t="s">
        <v>28</v>
      </c>
      <c r="J760" s="2">
        <v>580</v>
      </c>
      <c r="K760" s="2" t="s">
        <v>124</v>
      </c>
      <c r="L760" s="2">
        <v>20</v>
      </c>
      <c r="M760" s="2">
        <v>88500</v>
      </c>
      <c r="N760" s="44">
        <f t="shared" si="16"/>
        <v>4425</v>
      </c>
      <c r="O760" s="2"/>
      <c r="P760" s="27" t="s">
        <v>30</v>
      </c>
      <c r="Q760" s="27" t="s">
        <v>31</v>
      </c>
      <c r="R760" s="3">
        <v>46181</v>
      </c>
      <c r="S760" s="27" t="s">
        <v>32</v>
      </c>
    </row>
    <row r="761" spans="1:21" ht="15.75" x14ac:dyDescent="0.25">
      <c r="A761" s="2" t="s">
        <v>612</v>
      </c>
      <c r="B761" s="2" t="s">
        <v>348</v>
      </c>
      <c r="C761" s="2" t="s">
        <v>595</v>
      </c>
      <c r="D761" s="2" t="s">
        <v>739</v>
      </c>
      <c r="E761" s="2" t="s">
        <v>48</v>
      </c>
      <c r="F761" s="2" t="s">
        <v>59</v>
      </c>
      <c r="G761" s="2" t="s">
        <v>451</v>
      </c>
      <c r="H761" s="2" t="s">
        <v>57</v>
      </c>
      <c r="I761" s="2" t="s">
        <v>28</v>
      </c>
      <c r="J761" s="2">
        <v>580</v>
      </c>
      <c r="K761" s="2" t="s">
        <v>124</v>
      </c>
      <c r="L761" s="2">
        <v>1</v>
      </c>
      <c r="M761" s="2">
        <v>6880</v>
      </c>
      <c r="N761" s="44">
        <f t="shared" si="16"/>
        <v>6880</v>
      </c>
      <c r="O761" s="2"/>
      <c r="P761" s="27" t="s">
        <v>30</v>
      </c>
      <c r="Q761" s="27" t="s">
        <v>31</v>
      </c>
      <c r="R761" s="3">
        <v>46181</v>
      </c>
      <c r="S761" s="27" t="s">
        <v>32</v>
      </c>
    </row>
    <row r="762" spans="1:21" ht="15.75" x14ac:dyDescent="0.25">
      <c r="A762" s="2" t="s">
        <v>612</v>
      </c>
      <c r="B762" s="2" t="s">
        <v>348</v>
      </c>
      <c r="C762" s="2" t="s">
        <v>595</v>
      </c>
      <c r="D762" s="2" t="s">
        <v>739</v>
      </c>
      <c r="E762" s="2" t="s">
        <v>48</v>
      </c>
      <c r="F762" s="2" t="s">
        <v>59</v>
      </c>
      <c r="G762" s="2" t="s">
        <v>437</v>
      </c>
      <c r="H762" s="2" t="s">
        <v>57</v>
      </c>
      <c r="I762" s="2" t="s">
        <v>28</v>
      </c>
      <c r="J762" s="2">
        <v>580</v>
      </c>
      <c r="K762" s="2" t="s">
        <v>124</v>
      </c>
      <c r="L762" s="2">
        <v>2</v>
      </c>
      <c r="M762" s="2">
        <v>13280</v>
      </c>
      <c r="N762" s="44">
        <f t="shared" si="16"/>
        <v>6640</v>
      </c>
      <c r="O762" s="2"/>
      <c r="P762" s="27" t="s">
        <v>30</v>
      </c>
      <c r="Q762" s="27" t="s">
        <v>31</v>
      </c>
      <c r="R762" s="3">
        <v>46181</v>
      </c>
      <c r="S762" s="27" t="s">
        <v>32</v>
      </c>
    </row>
    <row r="763" spans="1:21" ht="15.75" x14ac:dyDescent="0.25">
      <c r="A763" s="2" t="s">
        <v>612</v>
      </c>
      <c r="B763" s="2" t="s">
        <v>348</v>
      </c>
      <c r="C763" s="2" t="s">
        <v>595</v>
      </c>
      <c r="D763" s="2" t="s">
        <v>739</v>
      </c>
      <c r="E763" s="2" t="s">
        <v>48</v>
      </c>
      <c r="F763" s="2" t="s">
        <v>59</v>
      </c>
      <c r="G763" s="2" t="s">
        <v>439</v>
      </c>
      <c r="H763" s="2" t="s">
        <v>57</v>
      </c>
      <c r="I763" s="2" t="s">
        <v>28</v>
      </c>
      <c r="J763" s="2">
        <v>580</v>
      </c>
      <c r="K763" s="2" t="s">
        <v>124</v>
      </c>
      <c r="L763" s="2">
        <v>5</v>
      </c>
      <c r="M763" s="2">
        <v>33750</v>
      </c>
      <c r="N763" s="44">
        <f t="shared" si="16"/>
        <v>6750</v>
      </c>
      <c r="O763" s="2"/>
      <c r="P763" s="27" t="s">
        <v>30</v>
      </c>
      <c r="Q763" s="27" t="s">
        <v>31</v>
      </c>
      <c r="R763" s="3">
        <v>46181</v>
      </c>
      <c r="S763" s="27" t="s">
        <v>32</v>
      </c>
    </row>
    <row r="764" spans="1:21" ht="15.75" x14ac:dyDescent="0.25">
      <c r="A764" s="2" t="s">
        <v>612</v>
      </c>
      <c r="B764" s="2" t="s">
        <v>348</v>
      </c>
      <c r="C764" s="2" t="s">
        <v>595</v>
      </c>
      <c r="D764" s="2" t="s">
        <v>739</v>
      </c>
      <c r="E764" s="2" t="s">
        <v>48</v>
      </c>
      <c r="F764" s="2" t="s">
        <v>59</v>
      </c>
      <c r="G764" s="2" t="s">
        <v>296</v>
      </c>
      <c r="H764" s="2" t="s">
        <v>57</v>
      </c>
      <c r="I764" s="2" t="s">
        <v>28</v>
      </c>
      <c r="J764" s="2">
        <v>580</v>
      </c>
      <c r="K764" s="2" t="s">
        <v>124</v>
      </c>
      <c r="L764" s="2">
        <v>5</v>
      </c>
      <c r="M764" s="2">
        <v>23625</v>
      </c>
      <c r="N764" s="44">
        <f t="shared" si="16"/>
        <v>4725</v>
      </c>
      <c r="O764" s="2"/>
      <c r="P764" s="27" t="s">
        <v>30</v>
      </c>
      <c r="Q764" s="27" t="s">
        <v>31</v>
      </c>
      <c r="R764" s="3">
        <v>46181</v>
      </c>
      <c r="S764" s="27" t="s">
        <v>32</v>
      </c>
    </row>
    <row r="765" spans="1:21" ht="15.75" x14ac:dyDescent="0.25">
      <c r="A765" s="2" t="s">
        <v>612</v>
      </c>
      <c r="B765" s="2" t="s">
        <v>527</v>
      </c>
      <c r="C765" s="2" t="s">
        <v>528</v>
      </c>
      <c r="D765" s="2" t="s">
        <v>745</v>
      </c>
      <c r="E765" s="2" t="s">
        <v>89</v>
      </c>
      <c r="F765" s="2" t="s">
        <v>25</v>
      </c>
      <c r="G765" s="2" t="s">
        <v>468</v>
      </c>
      <c r="H765" s="2" t="s">
        <v>27</v>
      </c>
      <c r="I765" s="2" t="s">
        <v>28</v>
      </c>
      <c r="J765" s="2">
        <v>581</v>
      </c>
      <c r="K765" s="2" t="s">
        <v>277</v>
      </c>
      <c r="L765" s="2">
        <v>1</v>
      </c>
      <c r="M765" s="27">
        <v>35000</v>
      </c>
      <c r="N765" s="44">
        <f t="shared" si="16"/>
        <v>35000</v>
      </c>
      <c r="O765" s="2"/>
      <c r="P765" s="27" t="s">
        <v>30</v>
      </c>
      <c r="Q765" s="27" t="s">
        <v>31</v>
      </c>
      <c r="R765" s="3">
        <v>46112</v>
      </c>
      <c r="S765" s="27" t="s">
        <v>32</v>
      </c>
    </row>
    <row r="766" spans="1:21" ht="15.75" x14ac:dyDescent="0.25">
      <c r="A766" s="2" t="s">
        <v>612</v>
      </c>
      <c r="B766" s="2" t="s">
        <v>740</v>
      </c>
      <c r="C766" s="2" t="s">
        <v>741</v>
      </c>
      <c r="D766" s="2" t="s">
        <v>745</v>
      </c>
      <c r="E766" s="2" t="s">
        <v>382</v>
      </c>
      <c r="F766" s="2" t="s">
        <v>37</v>
      </c>
      <c r="G766" s="2" t="s">
        <v>389</v>
      </c>
      <c r="H766" s="2" t="s">
        <v>27</v>
      </c>
      <c r="I766" s="2" t="s">
        <v>65</v>
      </c>
      <c r="J766" s="2">
        <v>252</v>
      </c>
      <c r="K766" s="2" t="s">
        <v>124</v>
      </c>
      <c r="L766" s="2">
        <v>200</v>
      </c>
      <c r="M766" s="27">
        <v>1000000</v>
      </c>
      <c r="N766" s="44">
        <f t="shared" si="16"/>
        <v>5000</v>
      </c>
      <c r="O766" s="2"/>
      <c r="P766" s="27" t="s">
        <v>30</v>
      </c>
      <c r="Q766" s="27" t="s">
        <v>31</v>
      </c>
      <c r="R766" s="3">
        <v>46193</v>
      </c>
      <c r="S766" s="27" t="s">
        <v>32</v>
      </c>
    </row>
    <row r="767" spans="1:21" ht="15.75" x14ac:dyDescent="0.25">
      <c r="A767" s="2" t="s">
        <v>612</v>
      </c>
      <c r="B767" s="2" t="s">
        <v>743</v>
      </c>
      <c r="C767" s="2" t="s">
        <v>744</v>
      </c>
      <c r="D767" s="2" t="s">
        <v>745</v>
      </c>
      <c r="E767" s="2" t="s">
        <v>41</v>
      </c>
      <c r="F767" s="2" t="s">
        <v>37</v>
      </c>
      <c r="G767" s="2" t="s">
        <v>692</v>
      </c>
      <c r="H767" s="2" t="s">
        <v>27</v>
      </c>
      <c r="I767" s="2" t="s">
        <v>65</v>
      </c>
      <c r="J767" s="2">
        <v>253</v>
      </c>
      <c r="K767" s="2" t="s">
        <v>124</v>
      </c>
      <c r="L767" s="2">
        <v>40</v>
      </c>
      <c r="M767" s="27">
        <v>640000</v>
      </c>
      <c r="N767" s="44">
        <f t="shared" si="16"/>
        <v>16000</v>
      </c>
      <c r="O767" s="2"/>
      <c r="P767" s="27" t="s">
        <v>30</v>
      </c>
      <c r="Q767" s="27" t="s">
        <v>31</v>
      </c>
      <c r="R767" s="3">
        <v>46147</v>
      </c>
      <c r="S767" s="27" t="s">
        <v>32</v>
      </c>
    </row>
    <row r="768" spans="1:21" ht="15.75" x14ac:dyDescent="0.25">
      <c r="A768" s="2" t="s">
        <v>612</v>
      </c>
      <c r="B768" s="2" t="s">
        <v>331</v>
      </c>
      <c r="C768" s="2" t="s">
        <v>332</v>
      </c>
      <c r="D768" s="2" t="s">
        <v>745</v>
      </c>
      <c r="E768" s="2" t="s">
        <v>89</v>
      </c>
      <c r="F768" s="2" t="s">
        <v>25</v>
      </c>
      <c r="G768" s="2" t="s">
        <v>692</v>
      </c>
      <c r="H768" s="2" t="s">
        <v>27</v>
      </c>
      <c r="I768" s="2" t="s">
        <v>65</v>
      </c>
      <c r="J768" s="2">
        <v>255</v>
      </c>
      <c r="K768" s="2" t="s">
        <v>124</v>
      </c>
      <c r="L768" s="2">
        <v>20</v>
      </c>
      <c r="M768" s="27">
        <v>376000</v>
      </c>
      <c r="N768" s="44">
        <f t="shared" si="16"/>
        <v>18800</v>
      </c>
      <c r="O768" s="2"/>
      <c r="P768" s="27" t="s">
        <v>30</v>
      </c>
      <c r="Q768" s="27" t="s">
        <v>31</v>
      </c>
      <c r="R768" s="3">
        <v>46147</v>
      </c>
      <c r="S768" s="27" t="s">
        <v>32</v>
      </c>
    </row>
    <row r="769" spans="1:21" ht="15.75" x14ac:dyDescent="0.25">
      <c r="A769" s="2" t="s">
        <v>612</v>
      </c>
      <c r="B769" s="2" t="s">
        <v>46</v>
      </c>
      <c r="C769" s="2" t="s">
        <v>47</v>
      </c>
      <c r="D769" s="2" t="s">
        <v>745</v>
      </c>
      <c r="E769" s="2" t="s">
        <v>48</v>
      </c>
      <c r="F769" s="2" t="s">
        <v>49</v>
      </c>
      <c r="G769" s="2" t="s">
        <v>389</v>
      </c>
      <c r="H769" s="2" t="s">
        <v>27</v>
      </c>
      <c r="I769" s="2" t="s">
        <v>28</v>
      </c>
      <c r="J769" s="2">
        <v>582</v>
      </c>
      <c r="K769" s="2" t="s">
        <v>124</v>
      </c>
      <c r="L769" s="2">
        <v>160</v>
      </c>
      <c r="M769" s="27">
        <v>640000</v>
      </c>
      <c r="N769" s="44">
        <f t="shared" si="16"/>
        <v>4000</v>
      </c>
      <c r="O769" s="2"/>
      <c r="P769" s="27" t="s">
        <v>30</v>
      </c>
      <c r="Q769" s="27" t="s">
        <v>31</v>
      </c>
      <c r="R769" s="3">
        <v>46147</v>
      </c>
      <c r="S769" s="27" t="s">
        <v>32</v>
      </c>
    </row>
    <row r="770" spans="1:21" ht="15.75" x14ac:dyDescent="0.25">
      <c r="A770" s="2" t="s">
        <v>757</v>
      </c>
      <c r="B770" s="2" t="s">
        <v>687</v>
      </c>
      <c r="C770" s="2" t="s">
        <v>688</v>
      </c>
      <c r="D770" s="2" t="s">
        <v>758</v>
      </c>
      <c r="E770" s="2" t="s">
        <v>36</v>
      </c>
      <c r="F770" s="2" t="s">
        <v>55</v>
      </c>
      <c r="G770" s="2" t="s">
        <v>759</v>
      </c>
      <c r="H770" s="2" t="s">
        <v>57</v>
      </c>
      <c r="I770" s="2" t="s">
        <v>28</v>
      </c>
      <c r="J770" s="2">
        <v>583</v>
      </c>
      <c r="K770" s="2" t="s">
        <v>277</v>
      </c>
      <c r="L770" s="2">
        <v>151</v>
      </c>
      <c r="M770" s="27">
        <v>4001500</v>
      </c>
      <c r="N770" s="44">
        <f t="shared" si="16"/>
        <v>26500</v>
      </c>
      <c r="O770" s="2"/>
      <c r="P770" s="27" t="s">
        <v>30</v>
      </c>
      <c r="Q770" s="27" t="s">
        <v>31</v>
      </c>
      <c r="R770" s="3">
        <v>46233</v>
      </c>
      <c r="S770" s="27" t="s">
        <v>32</v>
      </c>
    </row>
    <row r="771" spans="1:21" ht="15.75" x14ac:dyDescent="0.25">
      <c r="A771" s="2" t="s">
        <v>757</v>
      </c>
      <c r="B771" s="2" t="s">
        <v>743</v>
      </c>
      <c r="C771" s="2" t="s">
        <v>744</v>
      </c>
      <c r="D771" s="2" t="s">
        <v>758</v>
      </c>
      <c r="E771" s="2" t="s">
        <v>41</v>
      </c>
      <c r="F771" s="2" t="s">
        <v>37</v>
      </c>
      <c r="G771" s="2" t="s">
        <v>692</v>
      </c>
      <c r="H771" s="2" t="s">
        <v>27</v>
      </c>
      <c r="I771" s="2" t="s">
        <v>28</v>
      </c>
      <c r="J771" s="2">
        <v>584</v>
      </c>
      <c r="K771" s="2" t="s">
        <v>124</v>
      </c>
      <c r="L771" s="2">
        <v>40</v>
      </c>
      <c r="M771" s="27">
        <v>0</v>
      </c>
      <c r="N771" s="44">
        <f t="shared" si="16"/>
        <v>0</v>
      </c>
      <c r="O771" s="2"/>
      <c r="P771" s="27" t="s">
        <v>30</v>
      </c>
      <c r="Q771" s="27" t="s">
        <v>31</v>
      </c>
      <c r="R771" s="3">
        <v>46113</v>
      </c>
      <c r="S771" s="27" t="s">
        <v>32</v>
      </c>
      <c r="T771" s="27" t="s">
        <v>760</v>
      </c>
      <c r="U771" s="3">
        <v>46112</v>
      </c>
    </row>
    <row r="772" spans="1:21" ht="15.75" x14ac:dyDescent="0.25">
      <c r="A772" s="2" t="s">
        <v>757</v>
      </c>
      <c r="B772" s="2" t="s">
        <v>236</v>
      </c>
      <c r="C772" s="2" t="s">
        <v>237</v>
      </c>
      <c r="D772" s="2" t="s">
        <v>758</v>
      </c>
      <c r="E772" s="2" t="s">
        <v>326</v>
      </c>
      <c r="F772" s="2" t="s">
        <v>55</v>
      </c>
      <c r="G772" s="2" t="s">
        <v>641</v>
      </c>
      <c r="H772" s="2" t="s">
        <v>57</v>
      </c>
      <c r="I772" s="2" t="s">
        <v>28</v>
      </c>
      <c r="J772" s="2">
        <v>586</v>
      </c>
      <c r="K772" s="2" t="s">
        <v>7</v>
      </c>
      <c r="L772" s="2">
        <v>668</v>
      </c>
      <c r="M772" s="27">
        <v>0</v>
      </c>
      <c r="N772" s="44">
        <f t="shared" si="16"/>
        <v>0</v>
      </c>
      <c r="O772" s="2"/>
      <c r="P772" s="27" t="s">
        <v>30</v>
      </c>
      <c r="Q772" s="27" t="s">
        <v>31</v>
      </c>
      <c r="R772" s="3">
        <v>46235</v>
      </c>
      <c r="S772" s="27" t="s">
        <v>32</v>
      </c>
      <c r="T772" s="27" t="s">
        <v>761</v>
      </c>
      <c r="U772" s="3">
        <v>45924</v>
      </c>
    </row>
    <row r="773" spans="1:21" ht="15.75" x14ac:dyDescent="0.25">
      <c r="A773" s="2" t="s">
        <v>757</v>
      </c>
      <c r="B773" s="2" t="s">
        <v>687</v>
      </c>
      <c r="C773" s="2" t="s">
        <v>688</v>
      </c>
      <c r="D773" s="2" t="s">
        <v>758</v>
      </c>
      <c r="E773" s="2" t="s">
        <v>36</v>
      </c>
      <c r="F773" s="2" t="s">
        <v>55</v>
      </c>
      <c r="G773" s="2" t="s">
        <v>759</v>
      </c>
      <c r="H773" s="2" t="s">
        <v>57</v>
      </c>
      <c r="I773" s="2" t="s">
        <v>65</v>
      </c>
      <c r="J773" s="2">
        <v>257</v>
      </c>
      <c r="K773" s="2" t="s">
        <v>277</v>
      </c>
      <c r="L773" s="2">
        <v>149</v>
      </c>
      <c r="M773" s="27">
        <v>3948500</v>
      </c>
      <c r="N773" s="44">
        <f t="shared" si="16"/>
        <v>26500</v>
      </c>
      <c r="O773" s="2"/>
      <c r="P773" s="27" t="s">
        <v>30</v>
      </c>
      <c r="Q773" s="27" t="s">
        <v>31</v>
      </c>
      <c r="R773" s="3">
        <v>46239</v>
      </c>
      <c r="S773" s="27" t="s">
        <v>32</v>
      </c>
      <c r="U773" s="2"/>
    </row>
    <row r="774" spans="1:21" ht="15.75" x14ac:dyDescent="0.25">
      <c r="A774" s="2" t="s">
        <v>757</v>
      </c>
      <c r="B774" s="2" t="s">
        <v>729</v>
      </c>
      <c r="C774" s="2" t="s">
        <v>730</v>
      </c>
      <c r="D774" s="2" t="s">
        <v>762</v>
      </c>
      <c r="E774" s="2" t="s">
        <v>48</v>
      </c>
      <c r="F774" s="2" t="s">
        <v>59</v>
      </c>
      <c r="G774" s="2" t="s">
        <v>722</v>
      </c>
      <c r="H774" s="2" t="s">
        <v>27</v>
      </c>
      <c r="I774" s="2" t="s">
        <v>28</v>
      </c>
      <c r="J774" s="2">
        <v>587</v>
      </c>
      <c r="K774" s="2" t="s">
        <v>277</v>
      </c>
      <c r="L774" s="2">
        <v>10</v>
      </c>
      <c r="M774" s="27">
        <v>0</v>
      </c>
      <c r="N774" s="44">
        <f t="shared" si="16"/>
        <v>0</v>
      </c>
      <c r="O774" s="2"/>
      <c r="P774" s="27" t="s">
        <v>30</v>
      </c>
      <c r="Q774" s="27" t="s">
        <v>31</v>
      </c>
      <c r="R774" s="3">
        <v>46254</v>
      </c>
      <c r="S774" s="27" t="s">
        <v>32</v>
      </c>
      <c r="T774" s="27" t="s">
        <v>763</v>
      </c>
      <c r="U774" s="3">
        <v>46105</v>
      </c>
    </row>
    <row r="775" spans="1:21" ht="15.75" x14ac:dyDescent="0.25">
      <c r="A775" s="2" t="s">
        <v>757</v>
      </c>
      <c r="B775" s="2" t="s">
        <v>729</v>
      </c>
      <c r="C775" s="2" t="s">
        <v>730</v>
      </c>
      <c r="D775" s="2" t="s">
        <v>762</v>
      </c>
      <c r="E775" s="2" t="s">
        <v>48</v>
      </c>
      <c r="F775" s="2" t="s">
        <v>59</v>
      </c>
      <c r="G775" s="2" t="s">
        <v>258</v>
      </c>
      <c r="H775" s="2" t="s">
        <v>27</v>
      </c>
      <c r="I775" s="2" t="s">
        <v>28</v>
      </c>
      <c r="J775" s="2">
        <v>587</v>
      </c>
      <c r="K775" s="2" t="s">
        <v>124</v>
      </c>
      <c r="L775" s="2">
        <v>100</v>
      </c>
      <c r="M775" s="27">
        <v>0</v>
      </c>
      <c r="N775" s="44">
        <f t="shared" si="16"/>
        <v>0</v>
      </c>
      <c r="O775" s="2"/>
      <c r="P775" s="27" t="s">
        <v>30</v>
      </c>
      <c r="Q775" s="27" t="s">
        <v>31</v>
      </c>
      <c r="R775" s="3">
        <v>46254</v>
      </c>
      <c r="S775" s="27" t="s">
        <v>32</v>
      </c>
      <c r="T775" s="27" t="s">
        <v>763</v>
      </c>
      <c r="U775" s="3">
        <v>46105</v>
      </c>
    </row>
    <row r="776" spans="1:21" ht="15.75" x14ac:dyDescent="0.25">
      <c r="A776" s="2" t="s">
        <v>757</v>
      </c>
      <c r="B776" s="2" t="s">
        <v>682</v>
      </c>
      <c r="C776" s="2" t="s">
        <v>683</v>
      </c>
      <c r="D776" s="2" t="s">
        <v>764</v>
      </c>
      <c r="E776" s="2" t="s">
        <v>382</v>
      </c>
      <c r="F776" s="2" t="s">
        <v>37</v>
      </c>
      <c r="G776" s="2" t="s">
        <v>692</v>
      </c>
      <c r="H776" s="2" t="s">
        <v>27</v>
      </c>
      <c r="I776" s="2" t="s">
        <v>28</v>
      </c>
      <c r="J776" s="2">
        <v>588</v>
      </c>
      <c r="K776" s="2" t="s">
        <v>124</v>
      </c>
      <c r="L776" s="2">
        <v>20</v>
      </c>
      <c r="M776" s="27">
        <v>320000</v>
      </c>
      <c r="N776" s="44">
        <f t="shared" si="16"/>
        <v>16000</v>
      </c>
      <c r="O776" s="2"/>
      <c r="P776" s="27" t="s">
        <v>30</v>
      </c>
      <c r="Q776" s="27" t="s">
        <v>31</v>
      </c>
      <c r="R776" s="3">
        <v>46117</v>
      </c>
      <c r="S776" s="27" t="s">
        <v>32</v>
      </c>
      <c r="U776" s="2"/>
    </row>
    <row r="777" spans="1:21" ht="15.75" x14ac:dyDescent="0.25">
      <c r="A777" s="2" t="s">
        <v>757</v>
      </c>
      <c r="B777" s="2" t="s">
        <v>682</v>
      </c>
      <c r="C777" s="2" t="s">
        <v>683</v>
      </c>
      <c r="D777" s="2" t="s">
        <v>764</v>
      </c>
      <c r="E777" s="2" t="s">
        <v>382</v>
      </c>
      <c r="F777" s="2" t="s">
        <v>37</v>
      </c>
      <c r="G777" s="2" t="s">
        <v>254</v>
      </c>
      <c r="H777" s="2" t="s">
        <v>27</v>
      </c>
      <c r="I777" s="2" t="s">
        <v>28</v>
      </c>
      <c r="J777" s="2">
        <v>588</v>
      </c>
      <c r="K777" s="2" t="s">
        <v>124</v>
      </c>
      <c r="L777" s="2">
        <v>40</v>
      </c>
      <c r="M777" s="27">
        <v>200000</v>
      </c>
      <c r="N777" s="44">
        <f t="shared" si="16"/>
        <v>5000</v>
      </c>
      <c r="O777" s="2"/>
      <c r="P777" s="27" t="s">
        <v>30</v>
      </c>
      <c r="Q777" s="27" t="s">
        <v>31</v>
      </c>
      <c r="R777" s="3">
        <v>46117</v>
      </c>
      <c r="S777" s="27" t="s">
        <v>32</v>
      </c>
      <c r="U777" s="2"/>
    </row>
    <row r="778" spans="1:21" ht="15.75" x14ac:dyDescent="0.25">
      <c r="A778" s="2" t="s">
        <v>757</v>
      </c>
      <c r="B778" s="2" t="s">
        <v>645</v>
      </c>
      <c r="C778" s="2" t="s">
        <v>646</v>
      </c>
      <c r="D778" s="2" t="s">
        <v>764</v>
      </c>
      <c r="E778" s="2" t="s">
        <v>41</v>
      </c>
      <c r="F778" s="2" t="s">
        <v>37</v>
      </c>
      <c r="G778" s="2" t="s">
        <v>323</v>
      </c>
      <c r="H778" s="2" t="s">
        <v>27</v>
      </c>
      <c r="I778" s="2" t="s">
        <v>28</v>
      </c>
      <c r="J778" s="2">
        <v>589</v>
      </c>
      <c r="K778" s="2" t="s">
        <v>124</v>
      </c>
      <c r="L778" s="2">
        <v>10</v>
      </c>
      <c r="M778" s="27">
        <v>170000</v>
      </c>
      <c r="N778" s="44">
        <f t="shared" si="16"/>
        <v>17000</v>
      </c>
      <c r="O778" s="2"/>
      <c r="P778" s="27" t="s">
        <v>30</v>
      </c>
      <c r="Q778" s="27" t="s">
        <v>31</v>
      </c>
      <c r="R778" s="3">
        <v>46117</v>
      </c>
      <c r="S778" s="27" t="s">
        <v>32</v>
      </c>
      <c r="U778" s="2"/>
    </row>
    <row r="779" spans="1:21" ht="15.75" x14ac:dyDescent="0.25">
      <c r="A779" s="2" t="s">
        <v>757</v>
      </c>
      <c r="B779" s="2" t="s">
        <v>645</v>
      </c>
      <c r="C779" s="2" t="s">
        <v>646</v>
      </c>
      <c r="D779" s="2" t="s">
        <v>764</v>
      </c>
      <c r="E779" s="2" t="s">
        <v>41</v>
      </c>
      <c r="F779" s="2" t="s">
        <v>37</v>
      </c>
      <c r="G779" s="2" t="s">
        <v>559</v>
      </c>
      <c r="H779" s="2" t="s">
        <v>27</v>
      </c>
      <c r="I779" s="2" t="s">
        <v>28</v>
      </c>
      <c r="J779" s="2">
        <v>589</v>
      </c>
      <c r="K779" s="2" t="s">
        <v>124</v>
      </c>
      <c r="L779" s="2">
        <v>20</v>
      </c>
      <c r="M779" s="27">
        <v>200000</v>
      </c>
      <c r="N779" s="44">
        <f t="shared" si="16"/>
        <v>10000</v>
      </c>
      <c r="O779" s="2"/>
      <c r="P779" s="27" t="s">
        <v>30</v>
      </c>
      <c r="Q779" s="27" t="s">
        <v>31</v>
      </c>
      <c r="R779" s="3">
        <v>46117</v>
      </c>
      <c r="S779" s="27" t="s">
        <v>32</v>
      </c>
    </row>
    <row r="780" spans="1:21" ht="15.75" x14ac:dyDescent="0.25">
      <c r="A780" s="2" t="s">
        <v>757</v>
      </c>
      <c r="B780" s="2" t="s">
        <v>740</v>
      </c>
      <c r="C780" s="2" t="s">
        <v>741</v>
      </c>
      <c r="D780" s="2" t="s">
        <v>775</v>
      </c>
      <c r="E780" s="2"/>
      <c r="F780" s="2" t="s">
        <v>37</v>
      </c>
      <c r="G780" s="2" t="s">
        <v>389</v>
      </c>
      <c r="H780" s="2" t="s">
        <v>27</v>
      </c>
      <c r="I780" s="2" t="s">
        <v>28</v>
      </c>
      <c r="J780" s="2">
        <v>590</v>
      </c>
      <c r="K780" s="2" t="s">
        <v>124</v>
      </c>
      <c r="L780" s="2">
        <v>200</v>
      </c>
      <c r="M780" s="2">
        <v>0</v>
      </c>
      <c r="N780" s="58">
        <f t="shared" si="16"/>
        <v>0</v>
      </c>
      <c r="O780" s="2"/>
      <c r="P780" s="27" t="s">
        <v>30</v>
      </c>
      <c r="Q780" s="27" t="s">
        <v>31</v>
      </c>
      <c r="R780" s="3">
        <v>46208</v>
      </c>
      <c r="S780" s="27" t="s">
        <v>32</v>
      </c>
      <c r="T780" s="27" t="s">
        <v>802</v>
      </c>
      <c r="U780" s="1">
        <v>46112</v>
      </c>
    </row>
    <row r="781" spans="1:21" ht="15.75" x14ac:dyDescent="0.25">
      <c r="A781" s="2" t="s">
        <v>757</v>
      </c>
      <c r="B781" s="2" t="s">
        <v>384</v>
      </c>
      <c r="C781" s="2" t="s">
        <v>385</v>
      </c>
      <c r="D781" s="2" t="s">
        <v>776</v>
      </c>
      <c r="E781" s="2" t="s">
        <v>48</v>
      </c>
      <c r="F781" s="2" t="s">
        <v>59</v>
      </c>
      <c r="G781" s="2" t="s">
        <v>410</v>
      </c>
      <c r="H781" s="2" t="s">
        <v>27</v>
      </c>
      <c r="I781" s="2" t="s">
        <v>28</v>
      </c>
      <c r="J781" s="2">
        <v>591</v>
      </c>
      <c r="K781" s="2" t="s">
        <v>124</v>
      </c>
      <c r="L781" s="2">
        <v>160</v>
      </c>
      <c r="M781" s="27">
        <v>427840</v>
      </c>
      <c r="N781" s="58">
        <f t="shared" si="16"/>
        <v>2674</v>
      </c>
      <c r="O781" s="2"/>
      <c r="P781" s="27" t="s">
        <v>30</v>
      </c>
      <c r="Q781" s="27" t="s">
        <v>31</v>
      </c>
      <c r="R781" s="3">
        <v>46423</v>
      </c>
      <c r="S781" s="27" t="s">
        <v>32</v>
      </c>
    </row>
    <row r="782" spans="1:21" ht="15.75" x14ac:dyDescent="0.25">
      <c r="A782" s="2" t="s">
        <v>757</v>
      </c>
      <c r="B782" s="2" t="s">
        <v>384</v>
      </c>
      <c r="C782" s="2" t="s">
        <v>385</v>
      </c>
      <c r="D782" s="2" t="s">
        <v>776</v>
      </c>
      <c r="E782" s="2" t="s">
        <v>48</v>
      </c>
      <c r="F782" s="2" t="s">
        <v>59</v>
      </c>
      <c r="G782" s="2" t="s">
        <v>165</v>
      </c>
      <c r="H782" s="2" t="s">
        <v>27</v>
      </c>
      <c r="I782" s="2" t="s">
        <v>28</v>
      </c>
      <c r="J782" s="2">
        <v>591</v>
      </c>
      <c r="K782" s="2" t="s">
        <v>124</v>
      </c>
      <c r="L782" s="2">
        <v>80</v>
      </c>
      <c r="M782" s="27">
        <v>213920</v>
      </c>
      <c r="N782" s="58">
        <f t="shared" si="16"/>
        <v>2674</v>
      </c>
      <c r="O782" s="2"/>
      <c r="P782" s="27" t="s">
        <v>30</v>
      </c>
      <c r="Q782" s="27" t="s">
        <v>31</v>
      </c>
      <c r="R782" s="3">
        <v>46423</v>
      </c>
      <c r="S782" s="27" t="s">
        <v>32</v>
      </c>
    </row>
    <row r="783" spans="1:21" ht="15.75" x14ac:dyDescent="0.25">
      <c r="A783" s="2" t="s">
        <v>757</v>
      </c>
      <c r="B783" s="2" t="s">
        <v>771</v>
      </c>
      <c r="C783" s="2" t="s">
        <v>772</v>
      </c>
      <c r="D783" s="2" t="s">
        <v>776</v>
      </c>
      <c r="E783" s="2"/>
      <c r="F783" s="2" t="s">
        <v>55</v>
      </c>
      <c r="G783" s="2" t="s">
        <v>468</v>
      </c>
      <c r="H783" s="2" t="s">
        <v>27</v>
      </c>
      <c r="I783" s="2" t="s">
        <v>28</v>
      </c>
      <c r="J783" s="2">
        <v>592</v>
      </c>
      <c r="K783" s="2" t="s">
        <v>277</v>
      </c>
      <c r="L783" s="2">
        <v>3</v>
      </c>
      <c r="M783" s="27">
        <v>102408</v>
      </c>
      <c r="N783" s="58">
        <f t="shared" si="16"/>
        <v>34136</v>
      </c>
      <c r="O783" s="2"/>
      <c r="P783" s="27" t="s">
        <v>30</v>
      </c>
      <c r="Q783" s="27" t="s">
        <v>31</v>
      </c>
      <c r="R783" s="3">
        <v>45755</v>
      </c>
      <c r="S783" s="27" t="s">
        <v>32</v>
      </c>
    </row>
    <row r="784" spans="1:21" ht="15.75" x14ac:dyDescent="0.25">
      <c r="A784" s="2" t="s">
        <v>757</v>
      </c>
      <c r="B784" s="2" t="s">
        <v>778</v>
      </c>
      <c r="C784" s="2" t="s">
        <v>779</v>
      </c>
      <c r="D784" s="2" t="s">
        <v>776</v>
      </c>
      <c r="E784" s="2" t="s">
        <v>48</v>
      </c>
      <c r="F784" s="2" t="s">
        <v>55</v>
      </c>
      <c r="G784" s="2" t="s">
        <v>380</v>
      </c>
      <c r="H784" s="2" t="s">
        <v>27</v>
      </c>
      <c r="I784" s="2" t="s">
        <v>65</v>
      </c>
      <c r="J784" s="2">
        <v>258</v>
      </c>
      <c r="K784" s="2" t="s">
        <v>124</v>
      </c>
      <c r="L784" s="2">
        <v>100</v>
      </c>
      <c r="M784" s="27">
        <v>354100</v>
      </c>
      <c r="N784" s="58">
        <f t="shared" si="16"/>
        <v>3541</v>
      </c>
      <c r="O784" s="2"/>
      <c r="P784" s="27" t="s">
        <v>30</v>
      </c>
      <c r="Q784" s="27" t="s">
        <v>31</v>
      </c>
      <c r="R784" s="3">
        <v>46178</v>
      </c>
      <c r="S784" s="27" t="s">
        <v>32</v>
      </c>
    </row>
    <row r="785" spans="1:21" ht="15.75" x14ac:dyDescent="0.25">
      <c r="A785" s="2" t="s">
        <v>757</v>
      </c>
      <c r="B785" s="2" t="s">
        <v>375</v>
      </c>
      <c r="C785" s="2" t="s">
        <v>376</v>
      </c>
      <c r="D785" s="2" t="s">
        <v>776</v>
      </c>
      <c r="E785" s="2"/>
      <c r="F785" s="2" t="s">
        <v>55</v>
      </c>
      <c r="G785" s="2" t="s">
        <v>328</v>
      </c>
      <c r="H785" s="2" t="s">
        <v>27</v>
      </c>
      <c r="I785" s="2" t="s">
        <v>65</v>
      </c>
      <c r="J785" s="2">
        <v>260</v>
      </c>
      <c r="K785" s="2" t="s">
        <v>124</v>
      </c>
      <c r="L785" s="2">
        <v>25</v>
      </c>
      <c r="M785" s="27">
        <v>230650</v>
      </c>
      <c r="N785" s="58">
        <f t="shared" si="16"/>
        <v>9226</v>
      </c>
      <c r="O785" s="2"/>
      <c r="P785" s="27" t="s">
        <v>30</v>
      </c>
      <c r="Q785" s="27" t="s">
        <v>31</v>
      </c>
      <c r="R785" s="3">
        <v>46178</v>
      </c>
      <c r="S785" s="27" t="s">
        <v>32</v>
      </c>
    </row>
    <row r="786" spans="1:21" ht="15.75" x14ac:dyDescent="0.25">
      <c r="A786" s="2" t="s">
        <v>757</v>
      </c>
      <c r="B786" s="2" t="s">
        <v>375</v>
      </c>
      <c r="C786" s="2" t="s">
        <v>376</v>
      </c>
      <c r="D786" s="2" t="s">
        <v>776</v>
      </c>
      <c r="E786" s="2"/>
      <c r="F786" s="2" t="s">
        <v>55</v>
      </c>
      <c r="G786" s="2" t="s">
        <v>456</v>
      </c>
      <c r="H786" s="2" t="s">
        <v>27</v>
      </c>
      <c r="I786" s="2" t="s">
        <v>65</v>
      </c>
      <c r="J786" s="2">
        <v>260</v>
      </c>
      <c r="K786" s="2" t="s">
        <v>124</v>
      </c>
      <c r="L786" s="2">
        <v>25</v>
      </c>
      <c r="M786" s="27">
        <v>253725</v>
      </c>
      <c r="N786" s="58">
        <f t="shared" si="16"/>
        <v>10149</v>
      </c>
      <c r="O786" s="2"/>
      <c r="P786" s="27" t="s">
        <v>30</v>
      </c>
      <c r="Q786" s="27" t="s">
        <v>31</v>
      </c>
      <c r="R786" s="3">
        <v>46178</v>
      </c>
      <c r="S786" s="27" t="s">
        <v>32</v>
      </c>
    </row>
    <row r="787" spans="1:21" ht="15.75" x14ac:dyDescent="0.25">
      <c r="A787" s="2" t="s">
        <v>757</v>
      </c>
      <c r="B787" s="2" t="s">
        <v>375</v>
      </c>
      <c r="C787" s="2" t="s">
        <v>376</v>
      </c>
      <c r="D787" s="2" t="s">
        <v>776</v>
      </c>
      <c r="E787" s="2"/>
      <c r="F787" s="2" t="s">
        <v>55</v>
      </c>
      <c r="G787" s="2" t="s">
        <v>276</v>
      </c>
      <c r="H787" s="2" t="s">
        <v>27</v>
      </c>
      <c r="I787" s="2" t="s">
        <v>65</v>
      </c>
      <c r="J787" s="2">
        <v>260</v>
      </c>
      <c r="K787" s="2" t="s">
        <v>277</v>
      </c>
      <c r="L787" s="2">
        <v>20</v>
      </c>
      <c r="M787" s="27">
        <v>830340</v>
      </c>
      <c r="N787" s="58">
        <f t="shared" si="16"/>
        <v>41517</v>
      </c>
      <c r="O787" s="2"/>
      <c r="P787" s="27" t="s">
        <v>30</v>
      </c>
      <c r="Q787" s="27" t="s">
        <v>31</v>
      </c>
      <c r="R787" s="3">
        <v>46178</v>
      </c>
      <c r="S787" s="27" t="s">
        <v>32</v>
      </c>
    </row>
    <row r="788" spans="1:21" ht="15.75" x14ac:dyDescent="0.25">
      <c r="A788" s="2" t="s">
        <v>757</v>
      </c>
      <c r="B788" s="2" t="s">
        <v>773</v>
      </c>
      <c r="C788" s="2" t="s">
        <v>774</v>
      </c>
      <c r="D788" s="2" t="s">
        <v>776</v>
      </c>
      <c r="E788" s="2"/>
      <c r="F788" s="2" t="s">
        <v>55</v>
      </c>
      <c r="G788" s="2" t="s">
        <v>722</v>
      </c>
      <c r="H788" s="2" t="s">
        <v>27</v>
      </c>
      <c r="I788" s="2" t="s">
        <v>28</v>
      </c>
      <c r="J788" s="2">
        <v>63</v>
      </c>
      <c r="K788" s="2" t="s">
        <v>277</v>
      </c>
      <c r="L788" s="2">
        <v>1</v>
      </c>
      <c r="M788" s="27">
        <v>35000</v>
      </c>
      <c r="N788" s="58">
        <f t="shared" si="16"/>
        <v>35000</v>
      </c>
      <c r="O788" s="2"/>
      <c r="P788" s="27" t="s">
        <v>30</v>
      </c>
      <c r="Q788" s="27" t="s">
        <v>31</v>
      </c>
      <c r="R788" s="2"/>
      <c r="S788" s="27" t="s">
        <v>32</v>
      </c>
    </row>
    <row r="789" spans="1:21" ht="15.75" x14ac:dyDescent="0.25">
      <c r="A789" s="2" t="s">
        <v>757</v>
      </c>
      <c r="B789" s="2" t="s">
        <v>375</v>
      </c>
      <c r="C789" s="2" t="s">
        <v>376</v>
      </c>
      <c r="D789" s="2" t="s">
        <v>780</v>
      </c>
      <c r="E789" s="2"/>
      <c r="F789" s="2" t="s">
        <v>55</v>
      </c>
      <c r="G789" s="2" t="s">
        <v>594</v>
      </c>
      <c r="H789" s="2" t="s">
        <v>27</v>
      </c>
      <c r="I789" s="2" t="s">
        <v>65</v>
      </c>
      <c r="J789" s="2">
        <v>262</v>
      </c>
      <c r="K789" s="2" t="s">
        <v>277</v>
      </c>
      <c r="L789" s="2">
        <v>10</v>
      </c>
      <c r="M789" s="27">
        <v>415170</v>
      </c>
      <c r="N789" s="58">
        <f t="shared" si="16"/>
        <v>41517</v>
      </c>
      <c r="O789" s="2"/>
      <c r="P789" s="27" t="s">
        <v>30</v>
      </c>
      <c r="Q789" s="27" t="s">
        <v>31</v>
      </c>
      <c r="R789" s="3">
        <v>46178</v>
      </c>
      <c r="S789" s="27" t="s">
        <v>32</v>
      </c>
    </row>
    <row r="790" spans="1:21" ht="15.75" x14ac:dyDescent="0.25">
      <c r="A790" s="2" t="s">
        <v>757</v>
      </c>
      <c r="B790" s="2" t="s">
        <v>445</v>
      </c>
      <c r="C790" s="2" t="s">
        <v>446</v>
      </c>
      <c r="D790" s="2" t="s">
        <v>780</v>
      </c>
      <c r="E790" s="2" t="s">
        <v>48</v>
      </c>
      <c r="F790" s="2" t="s">
        <v>25</v>
      </c>
      <c r="G790" s="2" t="s">
        <v>383</v>
      </c>
      <c r="H790" s="2" t="s">
        <v>27</v>
      </c>
      <c r="I790" s="2" t="s">
        <v>65</v>
      </c>
      <c r="J790" s="2">
        <v>263</v>
      </c>
      <c r="K790" s="2" t="s">
        <v>124</v>
      </c>
      <c r="L790" s="2">
        <v>40</v>
      </c>
      <c r="M790" s="27">
        <v>311440</v>
      </c>
      <c r="N790" s="58">
        <f t="shared" si="16"/>
        <v>7786</v>
      </c>
      <c r="O790" s="2"/>
      <c r="P790" s="27" t="s">
        <v>30</v>
      </c>
      <c r="Q790" s="27" t="s">
        <v>31</v>
      </c>
      <c r="R790" s="3">
        <v>46376</v>
      </c>
      <c r="S790" s="27" t="s">
        <v>32</v>
      </c>
    </row>
    <row r="791" spans="1:21" ht="15.75" x14ac:dyDescent="0.25">
      <c r="A791" s="2" t="s">
        <v>757</v>
      </c>
      <c r="B791" s="2" t="s">
        <v>445</v>
      </c>
      <c r="C791" s="2" t="s">
        <v>446</v>
      </c>
      <c r="D791" s="2" t="s">
        <v>780</v>
      </c>
      <c r="E791" s="2" t="s">
        <v>48</v>
      </c>
      <c r="F791" s="2" t="s">
        <v>25</v>
      </c>
      <c r="G791" s="2" t="s">
        <v>410</v>
      </c>
      <c r="H791" s="2" t="s">
        <v>27</v>
      </c>
      <c r="I791" s="2" t="s">
        <v>65</v>
      </c>
      <c r="J791" s="2">
        <v>263</v>
      </c>
      <c r="K791" s="2" t="s">
        <v>124</v>
      </c>
      <c r="L791" s="2">
        <v>40</v>
      </c>
      <c r="M791" s="27">
        <v>164880</v>
      </c>
      <c r="N791" s="58">
        <f t="shared" si="16"/>
        <v>4122</v>
      </c>
      <c r="O791" s="2"/>
      <c r="P791" s="27" t="s">
        <v>30</v>
      </c>
      <c r="Q791" s="27" t="s">
        <v>31</v>
      </c>
      <c r="R791" s="3">
        <v>46376</v>
      </c>
      <c r="S791" s="27" t="s">
        <v>32</v>
      </c>
    </row>
    <row r="792" spans="1:21" ht="15.75" x14ac:dyDescent="0.25">
      <c r="A792" s="2" t="s">
        <v>757</v>
      </c>
      <c r="B792" s="2" t="s">
        <v>445</v>
      </c>
      <c r="C792" s="2" t="s">
        <v>446</v>
      </c>
      <c r="D792" s="2" t="s">
        <v>780</v>
      </c>
      <c r="E792" s="2" t="s">
        <v>48</v>
      </c>
      <c r="F792" s="2" t="s">
        <v>25</v>
      </c>
      <c r="G792" s="2" t="s">
        <v>290</v>
      </c>
      <c r="H792" s="2" t="s">
        <v>27</v>
      </c>
      <c r="I792" s="2" t="s">
        <v>65</v>
      </c>
      <c r="J792" s="2">
        <v>263</v>
      </c>
      <c r="K792" s="2" t="s">
        <v>124</v>
      </c>
      <c r="L792" s="2">
        <v>40</v>
      </c>
      <c r="M792" s="27">
        <v>164880</v>
      </c>
      <c r="N792" s="58">
        <f t="shared" si="16"/>
        <v>4122</v>
      </c>
      <c r="O792" s="2"/>
      <c r="P792" s="27" t="s">
        <v>30</v>
      </c>
      <c r="Q792" s="27" t="s">
        <v>31</v>
      </c>
      <c r="R792" s="3">
        <v>46376</v>
      </c>
      <c r="S792" s="27" t="s">
        <v>32</v>
      </c>
    </row>
    <row r="793" spans="1:21" ht="15.75" x14ac:dyDescent="0.25">
      <c r="A793" s="2" t="s">
        <v>757</v>
      </c>
      <c r="B793" s="2" t="s">
        <v>68</v>
      </c>
      <c r="C793" s="2" t="s">
        <v>69</v>
      </c>
      <c r="D793" s="2" t="s">
        <v>780</v>
      </c>
      <c r="E793" s="2" t="s">
        <v>48</v>
      </c>
      <c r="F793" s="2" t="s">
        <v>25</v>
      </c>
      <c r="G793" s="2" t="s">
        <v>383</v>
      </c>
      <c r="H793" s="2" t="s">
        <v>27</v>
      </c>
      <c r="I793" s="2" t="s">
        <v>65</v>
      </c>
      <c r="J793" s="2">
        <v>264</v>
      </c>
      <c r="K793" s="2" t="s">
        <v>124</v>
      </c>
      <c r="L793" s="2">
        <v>20</v>
      </c>
      <c r="M793" s="27">
        <v>155720</v>
      </c>
      <c r="N793" s="58">
        <f t="shared" si="16"/>
        <v>7786</v>
      </c>
      <c r="O793" s="2"/>
      <c r="P793" s="27" t="s">
        <v>30</v>
      </c>
      <c r="Q793" s="27" t="s">
        <v>31</v>
      </c>
      <c r="R793" s="3">
        <v>46376</v>
      </c>
      <c r="S793" s="27" t="s">
        <v>32</v>
      </c>
    </row>
    <row r="794" spans="1:21" ht="15.75" x14ac:dyDescent="0.25">
      <c r="A794" s="2" t="s">
        <v>757</v>
      </c>
      <c r="B794" s="2" t="s">
        <v>68</v>
      </c>
      <c r="C794" s="2" t="s">
        <v>69</v>
      </c>
      <c r="D794" s="2" t="s">
        <v>780</v>
      </c>
      <c r="E794" s="2" t="s">
        <v>48</v>
      </c>
      <c r="F794" s="2" t="s">
        <v>25</v>
      </c>
      <c r="G794" s="2" t="s">
        <v>456</v>
      </c>
      <c r="H794" s="2" t="s">
        <v>27</v>
      </c>
      <c r="I794" s="2" t="s">
        <v>65</v>
      </c>
      <c r="J794" s="2">
        <v>264</v>
      </c>
      <c r="K794" s="2" t="s">
        <v>124</v>
      </c>
      <c r="L794" s="2">
        <v>10</v>
      </c>
      <c r="M794" s="27">
        <v>83000</v>
      </c>
      <c r="N794" s="58">
        <f t="shared" si="16"/>
        <v>8300</v>
      </c>
      <c r="O794" s="2"/>
      <c r="P794" s="27" t="s">
        <v>30</v>
      </c>
      <c r="Q794" s="27" t="s">
        <v>31</v>
      </c>
      <c r="R794" s="3">
        <v>46376</v>
      </c>
      <c r="S794" s="27" t="s">
        <v>32</v>
      </c>
    </row>
    <row r="795" spans="1:21" ht="15.75" x14ac:dyDescent="0.25">
      <c r="A795" s="2" t="s">
        <v>757</v>
      </c>
      <c r="B795" s="2" t="s">
        <v>68</v>
      </c>
      <c r="C795" s="2" t="s">
        <v>69</v>
      </c>
      <c r="D795" s="2" t="s">
        <v>780</v>
      </c>
      <c r="E795" s="2" t="s">
        <v>48</v>
      </c>
      <c r="F795" s="2" t="s">
        <v>25</v>
      </c>
      <c r="G795" s="2" t="s">
        <v>290</v>
      </c>
      <c r="H795" s="2" t="s">
        <v>27</v>
      </c>
      <c r="I795" s="2" t="s">
        <v>65</v>
      </c>
      <c r="J795" s="2">
        <v>264</v>
      </c>
      <c r="K795" s="2" t="s">
        <v>124</v>
      </c>
      <c r="L795" s="2">
        <v>20</v>
      </c>
      <c r="M795" s="27">
        <v>82440</v>
      </c>
      <c r="N795" s="58">
        <f t="shared" si="16"/>
        <v>4122</v>
      </c>
      <c r="O795" s="2"/>
      <c r="P795" s="27" t="s">
        <v>30</v>
      </c>
      <c r="Q795" s="27" t="s">
        <v>31</v>
      </c>
      <c r="R795" s="3">
        <v>46376</v>
      </c>
      <c r="S795" s="27" t="s">
        <v>32</v>
      </c>
    </row>
    <row r="796" spans="1:21" ht="15.75" x14ac:dyDescent="0.25">
      <c r="A796" s="2" t="s">
        <v>757</v>
      </c>
      <c r="B796" s="2" t="s">
        <v>68</v>
      </c>
      <c r="C796" s="2" t="s">
        <v>69</v>
      </c>
      <c r="D796" s="2" t="s">
        <v>780</v>
      </c>
      <c r="E796" s="2" t="s">
        <v>48</v>
      </c>
      <c r="F796" s="2" t="s">
        <v>25</v>
      </c>
      <c r="G796" s="2" t="s">
        <v>309</v>
      </c>
      <c r="H796" s="2" t="s">
        <v>27</v>
      </c>
      <c r="I796" s="2" t="s">
        <v>65</v>
      </c>
      <c r="J796" s="2">
        <v>264</v>
      </c>
      <c r="K796" s="2" t="s">
        <v>124</v>
      </c>
      <c r="L796" s="2">
        <v>10</v>
      </c>
      <c r="M796" s="27">
        <v>46000</v>
      </c>
      <c r="N796" s="58">
        <f t="shared" si="16"/>
        <v>4600</v>
      </c>
      <c r="O796" s="2"/>
      <c r="P796" s="27" t="s">
        <v>30</v>
      </c>
      <c r="Q796" s="27" t="s">
        <v>31</v>
      </c>
      <c r="R796" s="3">
        <v>46376</v>
      </c>
      <c r="S796" s="27" t="s">
        <v>32</v>
      </c>
    </row>
    <row r="797" spans="1:21" ht="15.75" x14ac:dyDescent="0.25">
      <c r="A797" s="2" t="s">
        <v>757</v>
      </c>
      <c r="B797" s="2" t="s">
        <v>68</v>
      </c>
      <c r="C797" s="2" t="s">
        <v>69</v>
      </c>
      <c r="D797" s="2" t="s">
        <v>780</v>
      </c>
      <c r="E797" s="2" t="s">
        <v>48</v>
      </c>
      <c r="F797" s="2" t="s">
        <v>25</v>
      </c>
      <c r="G797" s="2" t="s">
        <v>410</v>
      </c>
      <c r="H797" s="2" t="s">
        <v>27</v>
      </c>
      <c r="I797" s="2" t="s">
        <v>65</v>
      </c>
      <c r="J797" s="2">
        <v>264</v>
      </c>
      <c r="K797" s="2" t="s">
        <v>124</v>
      </c>
      <c r="L797" s="2">
        <v>20</v>
      </c>
      <c r="M797" s="27">
        <v>82440</v>
      </c>
      <c r="N797" s="58">
        <f t="shared" si="16"/>
        <v>4122</v>
      </c>
      <c r="O797" s="2"/>
      <c r="P797" s="27" t="s">
        <v>30</v>
      </c>
      <c r="Q797" s="27" t="s">
        <v>31</v>
      </c>
      <c r="R797" s="3">
        <v>46376</v>
      </c>
      <c r="S797" s="27" t="s">
        <v>32</v>
      </c>
    </row>
    <row r="798" spans="1:21" ht="15.75" x14ac:dyDescent="0.25">
      <c r="A798" s="2" t="s">
        <v>757</v>
      </c>
      <c r="B798" s="2" t="s">
        <v>68</v>
      </c>
      <c r="C798" s="2" t="s">
        <v>69</v>
      </c>
      <c r="D798" s="2" t="s">
        <v>780</v>
      </c>
      <c r="E798" s="2" t="s">
        <v>48</v>
      </c>
      <c r="F798" s="2" t="s">
        <v>25</v>
      </c>
      <c r="G798" s="2" t="s">
        <v>587</v>
      </c>
      <c r="H798" s="2" t="s">
        <v>27</v>
      </c>
      <c r="I798" s="2" t="s">
        <v>65</v>
      </c>
      <c r="J798" s="2">
        <v>264</v>
      </c>
      <c r="K798" s="2" t="s">
        <v>124</v>
      </c>
      <c r="L798" s="2">
        <v>10</v>
      </c>
      <c r="M798" s="27">
        <v>46000</v>
      </c>
      <c r="N798" s="58">
        <f t="shared" si="16"/>
        <v>4600</v>
      </c>
      <c r="O798" s="2"/>
      <c r="P798" s="27" t="s">
        <v>30</v>
      </c>
      <c r="Q798" s="27" t="s">
        <v>31</v>
      </c>
      <c r="R798" s="3">
        <v>46376</v>
      </c>
      <c r="S798" s="27" t="s">
        <v>32</v>
      </c>
    </row>
    <row r="799" spans="1:21" ht="15.75" x14ac:dyDescent="0.25">
      <c r="A799" s="2" t="s">
        <v>757</v>
      </c>
      <c r="B799" s="2" t="s">
        <v>387</v>
      </c>
      <c r="C799" s="2" t="s">
        <v>388</v>
      </c>
      <c r="D799" s="2" t="s">
        <v>777</v>
      </c>
      <c r="E799" s="2" t="s">
        <v>48</v>
      </c>
      <c r="F799" s="2" t="s">
        <v>59</v>
      </c>
      <c r="G799" s="2" t="s">
        <v>245</v>
      </c>
      <c r="H799" s="2" t="s">
        <v>27</v>
      </c>
      <c r="I799" s="2" t="s">
        <v>28</v>
      </c>
      <c r="J799" s="2">
        <v>593</v>
      </c>
      <c r="K799" s="2" t="s">
        <v>124</v>
      </c>
      <c r="L799" s="2">
        <v>20</v>
      </c>
      <c r="M799" s="27">
        <v>161340</v>
      </c>
      <c r="N799" s="58">
        <f t="shared" si="16"/>
        <v>8067</v>
      </c>
      <c r="O799" s="2"/>
      <c r="P799" s="27" t="s">
        <v>30</v>
      </c>
      <c r="Q799" s="27" t="s">
        <v>31</v>
      </c>
      <c r="R799" s="3">
        <v>46142</v>
      </c>
      <c r="S799" s="27" t="s">
        <v>32</v>
      </c>
    </row>
    <row r="800" spans="1:21" ht="15.75" x14ac:dyDescent="0.25">
      <c r="A800" s="2" t="s">
        <v>757</v>
      </c>
      <c r="B800" s="2" t="s">
        <v>500</v>
      </c>
      <c r="C800" s="2" t="s">
        <v>501</v>
      </c>
      <c r="D800" s="2" t="s">
        <v>777</v>
      </c>
      <c r="E800" s="2" t="s">
        <v>48</v>
      </c>
      <c r="F800" s="2" t="s">
        <v>25</v>
      </c>
      <c r="G800" s="2" t="s">
        <v>243</v>
      </c>
      <c r="H800" s="2" t="s">
        <v>27</v>
      </c>
      <c r="I800" s="2" t="s">
        <v>28</v>
      </c>
      <c r="J800" s="2">
        <v>594</v>
      </c>
      <c r="K800" s="2" t="s">
        <v>124</v>
      </c>
      <c r="L800" s="2">
        <v>20</v>
      </c>
      <c r="M800" s="27">
        <v>178400</v>
      </c>
      <c r="N800" s="58">
        <f t="shared" si="16"/>
        <v>8920</v>
      </c>
      <c r="O800" s="2"/>
      <c r="P800" s="27" t="s">
        <v>30</v>
      </c>
      <c r="Q800" s="27" t="s">
        <v>31</v>
      </c>
      <c r="R800" s="3">
        <v>46152</v>
      </c>
      <c r="S800" s="27" t="s">
        <v>32</v>
      </c>
      <c r="T800" s="27" t="s">
        <v>803</v>
      </c>
      <c r="U800" s="1">
        <v>46059</v>
      </c>
    </row>
    <row r="801" spans="1:21" ht="15.75" x14ac:dyDescent="0.25">
      <c r="A801" s="2" t="s">
        <v>757</v>
      </c>
      <c r="B801" s="2" t="s">
        <v>500</v>
      </c>
      <c r="C801" s="2" t="s">
        <v>501</v>
      </c>
      <c r="D801" s="2" t="s">
        <v>777</v>
      </c>
      <c r="E801" s="2" t="s">
        <v>48</v>
      </c>
      <c r="F801" s="2" t="s">
        <v>25</v>
      </c>
      <c r="G801" s="2" t="s">
        <v>166</v>
      </c>
      <c r="H801" s="2" t="s">
        <v>27</v>
      </c>
      <c r="I801" s="2" t="s">
        <v>28</v>
      </c>
      <c r="J801" s="2">
        <v>594</v>
      </c>
      <c r="K801" s="2" t="s">
        <v>124</v>
      </c>
      <c r="L801" s="2">
        <v>20</v>
      </c>
      <c r="M801" s="27">
        <v>104800</v>
      </c>
      <c r="N801" s="58">
        <f t="shared" si="16"/>
        <v>5240</v>
      </c>
      <c r="O801" s="2"/>
      <c r="P801" s="27" t="s">
        <v>30</v>
      </c>
      <c r="Q801" s="27" t="s">
        <v>31</v>
      </c>
      <c r="R801" s="3">
        <v>46152</v>
      </c>
      <c r="S801" s="27" t="s">
        <v>32</v>
      </c>
      <c r="T801" s="27" t="s">
        <v>803</v>
      </c>
      <c r="U801" s="1">
        <v>46059</v>
      </c>
    </row>
    <row r="802" spans="1:21" ht="15.75" x14ac:dyDescent="0.25">
      <c r="A802" s="2" t="s">
        <v>757</v>
      </c>
      <c r="B802" s="2" t="s">
        <v>500</v>
      </c>
      <c r="C802" s="2" t="s">
        <v>501</v>
      </c>
      <c r="D802" s="2" t="s">
        <v>777</v>
      </c>
      <c r="E802" s="2" t="s">
        <v>48</v>
      </c>
      <c r="F802" s="2" t="s">
        <v>25</v>
      </c>
      <c r="G802" s="2" t="s">
        <v>327</v>
      </c>
      <c r="H802" s="2" t="s">
        <v>27</v>
      </c>
      <c r="I802" s="2" t="s">
        <v>28</v>
      </c>
      <c r="J802" s="2">
        <v>594</v>
      </c>
      <c r="K802" s="2" t="s">
        <v>124</v>
      </c>
      <c r="L802" s="2">
        <v>5</v>
      </c>
      <c r="M802" s="27">
        <v>28895</v>
      </c>
      <c r="N802" s="58">
        <f t="shared" si="16"/>
        <v>5779</v>
      </c>
      <c r="O802" s="2"/>
      <c r="P802" s="27" t="s">
        <v>30</v>
      </c>
      <c r="Q802" s="27" t="s">
        <v>31</v>
      </c>
      <c r="R802" s="3">
        <v>46152</v>
      </c>
      <c r="S802" s="27" t="s">
        <v>32</v>
      </c>
      <c r="T802" s="27" t="s">
        <v>803</v>
      </c>
      <c r="U802" s="1">
        <v>46059</v>
      </c>
    </row>
    <row r="803" spans="1:21" ht="15.75" x14ac:dyDescent="0.25">
      <c r="A803" s="2" t="s">
        <v>757</v>
      </c>
      <c r="B803" s="2" t="s">
        <v>500</v>
      </c>
      <c r="C803" s="2" t="s">
        <v>501</v>
      </c>
      <c r="D803" s="2" t="s">
        <v>777</v>
      </c>
      <c r="E803" s="2" t="s">
        <v>48</v>
      </c>
      <c r="F803" s="2" t="s">
        <v>25</v>
      </c>
      <c r="G803" s="2" t="s">
        <v>276</v>
      </c>
      <c r="H803" s="2" t="s">
        <v>27</v>
      </c>
      <c r="I803" s="2" t="s">
        <v>28</v>
      </c>
      <c r="J803" s="2">
        <v>594</v>
      </c>
      <c r="K803" s="2" t="s">
        <v>277</v>
      </c>
      <c r="L803" s="2">
        <v>3</v>
      </c>
      <c r="M803" s="27">
        <v>114000</v>
      </c>
      <c r="N803" s="58">
        <f t="shared" si="16"/>
        <v>38000</v>
      </c>
      <c r="O803" s="2"/>
      <c r="P803" s="27" t="s">
        <v>30</v>
      </c>
      <c r="Q803" s="27" t="s">
        <v>31</v>
      </c>
      <c r="R803" s="3">
        <v>46152</v>
      </c>
      <c r="S803" s="27" t="s">
        <v>32</v>
      </c>
      <c r="T803" s="27" t="s">
        <v>803</v>
      </c>
      <c r="U803" s="1">
        <v>46059</v>
      </c>
    </row>
    <row r="804" spans="1:21" ht="15.75" x14ac:dyDescent="0.25">
      <c r="A804" s="2" t="s">
        <v>757</v>
      </c>
      <c r="B804" s="2" t="s">
        <v>500</v>
      </c>
      <c r="C804" s="2" t="s">
        <v>501</v>
      </c>
      <c r="D804" s="2" t="s">
        <v>777</v>
      </c>
      <c r="E804" s="2" t="s">
        <v>48</v>
      </c>
      <c r="F804" s="2" t="s">
        <v>25</v>
      </c>
      <c r="G804" s="2" t="s">
        <v>198</v>
      </c>
      <c r="H804" s="2" t="s">
        <v>27</v>
      </c>
      <c r="I804" s="2" t="s">
        <v>28</v>
      </c>
      <c r="J804" s="2">
        <v>594</v>
      </c>
      <c r="K804" s="2" t="s">
        <v>277</v>
      </c>
      <c r="L804" s="2">
        <v>1</v>
      </c>
      <c r="M804" s="27">
        <v>28000</v>
      </c>
      <c r="N804" s="58">
        <f t="shared" si="16"/>
        <v>28000</v>
      </c>
      <c r="O804" s="2"/>
      <c r="P804" s="27" t="s">
        <v>30</v>
      </c>
      <c r="Q804" s="27" t="s">
        <v>31</v>
      </c>
      <c r="R804" s="3">
        <v>46152</v>
      </c>
      <c r="S804" s="27" t="s">
        <v>32</v>
      </c>
      <c r="T804" s="27" t="s">
        <v>803</v>
      </c>
      <c r="U804" s="1">
        <v>46059</v>
      </c>
    </row>
    <row r="805" spans="1:21" ht="15.75" x14ac:dyDescent="0.25">
      <c r="A805" s="2" t="s">
        <v>757</v>
      </c>
      <c r="B805" s="2" t="s">
        <v>500</v>
      </c>
      <c r="C805" s="2" t="s">
        <v>501</v>
      </c>
      <c r="D805" s="2" t="s">
        <v>777</v>
      </c>
      <c r="E805" s="2" t="s">
        <v>48</v>
      </c>
      <c r="F805" s="2" t="s">
        <v>25</v>
      </c>
      <c r="G805" s="2" t="s">
        <v>468</v>
      </c>
      <c r="H805" s="2" t="s">
        <v>27</v>
      </c>
      <c r="I805" s="2" t="s">
        <v>28</v>
      </c>
      <c r="J805" s="2">
        <v>594</v>
      </c>
      <c r="K805" s="2" t="s">
        <v>277</v>
      </c>
      <c r="L805" s="2">
        <v>1</v>
      </c>
      <c r="M805" s="27">
        <v>28000</v>
      </c>
      <c r="N805" s="58">
        <f t="shared" si="16"/>
        <v>28000</v>
      </c>
      <c r="O805" s="2"/>
      <c r="P805" s="27" t="s">
        <v>30</v>
      </c>
      <c r="Q805" s="27" t="s">
        <v>31</v>
      </c>
      <c r="R805" s="3">
        <v>46152</v>
      </c>
      <c r="S805" s="27" t="s">
        <v>32</v>
      </c>
      <c r="T805" s="27" t="s">
        <v>803</v>
      </c>
      <c r="U805" s="1">
        <v>46059</v>
      </c>
    </row>
    <row r="806" spans="1:21" ht="15.75" x14ac:dyDescent="0.25">
      <c r="A806" s="2" t="s">
        <v>757</v>
      </c>
      <c r="B806" s="2" t="s">
        <v>280</v>
      </c>
      <c r="C806" s="2" t="s">
        <v>281</v>
      </c>
      <c r="D806" s="2" t="s">
        <v>777</v>
      </c>
      <c r="E806" s="2" t="s">
        <v>48</v>
      </c>
      <c r="F806" s="2" t="s">
        <v>25</v>
      </c>
      <c r="G806" s="2" t="s">
        <v>328</v>
      </c>
      <c r="H806" s="2" t="s">
        <v>27</v>
      </c>
      <c r="I806" s="2" t="s">
        <v>28</v>
      </c>
      <c r="J806" s="2">
        <v>595</v>
      </c>
      <c r="K806" s="2" t="s">
        <v>124</v>
      </c>
      <c r="L806" s="2">
        <v>10</v>
      </c>
      <c r="M806" s="27">
        <v>82000</v>
      </c>
      <c r="N806" s="58">
        <f t="shared" si="16"/>
        <v>8200</v>
      </c>
      <c r="O806" s="2"/>
      <c r="P806" s="27" t="s">
        <v>30</v>
      </c>
      <c r="Q806" s="27" t="s">
        <v>31</v>
      </c>
      <c r="R806" s="3">
        <v>46122</v>
      </c>
      <c r="S806" s="27" t="s">
        <v>32</v>
      </c>
    </row>
    <row r="807" spans="1:21" ht="15.75" x14ac:dyDescent="0.25">
      <c r="A807" s="2" t="s">
        <v>757</v>
      </c>
      <c r="B807" s="2" t="s">
        <v>655</v>
      </c>
      <c r="C807" s="2" t="s">
        <v>656</v>
      </c>
      <c r="D807" s="2" t="s">
        <v>777</v>
      </c>
      <c r="E807" s="2" t="s">
        <v>24</v>
      </c>
      <c r="F807" s="2" t="s">
        <v>483</v>
      </c>
      <c r="G807" s="2" t="s">
        <v>276</v>
      </c>
      <c r="H807" s="2" t="s">
        <v>27</v>
      </c>
      <c r="I807" s="2" t="s">
        <v>28</v>
      </c>
      <c r="J807" s="2">
        <v>596</v>
      </c>
      <c r="K807" s="2" t="s">
        <v>277</v>
      </c>
      <c r="L807" s="2">
        <v>1</v>
      </c>
      <c r="M807" s="27">
        <v>39826</v>
      </c>
      <c r="N807" s="58">
        <f t="shared" si="16"/>
        <v>39826</v>
      </c>
      <c r="O807" s="2"/>
      <c r="P807" s="27" t="s">
        <v>30</v>
      </c>
      <c r="Q807" s="27" t="s">
        <v>31</v>
      </c>
      <c r="R807" s="3">
        <v>46122</v>
      </c>
      <c r="S807" s="27" t="s">
        <v>32</v>
      </c>
    </row>
    <row r="808" spans="1:21" ht="15.75" x14ac:dyDescent="0.25">
      <c r="A808" s="2" t="s">
        <v>757</v>
      </c>
      <c r="B808" s="2" t="s">
        <v>781</v>
      </c>
      <c r="C808" s="2" t="s">
        <v>782</v>
      </c>
      <c r="D808" s="2" t="s">
        <v>785</v>
      </c>
      <c r="E808" s="2" t="s">
        <v>48</v>
      </c>
      <c r="F808" s="2" t="s">
        <v>59</v>
      </c>
      <c r="G808" s="2" t="s">
        <v>791</v>
      </c>
      <c r="H808" s="2" t="s">
        <v>27</v>
      </c>
      <c r="I808" s="2" t="s">
        <v>28</v>
      </c>
      <c r="J808" s="2">
        <v>597</v>
      </c>
      <c r="K808" s="2" t="s">
        <v>7</v>
      </c>
      <c r="L808" s="2">
        <v>10</v>
      </c>
      <c r="M808" s="27">
        <v>0</v>
      </c>
      <c r="N808" s="58">
        <f t="shared" si="16"/>
        <v>0</v>
      </c>
      <c r="O808" s="2"/>
      <c r="P808" s="27" t="s">
        <v>30</v>
      </c>
      <c r="Q808" s="27" t="s">
        <v>31</v>
      </c>
      <c r="R808" s="3">
        <v>46113</v>
      </c>
      <c r="S808" s="27" t="s">
        <v>32</v>
      </c>
      <c r="T808" s="27" t="s">
        <v>804</v>
      </c>
      <c r="U808" s="1">
        <v>45992</v>
      </c>
    </row>
    <row r="809" spans="1:21" ht="15.75" x14ac:dyDescent="0.25">
      <c r="A809" s="2" t="s">
        <v>757</v>
      </c>
      <c r="B809" s="2" t="s">
        <v>781</v>
      </c>
      <c r="C809" s="2" t="s">
        <v>782</v>
      </c>
      <c r="D809" s="2" t="s">
        <v>785</v>
      </c>
      <c r="E809" s="2" t="s">
        <v>48</v>
      </c>
      <c r="F809" s="2" t="s">
        <v>59</v>
      </c>
      <c r="G809" s="2" t="s">
        <v>792</v>
      </c>
      <c r="H809" s="2" t="s">
        <v>27</v>
      </c>
      <c r="I809" s="2" t="s">
        <v>28</v>
      </c>
      <c r="J809" s="2">
        <v>597</v>
      </c>
      <c r="K809" s="2" t="s">
        <v>7</v>
      </c>
      <c r="L809" s="2">
        <v>20</v>
      </c>
      <c r="M809" s="27">
        <v>0</v>
      </c>
      <c r="N809" s="58">
        <f t="shared" si="16"/>
        <v>0</v>
      </c>
      <c r="O809" s="2"/>
      <c r="P809" s="27" t="s">
        <v>30</v>
      </c>
      <c r="Q809" s="27" t="s">
        <v>31</v>
      </c>
      <c r="R809" s="3">
        <v>46113</v>
      </c>
      <c r="S809" s="27" t="s">
        <v>32</v>
      </c>
      <c r="T809" s="27" t="s">
        <v>804</v>
      </c>
      <c r="U809" s="1">
        <v>45992</v>
      </c>
    </row>
    <row r="810" spans="1:21" ht="15.75" x14ac:dyDescent="0.25">
      <c r="A810" s="2" t="s">
        <v>757</v>
      </c>
      <c r="B810" s="2" t="s">
        <v>781</v>
      </c>
      <c r="C810" s="2" t="s">
        <v>782</v>
      </c>
      <c r="D810" s="2" t="s">
        <v>785</v>
      </c>
      <c r="E810" s="2" t="s">
        <v>48</v>
      </c>
      <c r="F810" s="2" t="s">
        <v>59</v>
      </c>
      <c r="G810" s="2" t="s">
        <v>793</v>
      </c>
      <c r="H810" s="2" t="s">
        <v>27</v>
      </c>
      <c r="I810" s="2" t="s">
        <v>28</v>
      </c>
      <c r="J810" s="2">
        <v>597</v>
      </c>
      <c r="K810" s="2" t="s">
        <v>7</v>
      </c>
      <c r="L810" s="2">
        <v>20</v>
      </c>
      <c r="M810" s="27">
        <v>0</v>
      </c>
      <c r="N810" s="58">
        <f t="shared" si="16"/>
        <v>0</v>
      </c>
      <c r="O810" s="2"/>
      <c r="P810" s="27" t="s">
        <v>30</v>
      </c>
      <c r="Q810" s="27" t="s">
        <v>31</v>
      </c>
      <c r="R810" s="3">
        <v>46113</v>
      </c>
      <c r="S810" s="27" t="s">
        <v>32</v>
      </c>
      <c r="T810" s="27" t="s">
        <v>804</v>
      </c>
      <c r="U810" s="1">
        <v>45992</v>
      </c>
    </row>
    <row r="811" spans="1:21" ht="15.75" x14ac:dyDescent="0.25">
      <c r="A811" s="2" t="s">
        <v>757</v>
      </c>
      <c r="B811" s="2" t="s">
        <v>21</v>
      </c>
      <c r="C811" s="2" t="s">
        <v>22</v>
      </c>
      <c r="D811" s="2" t="s">
        <v>785</v>
      </c>
      <c r="E811" s="2" t="s">
        <v>24</v>
      </c>
      <c r="F811" s="2" t="s">
        <v>25</v>
      </c>
      <c r="G811" s="2" t="s">
        <v>26</v>
      </c>
      <c r="H811" s="2" t="s">
        <v>27</v>
      </c>
      <c r="I811" s="2" t="s">
        <v>28</v>
      </c>
      <c r="J811" s="2">
        <v>598</v>
      </c>
      <c r="K811" s="2" t="s">
        <v>29</v>
      </c>
      <c r="L811" s="2">
        <v>100</v>
      </c>
      <c r="M811" s="27">
        <v>0</v>
      </c>
      <c r="N811" s="58">
        <f t="shared" si="16"/>
        <v>0</v>
      </c>
      <c r="O811" s="2"/>
      <c r="P811" s="27" t="s">
        <v>30</v>
      </c>
      <c r="Q811" s="27" t="s">
        <v>31</v>
      </c>
      <c r="R811" s="3">
        <v>46142</v>
      </c>
      <c r="S811" s="27" t="s">
        <v>32</v>
      </c>
      <c r="T811" s="27" t="s">
        <v>805</v>
      </c>
      <c r="U811" s="1">
        <v>45993</v>
      </c>
    </row>
    <row r="812" spans="1:21" ht="15.75" x14ac:dyDescent="0.25">
      <c r="A812" s="2" t="s">
        <v>757</v>
      </c>
      <c r="B812" s="2" t="s">
        <v>21</v>
      </c>
      <c r="C812" s="2" t="s">
        <v>22</v>
      </c>
      <c r="D812" s="2" t="s">
        <v>785</v>
      </c>
      <c r="E812" s="2" t="s">
        <v>24</v>
      </c>
      <c r="F812" s="2" t="s">
        <v>25</v>
      </c>
      <c r="G812" s="2" t="s">
        <v>26</v>
      </c>
      <c r="H812" s="2" t="s">
        <v>27</v>
      </c>
      <c r="I812" s="2" t="s">
        <v>28</v>
      </c>
      <c r="J812" s="2">
        <v>599</v>
      </c>
      <c r="K812" s="2" t="s">
        <v>29</v>
      </c>
      <c r="L812" s="2">
        <v>80</v>
      </c>
      <c r="M812" s="27">
        <v>0</v>
      </c>
      <c r="N812" s="58">
        <f t="shared" si="16"/>
        <v>0</v>
      </c>
      <c r="O812" s="2"/>
      <c r="P812" s="27" t="s">
        <v>30</v>
      </c>
      <c r="Q812" s="27" t="s">
        <v>31</v>
      </c>
      <c r="R812" s="3">
        <v>46142</v>
      </c>
      <c r="S812" s="27" t="s">
        <v>32</v>
      </c>
      <c r="T812" s="27" t="s">
        <v>806</v>
      </c>
      <c r="U812" s="1">
        <v>45993</v>
      </c>
    </row>
    <row r="813" spans="1:21" ht="15.75" x14ac:dyDescent="0.25">
      <c r="A813" s="2" t="s">
        <v>757</v>
      </c>
      <c r="B813" s="2" t="s">
        <v>539</v>
      </c>
      <c r="C813" s="2" t="s">
        <v>540</v>
      </c>
      <c r="D813" s="2" t="s">
        <v>785</v>
      </c>
      <c r="E813" s="2" t="s">
        <v>48</v>
      </c>
      <c r="F813" s="2" t="s">
        <v>59</v>
      </c>
      <c r="G813" s="2" t="s">
        <v>794</v>
      </c>
      <c r="H813" s="2" t="s">
        <v>27</v>
      </c>
      <c r="I813" s="2" t="s">
        <v>28</v>
      </c>
      <c r="J813" s="2">
        <v>600</v>
      </c>
      <c r="K813" s="2" t="s">
        <v>7</v>
      </c>
      <c r="L813" s="2">
        <v>24</v>
      </c>
      <c r="M813" s="27">
        <v>0</v>
      </c>
      <c r="N813" s="58">
        <f t="shared" si="16"/>
        <v>0</v>
      </c>
      <c r="O813" s="2"/>
      <c r="P813" s="27" t="s">
        <v>30</v>
      </c>
      <c r="Q813" s="27" t="s">
        <v>31</v>
      </c>
      <c r="R813" s="3">
        <v>46111</v>
      </c>
      <c r="S813" s="27" t="s">
        <v>32</v>
      </c>
      <c r="T813" s="27" t="s">
        <v>807</v>
      </c>
      <c r="U813" s="1">
        <v>46019</v>
      </c>
    </row>
    <row r="814" spans="1:21" ht="15.75" x14ac:dyDescent="0.25">
      <c r="A814" s="2" t="s">
        <v>757</v>
      </c>
      <c r="B814" s="2" t="s">
        <v>539</v>
      </c>
      <c r="C814" s="2" t="s">
        <v>540</v>
      </c>
      <c r="D814" s="2" t="s">
        <v>785</v>
      </c>
      <c r="E814" s="2" t="s">
        <v>48</v>
      </c>
      <c r="F814" s="2" t="s">
        <v>59</v>
      </c>
      <c r="G814" s="2" t="s">
        <v>795</v>
      </c>
      <c r="H814" s="2" t="s">
        <v>27</v>
      </c>
      <c r="I814" s="2" t="s">
        <v>28</v>
      </c>
      <c r="J814" s="2">
        <v>600</v>
      </c>
      <c r="K814" s="2" t="s">
        <v>7</v>
      </c>
      <c r="L814" s="2">
        <v>12</v>
      </c>
      <c r="M814" s="27">
        <v>0</v>
      </c>
      <c r="N814" s="58">
        <f t="shared" si="16"/>
        <v>0</v>
      </c>
      <c r="O814" s="2"/>
      <c r="P814" s="27" t="s">
        <v>30</v>
      </c>
      <c r="Q814" s="27" t="s">
        <v>31</v>
      </c>
      <c r="R814" s="3">
        <v>46111</v>
      </c>
      <c r="S814" s="27" t="s">
        <v>32</v>
      </c>
      <c r="T814" s="27" t="s">
        <v>807</v>
      </c>
      <c r="U814" s="1">
        <v>46019</v>
      </c>
    </row>
    <row r="815" spans="1:21" ht="15.75" x14ac:dyDescent="0.25">
      <c r="A815" s="2" t="s">
        <v>757</v>
      </c>
      <c r="B815" s="2" t="s">
        <v>539</v>
      </c>
      <c r="C815" s="2" t="s">
        <v>540</v>
      </c>
      <c r="D815" s="2" t="s">
        <v>785</v>
      </c>
      <c r="E815" s="2" t="s">
        <v>48</v>
      </c>
      <c r="F815" s="2" t="s">
        <v>59</v>
      </c>
      <c r="G815" s="2" t="s">
        <v>791</v>
      </c>
      <c r="H815" s="2" t="s">
        <v>27</v>
      </c>
      <c r="I815" s="2" t="s">
        <v>28</v>
      </c>
      <c r="J815" s="2">
        <v>600</v>
      </c>
      <c r="K815" s="2" t="s">
        <v>7</v>
      </c>
      <c r="L815" s="2">
        <v>24</v>
      </c>
      <c r="M815" s="27">
        <v>0</v>
      </c>
      <c r="N815" s="58">
        <f t="shared" si="16"/>
        <v>0</v>
      </c>
      <c r="O815" s="2"/>
      <c r="P815" s="27" t="s">
        <v>30</v>
      </c>
      <c r="Q815" s="27" t="s">
        <v>31</v>
      </c>
      <c r="R815" s="3">
        <v>46111</v>
      </c>
      <c r="S815" s="27" t="s">
        <v>32</v>
      </c>
      <c r="T815" s="27" t="s">
        <v>807</v>
      </c>
      <c r="U815" s="1">
        <v>46019</v>
      </c>
    </row>
    <row r="816" spans="1:21" ht="15.75" x14ac:dyDescent="0.25">
      <c r="A816" s="2" t="s">
        <v>757</v>
      </c>
      <c r="B816" s="2" t="s">
        <v>539</v>
      </c>
      <c r="C816" s="2" t="s">
        <v>540</v>
      </c>
      <c r="D816" s="2" t="s">
        <v>785</v>
      </c>
      <c r="E816" s="2" t="s">
        <v>48</v>
      </c>
      <c r="F816" s="2" t="s">
        <v>59</v>
      </c>
      <c r="G816" s="2" t="s">
        <v>370</v>
      </c>
      <c r="H816" s="2" t="s">
        <v>27</v>
      </c>
      <c r="I816" s="2" t="s">
        <v>28</v>
      </c>
      <c r="J816" s="2">
        <v>601</v>
      </c>
      <c r="K816" s="2" t="s">
        <v>7</v>
      </c>
      <c r="L816" s="2">
        <v>20</v>
      </c>
      <c r="M816" s="27">
        <v>0</v>
      </c>
      <c r="N816" s="58">
        <f t="shared" si="16"/>
        <v>0</v>
      </c>
      <c r="O816" s="2"/>
      <c r="P816" s="27" t="s">
        <v>30</v>
      </c>
      <c r="Q816" s="27" t="s">
        <v>31</v>
      </c>
      <c r="R816" s="3">
        <v>46111</v>
      </c>
      <c r="S816" s="27" t="s">
        <v>32</v>
      </c>
      <c r="T816" s="27" t="s">
        <v>808</v>
      </c>
      <c r="U816" s="59">
        <v>45995</v>
      </c>
    </row>
    <row r="817" spans="1:21" ht="15.75" x14ac:dyDescent="0.25">
      <c r="A817" s="2" t="s">
        <v>757</v>
      </c>
      <c r="B817" s="2" t="s">
        <v>200</v>
      </c>
      <c r="C817" s="2" t="s">
        <v>201</v>
      </c>
      <c r="D817" s="2" t="s">
        <v>785</v>
      </c>
      <c r="E817" s="2" t="s">
        <v>41</v>
      </c>
      <c r="F817" s="2" t="s">
        <v>37</v>
      </c>
      <c r="G817" s="2" t="s">
        <v>202</v>
      </c>
      <c r="H817" s="2" t="s">
        <v>27</v>
      </c>
      <c r="I817" s="2" t="s">
        <v>28</v>
      </c>
      <c r="J817" s="2">
        <v>602</v>
      </c>
      <c r="K817" s="2" t="s">
        <v>124</v>
      </c>
      <c r="L817" s="2">
        <v>200</v>
      </c>
      <c r="M817" s="27">
        <v>0</v>
      </c>
      <c r="N817" s="58">
        <f t="shared" si="16"/>
        <v>0</v>
      </c>
      <c r="O817" s="2"/>
      <c r="P817" s="27" t="s">
        <v>30</v>
      </c>
      <c r="Q817" s="27" t="s">
        <v>31</v>
      </c>
      <c r="R817" s="3">
        <v>46123</v>
      </c>
      <c r="S817" s="27" t="s">
        <v>32</v>
      </c>
      <c r="T817" s="27" t="s">
        <v>809</v>
      </c>
      <c r="U817" s="1">
        <v>46034</v>
      </c>
    </row>
    <row r="818" spans="1:21" ht="15.75" x14ac:dyDescent="0.25">
      <c r="A818" s="2" t="s">
        <v>757</v>
      </c>
      <c r="B818" s="2" t="s">
        <v>384</v>
      </c>
      <c r="C818" s="2" t="s">
        <v>385</v>
      </c>
      <c r="D818" s="2" t="s">
        <v>786</v>
      </c>
      <c r="E818" s="2" t="s">
        <v>24</v>
      </c>
      <c r="F818" s="2" t="s">
        <v>59</v>
      </c>
      <c r="G818" s="2" t="s">
        <v>245</v>
      </c>
      <c r="H818" s="2" t="s">
        <v>27</v>
      </c>
      <c r="I818" s="2" t="s">
        <v>28</v>
      </c>
      <c r="J818" s="2">
        <v>603</v>
      </c>
      <c r="K818" s="2" t="s">
        <v>124</v>
      </c>
      <c r="L818" s="2">
        <v>80</v>
      </c>
      <c r="M818" s="27">
        <v>576720</v>
      </c>
      <c r="N818" s="58">
        <f t="shared" si="16"/>
        <v>7209</v>
      </c>
      <c r="O818" s="2"/>
      <c r="P818" s="27" t="s">
        <v>30</v>
      </c>
      <c r="Q818" s="27" t="s">
        <v>31</v>
      </c>
      <c r="R818" s="3">
        <v>46058</v>
      </c>
      <c r="S818" s="27" t="s">
        <v>32</v>
      </c>
    </row>
    <row r="819" spans="1:21" ht="15.75" x14ac:dyDescent="0.25">
      <c r="A819" s="2" t="s">
        <v>757</v>
      </c>
      <c r="B819" s="2" t="s">
        <v>778</v>
      </c>
      <c r="C819" s="2" t="s">
        <v>779</v>
      </c>
      <c r="D819" s="2" t="s">
        <v>786</v>
      </c>
      <c r="E819" s="2" t="s">
        <v>24</v>
      </c>
      <c r="F819" s="2" t="s">
        <v>790</v>
      </c>
      <c r="G819" s="2" t="s">
        <v>380</v>
      </c>
      <c r="H819" s="2" t="s">
        <v>27</v>
      </c>
      <c r="I819" s="2" t="s">
        <v>28</v>
      </c>
      <c r="J819" s="2">
        <v>604</v>
      </c>
      <c r="K819" s="2" t="s">
        <v>124</v>
      </c>
      <c r="L819" s="2">
        <v>100</v>
      </c>
      <c r="M819" s="27">
        <v>0</v>
      </c>
      <c r="N819" s="58">
        <f t="shared" ref="N819:N826" si="17">M819/L819</f>
        <v>0</v>
      </c>
      <c r="O819" s="2"/>
      <c r="P819" s="27" t="s">
        <v>30</v>
      </c>
      <c r="Q819" s="27" t="s">
        <v>31</v>
      </c>
      <c r="R819" s="3">
        <v>46178</v>
      </c>
      <c r="S819" s="27" t="s">
        <v>32</v>
      </c>
      <c r="T819" s="27" t="s">
        <v>810</v>
      </c>
      <c r="U819" s="1">
        <v>46120</v>
      </c>
    </row>
    <row r="820" spans="1:21" ht="15.75" x14ac:dyDescent="0.25">
      <c r="A820" s="2" t="s">
        <v>757</v>
      </c>
      <c r="B820" s="2" t="s">
        <v>642</v>
      </c>
      <c r="C820" s="2" t="s">
        <v>643</v>
      </c>
      <c r="D820" s="2" t="s">
        <v>786</v>
      </c>
      <c r="E820" s="2" t="s">
        <v>24</v>
      </c>
      <c r="F820" s="2" t="s">
        <v>37</v>
      </c>
      <c r="G820" s="2" t="s">
        <v>245</v>
      </c>
      <c r="H820" s="2" t="s">
        <v>27</v>
      </c>
      <c r="I820" s="2" t="s">
        <v>28</v>
      </c>
      <c r="J820" s="2">
        <v>605</v>
      </c>
      <c r="K820" s="2" t="s">
        <v>124</v>
      </c>
      <c r="L820" s="2">
        <v>20</v>
      </c>
      <c r="M820" s="27">
        <v>190000</v>
      </c>
      <c r="N820" s="58">
        <f t="shared" si="17"/>
        <v>9500</v>
      </c>
      <c r="O820" s="2"/>
      <c r="P820" s="27" t="s">
        <v>30</v>
      </c>
      <c r="Q820" s="27" t="s">
        <v>31</v>
      </c>
      <c r="R820" s="3">
        <v>46125</v>
      </c>
      <c r="S820" s="27" t="s">
        <v>32</v>
      </c>
    </row>
    <row r="821" spans="1:21" ht="15.75" x14ac:dyDescent="0.25">
      <c r="A821" s="2" t="s">
        <v>757</v>
      </c>
      <c r="B821" s="2" t="s">
        <v>783</v>
      </c>
      <c r="C821" s="2" t="s">
        <v>784</v>
      </c>
      <c r="D821" s="2" t="s">
        <v>787</v>
      </c>
      <c r="E821" s="2" t="s">
        <v>36</v>
      </c>
      <c r="F821" s="2" t="s">
        <v>37</v>
      </c>
      <c r="G821" s="2" t="s">
        <v>722</v>
      </c>
      <c r="H821" s="2" t="s">
        <v>27</v>
      </c>
      <c r="I821" s="2" t="s">
        <v>28</v>
      </c>
      <c r="J821" s="2">
        <v>607</v>
      </c>
      <c r="K821" s="2" t="s">
        <v>277</v>
      </c>
      <c r="L821" s="2">
        <v>10</v>
      </c>
      <c r="M821" s="27">
        <v>305000</v>
      </c>
      <c r="N821" s="58">
        <f t="shared" si="17"/>
        <v>30500</v>
      </c>
      <c r="O821" s="2"/>
      <c r="P821" s="27" t="s">
        <v>30</v>
      </c>
      <c r="Q821" s="27" t="s">
        <v>31</v>
      </c>
      <c r="R821" s="3">
        <v>46126</v>
      </c>
      <c r="S821" s="27" t="s">
        <v>32</v>
      </c>
    </row>
    <row r="822" spans="1:21" ht="15.75" x14ac:dyDescent="0.25">
      <c r="A822" s="2" t="s">
        <v>757</v>
      </c>
      <c r="B822" s="2" t="s">
        <v>278</v>
      </c>
      <c r="C822" s="2" t="s">
        <v>279</v>
      </c>
      <c r="D822" s="2" t="s">
        <v>788</v>
      </c>
      <c r="E822" s="2" t="s">
        <v>48</v>
      </c>
      <c r="F822" s="2" t="s">
        <v>25</v>
      </c>
      <c r="G822" s="2" t="s">
        <v>796</v>
      </c>
      <c r="H822" s="2" t="s">
        <v>27</v>
      </c>
      <c r="I822" s="2" t="s">
        <v>28</v>
      </c>
      <c r="J822" s="2">
        <v>608</v>
      </c>
      <c r="K822" s="2" t="s">
        <v>29</v>
      </c>
      <c r="L822" s="2">
        <v>60</v>
      </c>
      <c r="M822" s="27">
        <v>0</v>
      </c>
      <c r="N822" s="58">
        <f t="shared" si="17"/>
        <v>0</v>
      </c>
      <c r="O822" s="2"/>
      <c r="P822" s="27" t="s">
        <v>30</v>
      </c>
      <c r="Q822" s="27" t="s">
        <v>31</v>
      </c>
      <c r="R822" s="3">
        <v>46142</v>
      </c>
      <c r="S822" s="27" t="s">
        <v>32</v>
      </c>
      <c r="T822" s="27" t="s">
        <v>811</v>
      </c>
      <c r="U822" s="1">
        <v>46014</v>
      </c>
    </row>
    <row r="823" spans="1:21" ht="15.75" x14ac:dyDescent="0.25">
      <c r="A823" s="2" t="s">
        <v>757</v>
      </c>
      <c r="B823" s="2" t="s">
        <v>404</v>
      </c>
      <c r="C823" s="2" t="s">
        <v>405</v>
      </c>
      <c r="D823" s="2" t="s">
        <v>788</v>
      </c>
      <c r="E823" s="2" t="s">
        <v>48</v>
      </c>
      <c r="F823" s="2" t="s">
        <v>59</v>
      </c>
      <c r="G823" s="2" t="s">
        <v>797</v>
      </c>
      <c r="H823" s="2" t="s">
        <v>27</v>
      </c>
      <c r="I823" s="2" t="s">
        <v>28</v>
      </c>
      <c r="J823" s="2">
        <v>610</v>
      </c>
      <c r="K823" s="2" t="s">
        <v>29</v>
      </c>
      <c r="L823" s="2">
        <v>140</v>
      </c>
      <c r="M823" s="27">
        <v>0</v>
      </c>
      <c r="N823" s="58">
        <f t="shared" si="17"/>
        <v>0</v>
      </c>
      <c r="O823" s="2"/>
      <c r="P823" s="27" t="s">
        <v>30</v>
      </c>
      <c r="Q823" s="27" t="s">
        <v>31</v>
      </c>
      <c r="R823" s="3">
        <v>46172</v>
      </c>
      <c r="S823" s="27" t="s">
        <v>32</v>
      </c>
      <c r="T823" s="27" t="s">
        <v>812</v>
      </c>
      <c r="U823" s="1">
        <v>45996</v>
      </c>
    </row>
    <row r="824" spans="1:21" ht="15.75" x14ac:dyDescent="0.25">
      <c r="A824" s="2" t="s">
        <v>757</v>
      </c>
      <c r="B824" s="2" t="s">
        <v>404</v>
      </c>
      <c r="C824" s="2" t="s">
        <v>405</v>
      </c>
      <c r="D824" s="2" t="s">
        <v>788</v>
      </c>
      <c r="E824" s="2" t="s">
        <v>48</v>
      </c>
      <c r="F824" s="2" t="s">
        <v>59</v>
      </c>
      <c r="G824" s="2" t="s">
        <v>798</v>
      </c>
      <c r="H824" s="2" t="s">
        <v>27</v>
      </c>
      <c r="I824" s="2" t="s">
        <v>28</v>
      </c>
      <c r="J824" s="2">
        <v>610</v>
      </c>
      <c r="K824" s="2" t="s">
        <v>29</v>
      </c>
      <c r="L824" s="2">
        <v>100</v>
      </c>
      <c r="M824" s="27">
        <v>0</v>
      </c>
      <c r="N824" s="58">
        <f t="shared" si="17"/>
        <v>0</v>
      </c>
      <c r="O824" s="2"/>
      <c r="P824" s="27" t="s">
        <v>30</v>
      </c>
      <c r="Q824" s="27" t="s">
        <v>31</v>
      </c>
      <c r="R824" s="3">
        <v>46172</v>
      </c>
      <c r="S824" s="27" t="s">
        <v>32</v>
      </c>
      <c r="T824" s="27" t="s">
        <v>812</v>
      </c>
      <c r="U824" s="1">
        <v>45996</v>
      </c>
    </row>
    <row r="825" spans="1:21" ht="15.75" x14ac:dyDescent="0.25">
      <c r="A825" s="2" t="s">
        <v>757</v>
      </c>
      <c r="B825" s="2" t="s">
        <v>404</v>
      </c>
      <c r="C825" s="2" t="s">
        <v>405</v>
      </c>
      <c r="D825" s="2" t="s">
        <v>788</v>
      </c>
      <c r="E825" s="2" t="s">
        <v>48</v>
      </c>
      <c r="F825" s="2" t="s">
        <v>59</v>
      </c>
      <c r="G825" s="2" t="s">
        <v>799</v>
      </c>
      <c r="H825" s="2" t="s">
        <v>27</v>
      </c>
      <c r="I825" s="2" t="s">
        <v>28</v>
      </c>
      <c r="J825" s="2">
        <v>611</v>
      </c>
      <c r="K825" s="2" t="s">
        <v>29</v>
      </c>
      <c r="L825" s="2">
        <v>140</v>
      </c>
      <c r="M825" s="27">
        <v>0</v>
      </c>
      <c r="N825" s="58">
        <f t="shared" si="17"/>
        <v>0</v>
      </c>
      <c r="O825" s="2"/>
      <c r="P825" s="27" t="s">
        <v>30</v>
      </c>
      <c r="Q825" s="27" t="s">
        <v>31</v>
      </c>
      <c r="R825" s="3">
        <v>46172</v>
      </c>
      <c r="S825" s="27" t="s">
        <v>32</v>
      </c>
      <c r="T825" s="27" t="s">
        <v>813</v>
      </c>
      <c r="U825" s="1">
        <v>46020</v>
      </c>
    </row>
    <row r="826" spans="1:21" ht="15.75" x14ac:dyDescent="0.25">
      <c r="A826" s="2" t="s">
        <v>757</v>
      </c>
      <c r="B826" s="2" t="s">
        <v>384</v>
      </c>
      <c r="C826" s="2" t="s">
        <v>385</v>
      </c>
      <c r="D826" s="2" t="s">
        <v>789</v>
      </c>
      <c r="E826" s="2" t="s">
        <v>48</v>
      </c>
      <c r="F826" s="2" t="s">
        <v>59</v>
      </c>
      <c r="G826" s="2" t="s">
        <v>165</v>
      </c>
      <c r="H826" s="2" t="s">
        <v>27</v>
      </c>
      <c r="I826" s="2" t="s">
        <v>28</v>
      </c>
      <c r="J826" s="2">
        <v>612</v>
      </c>
      <c r="K826" s="2" t="s">
        <v>124</v>
      </c>
      <c r="L826" s="2">
        <v>40</v>
      </c>
      <c r="M826" s="27">
        <v>106960</v>
      </c>
      <c r="N826" s="58">
        <f t="shared" si="17"/>
        <v>2674</v>
      </c>
      <c r="O826" s="2"/>
      <c r="P826" s="27" t="s">
        <v>30</v>
      </c>
      <c r="Q826" s="27" t="s">
        <v>31</v>
      </c>
      <c r="R826" s="3">
        <v>46423</v>
      </c>
      <c r="S826" s="27" t="s">
        <v>32</v>
      </c>
    </row>
    <row r="827" spans="1:21" ht="15.7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21" ht="15.7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</sheetData>
  <autoFilter ref="A2:U779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zoomScale="80" zoomScaleNormal="80" workbookViewId="0">
      <selection activeCell="F27" sqref="F27"/>
    </sheetView>
  </sheetViews>
  <sheetFormatPr baseColWidth="10" defaultRowHeight="15" x14ac:dyDescent="0.25"/>
  <cols>
    <col min="1" max="1" width="18.28515625" customWidth="1"/>
    <col min="2" max="2" width="17.5703125" customWidth="1"/>
    <col min="3" max="3" width="18.5703125" customWidth="1"/>
    <col min="4" max="4" width="20.7109375" customWidth="1"/>
    <col min="5" max="5" width="18.28515625" customWidth="1"/>
    <col min="6" max="6" width="20.140625" customWidth="1"/>
    <col min="7" max="7" width="21.7109375" customWidth="1"/>
    <col min="8" max="8" width="19.140625" customWidth="1"/>
    <col min="9" max="9" width="22.7109375" customWidth="1"/>
    <col min="10" max="10" width="21.42578125" customWidth="1"/>
  </cols>
  <sheetData>
    <row r="1" spans="1:10" x14ac:dyDescent="0.25">
      <c r="A1" s="50" t="s">
        <v>769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x14ac:dyDescent="0.25">
      <c r="A2" s="20" t="s">
        <v>5</v>
      </c>
      <c r="B2" s="19" t="s">
        <v>606</v>
      </c>
      <c r="C2" s="19" t="s">
        <v>607</v>
      </c>
      <c r="D2" s="19" t="s">
        <v>578</v>
      </c>
      <c r="E2" s="19" t="s">
        <v>608</v>
      </c>
      <c r="F2" s="19" t="s">
        <v>609</v>
      </c>
      <c r="G2" s="19" t="s">
        <v>610</v>
      </c>
      <c r="H2" s="19" t="s">
        <v>620</v>
      </c>
      <c r="I2" s="19" t="s">
        <v>621</v>
      </c>
      <c r="J2" s="19" t="s">
        <v>622</v>
      </c>
    </row>
    <row r="3" spans="1:10" x14ac:dyDescent="0.25">
      <c r="A3" s="6" t="s">
        <v>597</v>
      </c>
      <c r="B3" s="5">
        <v>14858032</v>
      </c>
      <c r="C3" s="5">
        <v>14491000</v>
      </c>
      <c r="D3" s="18">
        <f>C3*100/B3</f>
        <v>97.529740143243728</v>
      </c>
      <c r="E3" s="5">
        <v>11501950</v>
      </c>
      <c r="F3" s="5">
        <v>9912000</v>
      </c>
      <c r="G3" s="18">
        <f>F3*100/E3</f>
        <v>86.17669177835063</v>
      </c>
      <c r="H3" s="5">
        <v>6500000</v>
      </c>
      <c r="I3" s="5">
        <f>GETPIVOTDATA("Total",RESUMEN!$A$2,"MES","MARZO","Vendedor","FRANCISCO VELASQUEZ")</f>
        <v>5196500</v>
      </c>
      <c r="J3" s="21">
        <f>Tabla4[[#This Row],[Venta Marzo ($)]]*100/Tabla4[[#This Row],[Ppto Marzo ($)]]</f>
        <v>79.946153846153848</v>
      </c>
    </row>
    <row r="4" spans="1:10" x14ac:dyDescent="0.25">
      <c r="A4" s="6" t="s">
        <v>598</v>
      </c>
      <c r="B4" s="5">
        <v>6000000</v>
      </c>
      <c r="C4" s="5">
        <v>6186000</v>
      </c>
      <c r="D4" s="18">
        <f t="shared" ref="D4:D7" si="0">C4*100/B4</f>
        <v>103.1</v>
      </c>
      <c r="E4" s="5">
        <v>6000000</v>
      </c>
      <c r="F4" s="5">
        <v>944000</v>
      </c>
      <c r="G4" s="18">
        <f t="shared" ref="G4:G7" si="1">F4*100/E4</f>
        <v>15.733333333333333</v>
      </c>
      <c r="H4" s="5">
        <v>6000000</v>
      </c>
      <c r="I4" s="5">
        <f>GETPIVOTDATA("Total",RESUMEN!$A$2,"MES","MARZO","Vendedor","IVAN VEVERKA")</f>
        <v>1680000</v>
      </c>
      <c r="J4" s="21">
        <f>Tabla4[[#This Row],[Venta Marzo ($)]]*100/Tabla4[[#This Row],[Ppto Marzo ($)]]</f>
        <v>28</v>
      </c>
    </row>
    <row r="5" spans="1:10" x14ac:dyDescent="0.25">
      <c r="A5" s="6" t="s">
        <v>599</v>
      </c>
      <c r="B5" s="5">
        <v>12500000</v>
      </c>
      <c r="C5" s="5">
        <v>15269491</v>
      </c>
      <c r="D5" s="18">
        <f t="shared" si="0"/>
        <v>122.155928</v>
      </c>
      <c r="E5" s="5">
        <v>6000000</v>
      </c>
      <c r="F5" s="5">
        <v>6389076</v>
      </c>
      <c r="G5" s="18">
        <f t="shared" si="1"/>
        <v>106.4846</v>
      </c>
      <c r="H5" s="5">
        <v>14500000</v>
      </c>
      <c r="I5" s="5">
        <f>GETPIVOTDATA("Total",RESUMEN!$A$2,"MES","MARZO","Vendedor","JORGE CAROCA")</f>
        <v>31913309</v>
      </c>
      <c r="J5" s="21">
        <f>Tabla4[[#This Row],[Venta Marzo ($)]]*100/Tabla4[[#This Row],[Ppto Marzo ($)]]</f>
        <v>220.09178620689656</v>
      </c>
    </row>
    <row r="6" spans="1:10" x14ac:dyDescent="0.25">
      <c r="A6" s="6" t="s">
        <v>600</v>
      </c>
      <c r="B6" s="5">
        <v>36000000</v>
      </c>
      <c r="C6" s="5">
        <v>37027580</v>
      </c>
      <c r="D6" s="18">
        <f>C6*100/B6</f>
        <v>102.85438888888889</v>
      </c>
      <c r="E6" s="5">
        <v>10600000</v>
      </c>
      <c r="F6" s="5">
        <v>10378585</v>
      </c>
      <c r="G6" s="18">
        <f t="shared" si="1"/>
        <v>97.911179245283023</v>
      </c>
      <c r="H6" s="5">
        <v>7500000</v>
      </c>
      <c r="I6" s="5">
        <f>GETPIVOTDATA("Total",RESUMEN!$A$2,"MES","MARZO","Vendedor","PABLO LARATRO")</f>
        <v>5487150</v>
      </c>
      <c r="J6" s="21">
        <f>Tabla4[[#This Row],[Venta Marzo ($)]]*100/Tabla4[[#This Row],[Ppto Marzo ($)]]</f>
        <v>73.162000000000006</v>
      </c>
    </row>
    <row r="7" spans="1:10" x14ac:dyDescent="0.25">
      <c r="A7" s="6" t="s">
        <v>601</v>
      </c>
      <c r="B7" s="5">
        <v>14200000</v>
      </c>
      <c r="C7" s="5">
        <v>13510783</v>
      </c>
      <c r="D7" s="18">
        <f t="shared" si="0"/>
        <v>95.146359154929584</v>
      </c>
      <c r="E7" s="5">
        <v>7500000</v>
      </c>
      <c r="F7" s="5">
        <v>7262717</v>
      </c>
      <c r="G7" s="18">
        <f t="shared" si="1"/>
        <v>96.836226666666661</v>
      </c>
      <c r="H7" s="5">
        <v>7500000</v>
      </c>
      <c r="I7" s="5">
        <f>GETPIVOTDATA("Total",RESUMEN!$A$2,"MES","MARZO","Vendedor","RODRIGO ENCINA")</f>
        <v>6819022</v>
      </c>
      <c r="J7" s="21">
        <f>Tabla4[[#This Row],[Venta Marzo ($)]]*100/Tabla4[[#This Row],[Ppto Marzo ($)]]</f>
        <v>90.920293333333333</v>
      </c>
    </row>
    <row r="8" spans="1:10" x14ac:dyDescent="0.25">
      <c r="A8" s="6" t="s">
        <v>602</v>
      </c>
      <c r="B8" s="5">
        <v>1200000</v>
      </c>
      <c r="C8" s="5">
        <v>2195728</v>
      </c>
      <c r="D8" s="18">
        <f>Tabla4[[#This Row],[Venta Enero ($)]]*100/Tabla4[[#This Row],[Ppto Enero ($)]]</f>
        <v>182.97733333333332</v>
      </c>
      <c r="E8" s="5">
        <v>1200000</v>
      </c>
      <c r="F8" s="5">
        <v>765600</v>
      </c>
      <c r="G8" s="18">
        <f>Tabla4[[#This Row],[Venta Febrero ($)]]*100/Tabla4[[#This Row],[Ppto Febrero ($)]]</f>
        <v>63.8</v>
      </c>
      <c r="H8" s="5">
        <v>1200000</v>
      </c>
      <c r="I8" s="5">
        <f>GETPIVOTDATA("Total",RESUMEN!$A$2,"MES","MARZO","Vendedor","VALENTINA MUÑOZ")</f>
        <v>1274728</v>
      </c>
      <c r="J8" s="21">
        <f>Tabla4[[#This Row],[Venta Marzo ($)]]*100/Tabla4[[#This Row],[Ppto Marzo ($)]]</f>
        <v>106.22733333333333</v>
      </c>
    </row>
    <row r="9" spans="1:10" ht="15" customHeight="1" x14ac:dyDescent="0.25">
      <c r="A9" s="6"/>
      <c r="B9" s="5">
        <f>SUM(B3:B8)</f>
        <v>84758032</v>
      </c>
      <c r="C9" s="5">
        <f>SUM(C3:C8)</f>
        <v>88680582</v>
      </c>
      <c r="D9" s="21">
        <f>Tabla4[[#Totals],[Venta Enero ($)]]*100/Tabla4[[#Totals],[Ppto Enero ($)]]</f>
        <v>104.62793897810181</v>
      </c>
      <c r="E9" s="5">
        <f t="shared" ref="E9:F9" si="2">SUM(E3:E8)</f>
        <v>42801950</v>
      </c>
      <c r="F9" s="5">
        <f t="shared" si="2"/>
        <v>35651978</v>
      </c>
      <c r="G9" s="21">
        <f>Tabla4[[#Totals],[Venta Febrero ($)]]*100/Tabla4[[#Totals],[Ppto Febrero ($)]]</f>
        <v>83.295219026235955</v>
      </c>
      <c r="H9" s="5">
        <f t="shared" ref="H9:I9" si="3">SUM(H3:H8)</f>
        <v>43200000</v>
      </c>
      <c r="I9" s="5">
        <f t="shared" si="3"/>
        <v>52370709</v>
      </c>
      <c r="J9" s="21">
        <f>Tabla4[[#Totals],[Venta Marzo ($)]]*100/Tabla4[[#Totals],[Ppto Marzo ($)]]</f>
        <v>121.22849305555556</v>
      </c>
    </row>
    <row r="10" spans="1:10" ht="15" customHeight="1" x14ac:dyDescent="0.25">
      <c r="A10" s="6"/>
      <c r="B10" s="5"/>
      <c r="C10" s="5"/>
      <c r="D10" s="21"/>
      <c r="E10" s="5"/>
      <c r="F10" s="5"/>
      <c r="G10" s="21"/>
      <c r="H10" s="5"/>
      <c r="I10" s="5"/>
      <c r="J10" s="21"/>
    </row>
    <row r="11" spans="1:10" ht="15" customHeight="1" x14ac:dyDescent="0.25">
      <c r="A11" s="6"/>
      <c r="B11" s="5"/>
      <c r="C11" s="5"/>
      <c r="D11" s="21"/>
      <c r="E11" s="5"/>
      <c r="F11" s="5"/>
      <c r="G11" s="21"/>
      <c r="H11" s="5"/>
      <c r="I11" s="5"/>
      <c r="J11" s="21"/>
    </row>
    <row r="12" spans="1:10" ht="15" customHeight="1" x14ac:dyDescent="0.25">
      <c r="A12" s="50" t="s">
        <v>770</v>
      </c>
      <c r="B12" s="50"/>
      <c r="C12" s="50"/>
      <c r="D12" s="50"/>
      <c r="E12" s="50"/>
      <c r="F12" s="50"/>
      <c r="G12" s="50"/>
      <c r="H12" s="50"/>
      <c r="I12" s="50"/>
      <c r="J12" s="50"/>
    </row>
    <row r="13" spans="1:10" ht="15" customHeight="1" x14ac:dyDescent="0.25">
      <c r="A13" s="20" t="s">
        <v>5</v>
      </c>
      <c r="B13" s="19" t="s">
        <v>748</v>
      </c>
      <c r="C13" s="19" t="s">
        <v>749</v>
      </c>
      <c r="D13" s="19" t="s">
        <v>578</v>
      </c>
      <c r="E13" s="19" t="s">
        <v>750</v>
      </c>
      <c r="F13" s="19" t="s">
        <v>751</v>
      </c>
      <c r="G13" s="19" t="s">
        <v>610</v>
      </c>
      <c r="H13" s="19" t="s">
        <v>752</v>
      </c>
      <c r="I13" s="19" t="s">
        <v>753</v>
      </c>
      <c r="J13" s="19" t="s">
        <v>622</v>
      </c>
    </row>
    <row r="14" spans="1:10" ht="15" customHeight="1" x14ac:dyDescent="0.25">
      <c r="A14" s="6" t="s">
        <v>597</v>
      </c>
      <c r="B14" s="5">
        <v>10000000</v>
      </c>
      <c r="C14" s="5">
        <f>GETPIVOTDATA("Total",RESUMEN!$A$2,"MES","ABRIL","Vendedor","FRANCISCO VELASQUEZ")</f>
        <v>2385000</v>
      </c>
      <c r="D14" s="18">
        <f>C14*100/B14</f>
        <v>23.85</v>
      </c>
      <c r="E14" s="5">
        <v>5000000</v>
      </c>
      <c r="F14" s="5"/>
      <c r="G14" s="18">
        <f>F14*100/E14</f>
        <v>0</v>
      </c>
      <c r="H14" s="5">
        <v>20000000</v>
      </c>
      <c r="I14" s="5"/>
      <c r="J14" s="21">
        <f>Tabla43[[#This Row],[Venta Junio ($)]]*100/Tabla43[[#This Row],[Ppto Junio ($)]]</f>
        <v>0</v>
      </c>
    </row>
    <row r="15" spans="1:10" ht="15" customHeight="1" x14ac:dyDescent="0.25">
      <c r="A15" s="6" t="s">
        <v>598</v>
      </c>
      <c r="B15" s="5">
        <v>6000000</v>
      </c>
      <c r="C15" s="5"/>
      <c r="D15" s="18">
        <f t="shared" ref="D15:D16" si="4">C15*100/B15</f>
        <v>0</v>
      </c>
      <c r="E15" s="5">
        <v>6000000</v>
      </c>
      <c r="F15" s="5"/>
      <c r="G15" s="18">
        <f t="shared" ref="G15:G18" si="5">F15*100/E15</f>
        <v>0</v>
      </c>
      <c r="H15" s="5">
        <v>6000000</v>
      </c>
      <c r="I15" s="5"/>
      <c r="J15" s="21">
        <f>Tabla43[[#This Row],[Venta Junio ($)]]*100/Tabla43[[#This Row],[Ppto Junio ($)]]</f>
        <v>0</v>
      </c>
    </row>
    <row r="16" spans="1:10" ht="15" customHeight="1" x14ac:dyDescent="0.25">
      <c r="A16" s="6" t="s">
        <v>599</v>
      </c>
      <c r="B16" s="5">
        <v>8831368</v>
      </c>
      <c r="C16" s="5">
        <f>GETPIVOTDATA("Total",RESUMEN!$A$2,"MES","ABRIL","Vendedor","JORGE CAROCA")</f>
        <v>10171393</v>
      </c>
      <c r="D16" s="18">
        <f t="shared" si="4"/>
        <v>115.17347029361703</v>
      </c>
      <c r="E16" s="5">
        <v>12500000</v>
      </c>
      <c r="F16" s="5"/>
      <c r="G16" s="18">
        <f t="shared" si="5"/>
        <v>0</v>
      </c>
      <c r="H16" s="5">
        <v>8730000</v>
      </c>
      <c r="I16" s="5"/>
      <c r="J16" s="21">
        <f>Tabla43[[#This Row],[Venta Junio ($)]]*100/Tabla43[[#This Row],[Ppto Junio ($)]]</f>
        <v>0</v>
      </c>
    </row>
    <row r="17" spans="1:10" ht="15" customHeight="1" x14ac:dyDescent="0.25">
      <c r="A17" s="6" t="s">
        <v>600</v>
      </c>
      <c r="B17" s="5">
        <v>16600000</v>
      </c>
      <c r="C17" s="5">
        <f>GETPIVOTDATA("Total",RESUMEN!$A$2,"MES","ABRIL","Vendedor","PABLO LARATRO")</f>
        <v>1700895</v>
      </c>
      <c r="D17" s="18">
        <f>C17*100/B17</f>
        <v>10.246355421686747</v>
      </c>
      <c r="E17" s="5">
        <v>22500000</v>
      </c>
      <c r="F17" s="5"/>
      <c r="G17" s="18">
        <f t="shared" si="5"/>
        <v>0</v>
      </c>
      <c r="H17" s="5">
        <v>7800000</v>
      </c>
      <c r="I17" s="5"/>
      <c r="J17" s="21">
        <f>Tabla43[[#This Row],[Venta Junio ($)]]*100/Tabla43[[#This Row],[Ppto Junio ($)]]</f>
        <v>0</v>
      </c>
    </row>
    <row r="18" spans="1:10" ht="15" customHeight="1" x14ac:dyDescent="0.25">
      <c r="A18" s="6" t="s">
        <v>601</v>
      </c>
      <c r="B18" s="5">
        <v>5000000</v>
      </c>
      <c r="C18" s="5">
        <f>GETPIVOTDATA("Total",RESUMEN!$A$2,"MES","ABRIL","Vendedor","RODRIGO ENCINA")</f>
        <v>1486780</v>
      </c>
      <c r="D18" s="18">
        <f t="shared" ref="D18" si="6">C18*100/B18</f>
        <v>29.735600000000002</v>
      </c>
      <c r="E18" s="5">
        <v>5000000</v>
      </c>
      <c r="F18" s="5"/>
      <c r="G18" s="18">
        <f t="shared" si="5"/>
        <v>0</v>
      </c>
      <c r="H18" s="5">
        <v>5000000</v>
      </c>
      <c r="I18" s="5"/>
      <c r="J18" s="21">
        <f>Tabla43[[#This Row],[Venta Junio ($)]]*100/Tabla43[[#This Row],[Ppto Junio ($)]]</f>
        <v>0</v>
      </c>
    </row>
    <row r="19" spans="1:10" ht="15" customHeight="1" x14ac:dyDescent="0.25">
      <c r="A19" s="6" t="s">
        <v>602</v>
      </c>
      <c r="B19" s="5">
        <v>1200000</v>
      </c>
      <c r="C19" s="5"/>
      <c r="D19" s="18">
        <f>Tabla43[[#This Row],[Venta Abril ($)]]*100/Tabla43[[#This Row],[Ppto Abril ($)]]</f>
        <v>0</v>
      </c>
      <c r="E19" s="5">
        <v>1200000</v>
      </c>
      <c r="F19" s="5"/>
      <c r="G19" s="18">
        <f>Tabla43[[#This Row],[Venta Mayo ($)]]*100/Tabla43[[#This Row],[Ppto Mayo ($)]]</f>
        <v>0</v>
      </c>
      <c r="H19" s="5">
        <v>1200000</v>
      </c>
      <c r="I19" s="5"/>
      <c r="J19" s="21">
        <f>Tabla43[[#This Row],[Venta Junio ($)]]*100/Tabla43[[#This Row],[Ppto Junio ($)]]</f>
        <v>0</v>
      </c>
    </row>
    <row r="20" spans="1:10" ht="15" customHeight="1" x14ac:dyDescent="0.25">
      <c r="A20" s="6"/>
      <c r="B20" s="5">
        <f>SUM(B14:B19)</f>
        <v>47631368</v>
      </c>
      <c r="C20" s="5">
        <f>SUM(C14:C19)</f>
        <v>15744068</v>
      </c>
      <c r="D20" s="21">
        <f>Tabla43[[#Totals],[Venta Abril ($)]]*100/Tabla43[[#Totals],[Ppto Abril ($)]]</f>
        <v>33.053990807066469</v>
      </c>
      <c r="E20" s="5">
        <f t="shared" ref="E20:F20" si="7">SUM(E14:E19)</f>
        <v>52200000</v>
      </c>
      <c r="F20" s="5">
        <f t="shared" si="7"/>
        <v>0</v>
      </c>
      <c r="G20" s="21">
        <f>Tabla43[[#Totals],[Venta Mayo ($)]]*100/Tabla43[[#Totals],[Ppto Mayo ($)]]</f>
        <v>0</v>
      </c>
      <c r="H20" s="5">
        <f t="shared" ref="H20:I20" si="8">SUM(H14:H19)</f>
        <v>48730000</v>
      </c>
      <c r="I20" s="5">
        <f t="shared" si="8"/>
        <v>0</v>
      </c>
      <c r="J20" s="21">
        <f>Tabla43[[#Totals],[Venta Junio ($)]]*100/Tabla43[[#Totals],[Ppto Junio ($)]]</f>
        <v>0</v>
      </c>
    </row>
    <row r="21" spans="1:10" ht="15" customHeight="1" x14ac:dyDescent="0.25">
      <c r="A21" s="6"/>
      <c r="B21" s="5"/>
      <c r="C21" s="5"/>
      <c r="D21" s="21"/>
      <c r="E21" s="5"/>
      <c r="F21" s="5"/>
      <c r="G21" s="21"/>
      <c r="H21" s="5"/>
      <c r="I21" s="5"/>
      <c r="J21" s="21"/>
    </row>
    <row r="22" spans="1:10" ht="15" customHeight="1" x14ac:dyDescent="0.25">
      <c r="A22" s="6"/>
      <c r="B22" s="5"/>
      <c r="C22" s="5"/>
      <c r="D22" s="21"/>
      <c r="E22" s="5"/>
      <c r="F22" s="5"/>
      <c r="G22" s="21"/>
      <c r="H22" s="5"/>
      <c r="I22" s="5"/>
      <c r="J22" s="21"/>
    </row>
    <row r="24" spans="1:10" x14ac:dyDescent="0.25">
      <c r="B24" s="55" t="s">
        <v>747</v>
      </c>
      <c r="C24" s="56"/>
      <c r="D24" s="57"/>
    </row>
    <row r="25" spans="1:10" x14ac:dyDescent="0.25">
      <c r="A25" s="24" t="s">
        <v>5</v>
      </c>
      <c r="B25" s="25" t="s">
        <v>604</v>
      </c>
      <c r="C25" s="25" t="s">
        <v>603</v>
      </c>
      <c r="D25" s="25" t="s">
        <v>596</v>
      </c>
    </row>
    <row r="26" spans="1:10" x14ac:dyDescent="0.25">
      <c r="A26" s="23" t="s">
        <v>597</v>
      </c>
      <c r="B26" s="5">
        <f>B3+E3+H3+B14</f>
        <v>42859982</v>
      </c>
      <c r="C26" s="5">
        <f>C3+F3+I3</f>
        <v>29599500</v>
      </c>
      <c r="D26" s="21">
        <f>C26*100/B26</f>
        <v>69.060924943925542</v>
      </c>
    </row>
    <row r="27" spans="1:10" x14ac:dyDescent="0.25">
      <c r="A27" s="22" t="s">
        <v>598</v>
      </c>
      <c r="B27" s="5">
        <f>B4+E4+H4+B15</f>
        <v>24000000</v>
      </c>
      <c r="C27" s="5">
        <f>C4+F4+I4</f>
        <v>8810000</v>
      </c>
      <c r="D27" s="21">
        <f>C27*100/B27</f>
        <v>36.708333333333336</v>
      </c>
    </row>
    <row r="28" spans="1:10" x14ac:dyDescent="0.25">
      <c r="A28" s="22" t="s">
        <v>599</v>
      </c>
      <c r="B28" s="5">
        <f>B5+E5+H5+B16</f>
        <v>41831368</v>
      </c>
      <c r="C28" s="5">
        <f>C5+F5+I5</f>
        <v>53571876</v>
      </c>
      <c r="D28" s="21">
        <f>C28*100/B28</f>
        <v>128.06627791852276</v>
      </c>
    </row>
    <row r="29" spans="1:10" x14ac:dyDescent="0.25">
      <c r="A29" s="22" t="s">
        <v>600</v>
      </c>
      <c r="B29" s="5">
        <f>B6+E6+H6+B17</f>
        <v>70700000</v>
      </c>
      <c r="C29" s="5">
        <f>C6+F6+I6</f>
        <v>52893315</v>
      </c>
      <c r="D29" s="21">
        <f t="shared" ref="D29:D30" si="9">C29*100/B29</f>
        <v>74.813741159830272</v>
      </c>
    </row>
    <row r="30" spans="1:10" x14ac:dyDescent="0.25">
      <c r="A30" s="22" t="s">
        <v>601</v>
      </c>
      <c r="B30" s="5">
        <f>B7+E7+H7+B18</f>
        <v>34200000</v>
      </c>
      <c r="C30" s="5">
        <f>C7+F7+I7</f>
        <v>27592522</v>
      </c>
      <c r="D30" s="21">
        <f t="shared" si="9"/>
        <v>80.679888888888883</v>
      </c>
    </row>
    <row r="31" spans="1:10" x14ac:dyDescent="0.25">
      <c r="A31" s="22" t="s">
        <v>602</v>
      </c>
      <c r="B31" s="5">
        <v>0</v>
      </c>
      <c r="C31" s="5">
        <f>C8+F8</f>
        <v>2961328</v>
      </c>
      <c r="D31" s="18"/>
    </row>
    <row r="32" spans="1:10" x14ac:dyDescent="0.25">
      <c r="A32" s="22"/>
      <c r="B32" s="5">
        <f>SUM(B26:B31)</f>
        <v>213591350</v>
      </c>
      <c r="C32" s="5">
        <f>SUM(C26:C31)</f>
        <v>175428541</v>
      </c>
      <c r="D32" s="21">
        <f>Tabla5[[#Totals],[Venta]]*100/Tabla5[[#Totals],[Ppto]]</f>
        <v>82.132792830795822</v>
      </c>
      <c r="I32" s="21"/>
    </row>
  </sheetData>
  <mergeCells count="3">
    <mergeCell ref="B24:D24"/>
    <mergeCell ref="A1:J1"/>
    <mergeCell ref="A12:J12"/>
  </mergeCells>
  <pageMargins left="0.7" right="0.7" top="0.75" bottom="0.75" header="0.3" footer="0.3"/>
  <pageSetup paperSize="9" orientation="portrait" r:id="rId1"/>
  <ignoredErrors>
    <ignoredError sqref="I4 C28:C30 C26:C27 I5:I8 C16:C18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VENTAS</vt:lpstr>
      <vt:lpstr>ACUMULADO T1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Casa</cp:lastModifiedBy>
  <dcterms:created xsi:type="dcterms:W3CDTF">2026-02-23T14:45:34Z</dcterms:created>
  <dcterms:modified xsi:type="dcterms:W3CDTF">2026-04-21T15:57:20Z</dcterms:modified>
</cp:coreProperties>
</file>