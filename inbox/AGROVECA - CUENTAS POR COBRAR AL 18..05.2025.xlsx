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E75336-99F2-47FA-B449-3D54AA448E38}" xr6:coauthVersionLast="47" xr6:coauthVersionMax="47" xr10:uidLastSave="{00000000-0000-0000-0000-000000000000}"/>
  <bookViews>
    <workbookView xWindow="-108" yWindow="-108" windowWidth="23256" windowHeight="12456" xr2:uid="{B5B71740-4581-4ED2-867A-42B57E97DFFC}"/>
  </bookViews>
  <sheets>
    <sheet name="AGROVECA" sheetId="3" r:id="rId1"/>
    <sheet name="Hoja2" sheetId="4" state="hidden" r:id="rId2"/>
    <sheet name="Hoja1" sheetId="2" state="hidden" r:id="rId3"/>
  </sheets>
  <definedNames>
    <definedName name="_xlnm._FilterDatabase" localSheetId="0" hidden="1">AGROVECA!$A$5:$O$103</definedName>
    <definedName name="_xlnm.Print_Titles" localSheetId="0">AGROVECA!$1:$5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3" i="3" l="1"/>
  <c r="I102" i="3"/>
  <c r="I99" i="3"/>
  <c r="I95" i="3"/>
  <c r="I85" i="3"/>
  <c r="I80" i="3"/>
  <c r="I52" i="3"/>
  <c r="I42" i="3"/>
  <c r="I37" i="3"/>
  <c r="I26" i="3"/>
  <c r="I18" i="3"/>
  <c r="I14" i="3"/>
  <c r="I9" i="3"/>
  <c r="I32" i="3" l="1"/>
  <c r="I33" i="3" s="1"/>
  <c r="I125" i="3" l="1"/>
  <c r="I22" i="3"/>
</calcChain>
</file>

<file path=xl/sharedStrings.xml><?xml version="1.0" encoding="utf-8"?>
<sst xmlns="http://schemas.openxmlformats.org/spreadsheetml/2006/main" count="481" uniqueCount="224">
  <si>
    <t>AGROVECA PERU S.A.C. - RUC: 20609014963</t>
  </si>
  <si>
    <t>REPORTE DE DOCUMENTOS PENDIENTES</t>
  </si>
  <si>
    <t>CUENTA:   121202 FACTURAS POR COBRAR EMITIDAS CARTERA TERCEROS M.E.</t>
  </si>
  <si>
    <t>CODIGO</t>
  </si>
  <si>
    <t>NOMBRE</t>
  </si>
  <si>
    <t>TD</t>
  </si>
  <si>
    <t>SER.</t>
  </si>
  <si>
    <t>NUMERO</t>
  </si>
  <si>
    <t>FECHA</t>
  </si>
  <si>
    <t>VENCIM</t>
  </si>
  <si>
    <t>SALDO</t>
  </si>
  <si>
    <t>GLOSA</t>
  </si>
  <si>
    <t>INGRESOS JULIO 2024</t>
  </si>
  <si>
    <t xml:space="preserve">20106919233    </t>
  </si>
  <si>
    <t>PAODISA S.A.</t>
  </si>
  <si>
    <t>01</t>
  </si>
  <si>
    <t>E001</t>
  </si>
  <si>
    <t xml:space="preserve">453                 </t>
  </si>
  <si>
    <t>01/07/2024</t>
  </si>
  <si>
    <t>31/07/2024</t>
  </si>
  <si>
    <t>JULIO 2024</t>
  </si>
  <si>
    <t>800 LTS VECAMIN SUGAR, 100 LTS VECA ROOT MAX</t>
  </si>
  <si>
    <t>INGRESOS NOVIEMBRE 2024</t>
  </si>
  <si>
    <t xml:space="preserve">509                 </t>
  </si>
  <si>
    <t>05/09/2024</t>
  </si>
  <si>
    <t>04/11/2024</t>
  </si>
  <si>
    <t>NOVIEMBRE 2024</t>
  </si>
  <si>
    <t>200 LTS VECA AMIN</t>
  </si>
  <si>
    <t xml:space="preserve">538                 </t>
  </si>
  <si>
    <t>26/09/2024</t>
  </si>
  <si>
    <t>25/11/2024</t>
  </si>
  <si>
    <t>400 LTS VECAMIN SUGAR</t>
  </si>
  <si>
    <t>INGRESOS ENERO 2025</t>
  </si>
  <si>
    <t xml:space="preserve">579                 </t>
  </si>
  <si>
    <t>08/11/2024</t>
  </si>
  <si>
    <t>07/01/2025</t>
  </si>
  <si>
    <t>ENERO 2025</t>
  </si>
  <si>
    <t>200 LTS VECA AMIN, 200 LTS VECA PLUS MAGNESIO, 30 LTS CYROPRIME</t>
  </si>
  <si>
    <t>INGRESOS SETIEMBRE 2025</t>
  </si>
  <si>
    <t>LUNA QUINTANILLA BRYAN ALEXANDER</t>
  </si>
  <si>
    <t>INGRESOS OCTUBRE 2025</t>
  </si>
  <si>
    <t>OCTUBRE 2025</t>
  </si>
  <si>
    <t>AGROFER MJ E.I.R.L.</t>
  </si>
  <si>
    <t>80 LTS VECA AMIN, 12 LTS VECA POTASIO, 12 LTS VECA BORO, 12 LTS VECA CALCIO BORO, 12 LTS VECA MAGNES</t>
  </si>
  <si>
    <t>INGRESOS NOVIEMBRE 2025</t>
  </si>
  <si>
    <t>TOTAL INGRESOS</t>
  </si>
  <si>
    <t>FACTURAS ENVIADAS A FACTORING 2024</t>
  </si>
  <si>
    <t xml:space="preserve">20325117835    </t>
  </si>
  <si>
    <t>SOCIEDAD AGRICOLA DROKASA S.A</t>
  </si>
  <si>
    <t xml:space="preserve">475                 </t>
  </si>
  <si>
    <t>01/08/2024</t>
  </si>
  <si>
    <t>AGOSTO</t>
  </si>
  <si>
    <t>840 LTS ALGAP 30</t>
  </si>
  <si>
    <t>PAGADO A SUPRA</t>
  </si>
  <si>
    <t xml:space="preserve">20535747424    </t>
  </si>
  <si>
    <t>RVR AGRO S.R.L.</t>
  </si>
  <si>
    <t xml:space="preserve">459                 </t>
  </si>
  <si>
    <t>05/07/2024</t>
  </si>
  <si>
    <t>03/09/2024</t>
  </si>
  <si>
    <t>SETIEMBRE</t>
  </si>
  <si>
    <t>479 ALGAP 30, 67 VECA AMIN, 189 VECA BALANCE, 32 VECA CALCIO,506 VECA MAGNESIO</t>
  </si>
  <si>
    <t xml:space="preserve">476                 </t>
  </si>
  <si>
    <t>02/08/2024</t>
  </si>
  <si>
    <t>OCTUBRE</t>
  </si>
  <si>
    <t>562 LTS ALGAP, 178 VECA AMIN, 97 LTS BALANCE, 527 VECA CALCIO, 125 VECA MAGNESIO, 800 VECA ROOT MAX</t>
  </si>
  <si>
    <t xml:space="preserve">492                 </t>
  </si>
  <si>
    <t>20/08/2024</t>
  </si>
  <si>
    <t>310 LTS ALGAP, 343 LTS VECA AMIN, 399 VECA BALANCE, 265 LTS VECA MAGNESIO, 157 LTS VECA CALCIO, 272</t>
  </si>
  <si>
    <t xml:space="preserve">494                 </t>
  </si>
  <si>
    <t>23/08/2024</t>
  </si>
  <si>
    <t>400 LTS ALGAP 30, 275 LTS VECA AMIN, 735 VECA MAGNEISO, 178 LTS VECA CALCIO, 216 LTS VECA POTASIO, 5</t>
  </si>
  <si>
    <t>NOVIEMBRE</t>
  </si>
  <si>
    <t>200 LTS ALGAP 30, 239 LTS VECA AMIN, 520 LTS VECA ROOT MAX, 239 VECA POTASIO</t>
  </si>
  <si>
    <t>04/09/2024</t>
  </si>
  <si>
    <t>300 LTS ALGAP 30</t>
  </si>
  <si>
    <t>906 LTS ALGAP 30, 537 LTS VECA AMIN, 320 LTS VECA BALANCE, 341 VECA MAGNESIO, 405 VECA CALCIO, 440 L</t>
  </si>
  <si>
    <t xml:space="preserve">550                 </t>
  </si>
  <si>
    <t>07/10/2024</t>
  </si>
  <si>
    <t>DICIEMBRE</t>
  </si>
  <si>
    <t>600 LTS VECA BALANCE</t>
  </si>
  <si>
    <t xml:space="preserve">552                 </t>
  </si>
  <si>
    <t>686 LTS VECA MAGNESIO, 322 LTS VECA CALCIO</t>
  </si>
  <si>
    <t xml:space="preserve">553                 </t>
  </si>
  <si>
    <t>11/10/2024</t>
  </si>
  <si>
    <t>114 LTS VECA BALANCE, 238 LTS VECA CALCIO, 114 LTS VECA MAGNESIO</t>
  </si>
  <si>
    <t xml:space="preserve">555                 </t>
  </si>
  <si>
    <t>31 LTS VECA BALANCE</t>
  </si>
  <si>
    <t xml:space="preserve">556                 </t>
  </si>
  <si>
    <t>14/10/2024</t>
  </si>
  <si>
    <t>291 LTS ALGAP 30</t>
  </si>
  <si>
    <t xml:space="preserve">557                 </t>
  </si>
  <si>
    <t>600 LTS ALGAP 30</t>
  </si>
  <si>
    <t xml:space="preserve">565                 </t>
  </si>
  <si>
    <t>18/10/2024</t>
  </si>
  <si>
    <t>148LTS ALGAP 30</t>
  </si>
  <si>
    <t xml:space="preserve">558                 </t>
  </si>
  <si>
    <t>631 LTS ALGAP 30</t>
  </si>
  <si>
    <t xml:space="preserve">671                 </t>
  </si>
  <si>
    <t>INGRESOS DICIEMBRE 2025</t>
  </si>
  <si>
    <t>DICIEMBRE 2025</t>
  </si>
  <si>
    <t>12 LTS VECA POTASIO, 36 LTS HUMIC ROOT, 36 LTS CALCIO BORO, 12 LTS VECA ZINC, 12 LTS ALGAP, 24 LTS C</t>
  </si>
  <si>
    <t>INGRESOS ENERO 2026</t>
  </si>
  <si>
    <t>PRODUCTOS LINEA AGROVECA</t>
  </si>
  <si>
    <t>INGRESOS FEBRERO 2026</t>
  </si>
  <si>
    <t>FEBRERO 2026</t>
  </si>
  <si>
    <t>VENDEDOR</t>
  </si>
  <si>
    <t>JOSE GELDRES</t>
  </si>
  <si>
    <t>OSCAR INFANTE</t>
  </si>
  <si>
    <t>GUILLERMO PRADENAS</t>
  </si>
  <si>
    <t>OMAR ATALAYA</t>
  </si>
  <si>
    <t>100 LTS VECASIL FORTE</t>
  </si>
  <si>
    <t>INGRESOS MARZO 2026</t>
  </si>
  <si>
    <t>SERVICIOS BIOINSUMOS PERU SOCIEDAD ANONIMA CERRADA.</t>
  </si>
  <si>
    <t>36 LTS CALCIO-BORO, 24 LTS VECA POTASIO, 24 LTS VECASIL FORTE, 36 LTS HUMIC ROOT, 36 LTS ALGAP 30</t>
  </si>
  <si>
    <t xml:space="preserve">MANUELITA FYH S.A.C. </t>
  </si>
  <si>
    <t xml:space="preserve">AMFRESH PERU AGRISIL S.R.L. </t>
  </si>
  <si>
    <t>INGRESOS ABRIL 2026</t>
  </si>
  <si>
    <t>16/12/2025</t>
  </si>
  <si>
    <t>22/12/2025</t>
  </si>
  <si>
    <t>ABRIL 2026</t>
  </si>
  <si>
    <t>CORPORACION AGROLATINA S.A.C</t>
  </si>
  <si>
    <t>22/04/2026</t>
  </si>
  <si>
    <t>AGRICOLA CARMEN LUISA S.A.C.</t>
  </si>
  <si>
    <t>INGRESOS MAYO 2026</t>
  </si>
  <si>
    <t>INGRESOS JUNIO 2026</t>
  </si>
  <si>
    <t>05/02/2026</t>
  </si>
  <si>
    <t>06/05/2026</t>
  </si>
  <si>
    <t>MAYO 2026</t>
  </si>
  <si>
    <t>UVICA</t>
  </si>
  <si>
    <t>JUNIO 2026</t>
  </si>
  <si>
    <t>300 LTS VECA PLUS MAGNESIO</t>
  </si>
  <si>
    <t>LISBETH AGUIRRE</t>
  </si>
  <si>
    <t>UVICA S.A.C.</t>
  </si>
  <si>
    <t>INVERSIONES AJS S.A.C.</t>
  </si>
  <si>
    <t>12/02/2025</t>
  </si>
  <si>
    <t>12/06/2025</t>
  </si>
  <si>
    <t>16 LTS CYTO PRIME</t>
  </si>
  <si>
    <t>23/02/2026</t>
  </si>
  <si>
    <t>23/06/2026</t>
  </si>
  <si>
    <t>26/02/2026</t>
  </si>
  <si>
    <t>CORPORACION AGRICOLA OLMOS S.A</t>
  </si>
  <si>
    <t>CORPORACION ESAN E &amp; F SOCIEDAD ANONIMA CERRADA</t>
  </si>
  <si>
    <t>02/03/2026</t>
  </si>
  <si>
    <t>31/05/2026</t>
  </si>
  <si>
    <t>95 LTS VECA AMIN</t>
  </si>
  <si>
    <t>134 LTS REGALIA MAX</t>
  </si>
  <si>
    <t>140 LTS RELAIA MAX</t>
  </si>
  <si>
    <t>03/03/2026</t>
  </si>
  <si>
    <t>30/06/2026</t>
  </si>
  <si>
    <t>200 LTS MAGNESIO</t>
  </si>
  <si>
    <t>04/03/2026</t>
  </si>
  <si>
    <t>02/06/2026</t>
  </si>
  <si>
    <t>60 TLS REGALIA MAXX</t>
  </si>
  <si>
    <t>241 TLS REGALIA MAXX</t>
  </si>
  <si>
    <t xml:space="preserve">	SOCIEDAD EXPORTADORA VERFRUT SOCIEDAD ANONIMA CERRADA</t>
  </si>
  <si>
    <t>PATRICIA VALLADARES</t>
  </si>
  <si>
    <t>18/03/2026</t>
  </si>
  <si>
    <t>16/06/2026</t>
  </si>
  <si>
    <t>36 LTS HUMIC ROOT, 24 LTS VECA POTASIO, 36 LTS VECA FULVIC, 24 LTS CALCIO BORO</t>
  </si>
  <si>
    <t>20/03/2026</t>
  </si>
  <si>
    <t>19/04/2026</t>
  </si>
  <si>
    <t>420 VECA ZINC</t>
  </si>
  <si>
    <t>80 LTS VECA HUMIC ROOT</t>
  </si>
  <si>
    <t>40 LTS VECASIL FORTE</t>
  </si>
  <si>
    <t>19/03/2026</t>
  </si>
  <si>
    <t>18/05/2026</t>
  </si>
  <si>
    <t>19/05/2026</t>
  </si>
  <si>
    <t>INGRESOS JULIO 2026</t>
  </si>
  <si>
    <t>23/03/2026</t>
  </si>
  <si>
    <t>27/07/2026</t>
  </si>
  <si>
    <t>JULIO 2026</t>
  </si>
  <si>
    <t>32 LTS VECA MOVE</t>
  </si>
  <si>
    <t>25/05/2026</t>
  </si>
  <si>
    <t>50 LTS VECA PLUS BORO</t>
  </si>
  <si>
    <t>CORPORACION AGROLATINA S.A.C.</t>
  </si>
  <si>
    <t>28/06/2026</t>
  </si>
  <si>
    <t>29/06/2026</t>
  </si>
  <si>
    <t>200 LTS ALGAP</t>
  </si>
  <si>
    <t>200 LTS ALGAP, 144 LTS VECA AMIN,  620 VECA ROOT MAX</t>
  </si>
  <si>
    <t>30/05/2026</t>
  </si>
  <si>
    <t>INGRESOS AGOSTO 2026</t>
  </si>
  <si>
    <t>07/04/2026</t>
  </si>
  <si>
    <t>05/08/2026</t>
  </si>
  <si>
    <t>200 LTS VECA MAGNESIO</t>
  </si>
  <si>
    <t>08/04/2026</t>
  </si>
  <si>
    <t>07/06/2026</t>
  </si>
  <si>
    <t>60 lts AV PLUS BORO</t>
  </si>
  <si>
    <t>13/08/2026</t>
  </si>
  <si>
    <t>15/04/2026</t>
  </si>
  <si>
    <t>AGOSTO 2026</t>
  </si>
  <si>
    <t>200 LTS AV ROOT MAX</t>
  </si>
  <si>
    <t>16/04/2026</t>
  </si>
  <si>
    <t>15/06/2026</t>
  </si>
  <si>
    <t>60 LTS AV PLUS BORO</t>
  </si>
  <si>
    <t xml:space="preserve">AGROEXPORTACIONES SANTA MARIA MAGDALENA E.I.R.L </t>
  </si>
  <si>
    <t>22/05/2026</t>
  </si>
  <si>
    <t>20 LTS AV AMIN SUGAR</t>
  </si>
  <si>
    <t>21/06/2026</t>
  </si>
  <si>
    <t>28/04/2026</t>
  </si>
  <si>
    <t>200 LTS ALGAP 30</t>
  </si>
  <si>
    <t>26/08/2026</t>
  </si>
  <si>
    <t>200 LTS AV MAGNESIO</t>
  </si>
  <si>
    <t>200 LTS AV MAGNESIO / 200 ÑTS AV ROOT MAX</t>
  </si>
  <si>
    <t>30 LTS REGALIA MAX</t>
  </si>
  <si>
    <t>INGRESOS SETIEMBRE 2026</t>
  </si>
  <si>
    <t>AGRICOLA CAMPO NOBLE SOCIEDAD ANONIMA CERRADA.</t>
  </si>
  <si>
    <t>04/05/2026</t>
  </si>
  <si>
    <t>01/09/2026</t>
  </si>
  <si>
    <t>SETIEMBRE 2026</t>
  </si>
  <si>
    <t>200 LTS BIOSOLARIS</t>
  </si>
  <si>
    <t>SUSAN DIAZ</t>
  </si>
  <si>
    <t>VIVEROS EL TAMBO S.A.C.</t>
  </si>
  <si>
    <t>05/05/2026</t>
  </si>
  <si>
    <t>04/06/2026</t>
  </si>
  <si>
    <t>80 LTS AV PLUS HIERRO</t>
  </si>
  <si>
    <t>REITER PERUVIAN BERRY S.A.</t>
  </si>
  <si>
    <t>04/07/2026</t>
  </si>
  <si>
    <t>206 LTS REGALIA MAXX</t>
  </si>
  <si>
    <t>AMFRESH PERU AGRISIL S.R.L.</t>
  </si>
  <si>
    <t>03/08/2026</t>
  </si>
  <si>
    <t>448 LTS VECA ROOT MAX</t>
  </si>
  <si>
    <t>07/05/2026</t>
  </si>
  <si>
    <t>04/09/2026</t>
  </si>
  <si>
    <t xml:space="preserve">UVICA S.A.C.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</si>
</sst>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D0D0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64" fontId="2" fillId="2" borderId="4" xfId="0" applyNumberFormat="1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right" vertical="center"/>
    </xf>
    <xf numFmtId="164" fontId="2" fillId="0" borderId="4" xfId="0" applyNumberFormat="1" applyFont="1" applyBorder="1"/>
    <xf numFmtId="14" fontId="3" fillId="0" borderId="0" xfId="0" quotePrefix="1" applyNumberFormat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2" applyFont="1" applyBorder="1"/>
    <xf numFmtId="43" fontId="3" fillId="3" borderId="0" xfId="1" applyFont="1" applyFill="1"/>
    <xf numFmtId="14" fontId="3" fillId="0" borderId="0" xfId="0" quotePrefix="1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64" fontId="2" fillId="2" borderId="0" xfId="0" applyNumberFormat="1" applyFont="1" applyFill="1"/>
    <xf numFmtId="43" fontId="3" fillId="0" borderId="0" xfId="1" applyFont="1"/>
    <xf numFmtId="0" fontId="5" fillId="4" borderId="0" xfId="0" applyFont="1" applyFill="1"/>
    <xf numFmtId="0" fontId="2" fillId="0" borderId="4" xfId="0" applyFont="1" applyBorder="1" applyAlignment="1">
      <alignment horizontal="center"/>
    </xf>
  </cellXfs>
  <cellStyles count="3">
    <cellStyle name="Millares" xfId="1" builtinId="3"/>
    <cellStyle name="Millares 3" xfId="2" xr:uid="{BC8BF8E6-CE1D-4F7F-9D14-51C73A36A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345-2A43-4D97-B759-D3542E355239}">
  <dimension ref="A1:O125"/>
  <sheetViews>
    <sheetView tabSelected="1" zoomScale="110" zoomScaleNormal="110" workbookViewId="0">
      <pane ySplit="6" topLeftCell="A34" activePane="bottomLeft" state="frozen"/>
      <selection pane="bottomLeft" activeCell="I60" sqref="I60"/>
    </sheetView>
  </sheetViews>
  <sheetFormatPr baseColWidth="10" defaultColWidth="11.5546875" defaultRowHeight="10.199999999999999" x14ac:dyDescent="0.2"/>
  <cols>
    <col min="1" max="1" width="13.33203125" style="2" customWidth="1"/>
    <col min="2" max="2" width="31.88671875" style="2" customWidth="1"/>
    <col min="3" max="3" width="2.77734375" style="3" customWidth="1"/>
    <col min="4" max="4" width="4.77734375" style="3" customWidth="1"/>
    <col min="5" max="7" width="10.77734375" style="3" customWidth="1"/>
    <col min="8" max="8" width="12.21875" style="3" customWidth="1"/>
    <col min="9" max="9" width="14.77734375" style="17" customWidth="1"/>
    <col min="10" max="10" width="51.88671875" style="3" customWidth="1"/>
    <col min="11" max="11" width="16" style="3" customWidth="1"/>
    <col min="12" max="15" width="11.5546875" style="3"/>
    <col min="16" max="16" width="12.77734375" style="3" bestFit="1" customWidth="1"/>
    <col min="17" max="16384" width="11.5546875" style="3"/>
  </cols>
  <sheetData>
    <row r="1" spans="1:14" x14ac:dyDescent="0.2">
      <c r="A1" s="1" t="s">
        <v>0</v>
      </c>
      <c r="I1" s="3"/>
    </row>
    <row r="2" spans="1:14" x14ac:dyDescent="0.2">
      <c r="A2" s="1" t="s">
        <v>1</v>
      </c>
      <c r="I2" s="3"/>
    </row>
    <row r="3" spans="1:14" x14ac:dyDescent="0.2">
      <c r="A3" s="1"/>
      <c r="I3" s="3"/>
    </row>
    <row r="4" spans="1:14" ht="15" customHeight="1" x14ac:dyDescent="0.2">
      <c r="A4" s="1" t="s">
        <v>2</v>
      </c>
      <c r="I4" s="3"/>
    </row>
    <row r="5" spans="1:14" x14ac:dyDescent="0.2">
      <c r="A5" s="4"/>
      <c r="B5" s="4"/>
      <c r="C5" s="5"/>
      <c r="D5" s="5"/>
      <c r="E5" s="5"/>
      <c r="F5" s="5"/>
      <c r="G5" s="5"/>
      <c r="H5" s="6"/>
      <c r="I5" s="7"/>
      <c r="J5" s="5"/>
      <c r="K5" s="5"/>
    </row>
    <row r="6" spans="1:14" x14ac:dyDescent="0.2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9</v>
      </c>
      <c r="I6" s="10" t="s">
        <v>10</v>
      </c>
      <c r="J6" s="9" t="s">
        <v>11</v>
      </c>
      <c r="K6" s="9" t="s">
        <v>105</v>
      </c>
    </row>
    <row r="7" spans="1:14" x14ac:dyDescent="0.2">
      <c r="A7" s="11" t="s">
        <v>12</v>
      </c>
      <c r="B7" s="1"/>
      <c r="C7" s="12"/>
      <c r="D7" s="12"/>
      <c r="E7" s="12"/>
      <c r="F7" s="12"/>
      <c r="G7" s="12"/>
      <c r="H7" s="12"/>
      <c r="I7" s="13"/>
      <c r="J7" s="12"/>
    </row>
    <row r="8" spans="1:14" x14ac:dyDescent="0.2">
      <c r="A8" s="14" t="s">
        <v>13</v>
      </c>
      <c r="B8" s="14" t="s">
        <v>14</v>
      </c>
      <c r="C8" s="15" t="s">
        <v>15</v>
      </c>
      <c r="D8" s="15" t="s">
        <v>16</v>
      </c>
      <c r="E8" s="15" t="s">
        <v>17</v>
      </c>
      <c r="F8" s="14" t="s">
        <v>18</v>
      </c>
      <c r="G8" s="14" t="s">
        <v>19</v>
      </c>
      <c r="H8" s="16" t="s">
        <v>20</v>
      </c>
      <c r="I8" s="17">
        <v>1477.5</v>
      </c>
      <c r="J8" s="3" t="s">
        <v>21</v>
      </c>
      <c r="K8" s="3" t="s">
        <v>106</v>
      </c>
    </row>
    <row r="9" spans="1:14" ht="10.199999999999999" customHeight="1" thickBot="1" x14ac:dyDescent="0.25">
      <c r="A9" s="14"/>
      <c r="B9" s="14"/>
      <c r="C9" s="15"/>
      <c r="D9" s="15"/>
      <c r="E9" s="15"/>
      <c r="F9" s="14"/>
      <c r="G9" s="14"/>
      <c r="H9" s="16"/>
      <c r="I9" s="18">
        <f>+I8</f>
        <v>1477.5</v>
      </c>
    </row>
    <row r="10" spans="1:14" ht="10.8" thickTop="1" x14ac:dyDescent="0.2">
      <c r="F10" s="2"/>
      <c r="G10" s="2"/>
      <c r="H10" s="19"/>
    </row>
    <row r="11" spans="1:14" x14ac:dyDescent="0.2">
      <c r="A11" s="11" t="s">
        <v>22</v>
      </c>
      <c r="F11" s="2"/>
      <c r="G11" s="2"/>
      <c r="H11" s="19"/>
      <c r="I11" s="3"/>
    </row>
    <row r="12" spans="1:14" x14ac:dyDescent="0.2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23</v>
      </c>
      <c r="F12" s="14" t="s">
        <v>24</v>
      </c>
      <c r="G12" s="14" t="s">
        <v>25</v>
      </c>
      <c r="H12" s="16" t="s">
        <v>26</v>
      </c>
      <c r="I12" s="17">
        <v>1773</v>
      </c>
      <c r="J12" s="3" t="s">
        <v>27</v>
      </c>
      <c r="K12" s="3" t="s">
        <v>106</v>
      </c>
    </row>
    <row r="13" spans="1:14" ht="9" customHeight="1" x14ac:dyDescent="0.2">
      <c r="A13" s="14" t="s">
        <v>13</v>
      </c>
      <c r="B13" s="14" t="s">
        <v>14</v>
      </c>
      <c r="C13" s="15" t="s">
        <v>15</v>
      </c>
      <c r="D13" s="15" t="s">
        <v>16</v>
      </c>
      <c r="E13" s="15" t="s">
        <v>28</v>
      </c>
      <c r="F13" s="14" t="s">
        <v>29</v>
      </c>
      <c r="G13" s="14" t="s">
        <v>30</v>
      </c>
      <c r="H13" s="16" t="s">
        <v>26</v>
      </c>
      <c r="I13" s="17">
        <v>3546</v>
      </c>
      <c r="J13" s="3" t="s">
        <v>31</v>
      </c>
      <c r="K13" s="3" t="s">
        <v>106</v>
      </c>
    </row>
    <row r="14" spans="1:14" ht="12.6" customHeight="1" thickBot="1" x14ac:dyDescent="0.25">
      <c r="F14" s="2"/>
      <c r="G14" s="2"/>
      <c r="H14" s="19"/>
      <c r="I14" s="18">
        <f>SUM(I12:I13)</f>
        <v>5319</v>
      </c>
      <c r="K14" s="12"/>
      <c r="N14" s="20"/>
    </row>
    <row r="15" spans="1:14" ht="10.8" thickTop="1" x14ac:dyDescent="0.2">
      <c r="F15" s="2"/>
      <c r="G15" s="2"/>
      <c r="H15" s="19"/>
      <c r="N15" s="20"/>
    </row>
    <row r="16" spans="1:14" x14ac:dyDescent="0.2">
      <c r="A16" s="11" t="s">
        <v>32</v>
      </c>
      <c r="F16" s="2"/>
      <c r="G16" s="2"/>
      <c r="H16" s="19"/>
      <c r="I16" s="3"/>
    </row>
    <row r="17" spans="1:15" x14ac:dyDescent="0.2">
      <c r="A17" s="14">
        <v>20106919233</v>
      </c>
      <c r="B17" s="14" t="s">
        <v>14</v>
      </c>
      <c r="C17" s="15" t="s">
        <v>15</v>
      </c>
      <c r="D17" s="15" t="s">
        <v>16</v>
      </c>
      <c r="E17" s="15" t="s">
        <v>33</v>
      </c>
      <c r="F17" s="14" t="s">
        <v>34</v>
      </c>
      <c r="G17" s="14" t="s">
        <v>35</v>
      </c>
      <c r="H17" s="16" t="s">
        <v>36</v>
      </c>
      <c r="I17" s="17">
        <v>4077.9</v>
      </c>
      <c r="J17" s="3" t="s">
        <v>37</v>
      </c>
      <c r="K17" s="3" t="s">
        <v>106</v>
      </c>
    </row>
    <row r="18" spans="1:15" ht="10.8" thickBot="1" x14ac:dyDescent="0.25">
      <c r="F18" s="2"/>
      <c r="G18" s="2"/>
      <c r="H18" s="19"/>
      <c r="I18" s="18">
        <f>SUM(I17:I17)</f>
        <v>4077.9</v>
      </c>
    </row>
    <row r="19" spans="1:15" ht="10.8" thickTop="1" x14ac:dyDescent="0.2">
      <c r="F19" s="2"/>
      <c r="G19" s="2"/>
      <c r="H19" s="19"/>
      <c r="I19" s="13"/>
      <c r="K19" s="21"/>
      <c r="L19" s="21"/>
    </row>
    <row r="20" spans="1:15" hidden="1" x14ac:dyDescent="0.2">
      <c r="A20" s="11" t="s">
        <v>38</v>
      </c>
      <c r="F20" s="2"/>
      <c r="G20" s="2"/>
      <c r="H20" s="19"/>
      <c r="I20" s="13"/>
    </row>
    <row r="21" spans="1:15" hidden="1" x14ac:dyDescent="0.2">
      <c r="A21" s="14"/>
      <c r="B21" s="14"/>
      <c r="C21" s="15"/>
      <c r="D21" s="15"/>
      <c r="E21" s="15"/>
      <c r="F21" s="14"/>
      <c r="G21" s="14"/>
      <c r="H21" s="16"/>
    </row>
    <row r="22" spans="1:15" ht="10.8" hidden="1" thickBot="1" x14ac:dyDescent="0.25">
      <c r="E22" s="2"/>
      <c r="F22" s="2"/>
      <c r="G22" s="2"/>
      <c r="H22" s="19"/>
      <c r="I22" s="18">
        <f>SUM(I21:I21)</f>
        <v>0</v>
      </c>
      <c r="N22" s="17"/>
    </row>
    <row r="23" spans="1:15" hidden="1" x14ac:dyDescent="0.2">
      <c r="E23" s="2"/>
      <c r="F23" s="2"/>
      <c r="G23" s="1"/>
      <c r="H23" s="25"/>
      <c r="I23" s="26"/>
    </row>
    <row r="24" spans="1:15" x14ac:dyDescent="0.2">
      <c r="A24" s="11" t="s">
        <v>40</v>
      </c>
      <c r="E24" s="2"/>
      <c r="F24" s="2"/>
      <c r="G24" s="2"/>
      <c r="H24" s="19"/>
    </row>
    <row r="25" spans="1:15" x14ac:dyDescent="0.2">
      <c r="A25" s="14">
        <v>20609416450</v>
      </c>
      <c r="B25" s="2" t="s">
        <v>42</v>
      </c>
      <c r="C25" s="15" t="s">
        <v>15</v>
      </c>
      <c r="D25" s="15" t="s">
        <v>16</v>
      </c>
      <c r="E25" s="15" t="s">
        <v>97</v>
      </c>
      <c r="F25" s="28">
        <v>45821</v>
      </c>
      <c r="G25" s="28">
        <v>45941</v>
      </c>
      <c r="H25" s="24" t="s">
        <v>41</v>
      </c>
      <c r="I25" s="17">
        <v>9493</v>
      </c>
      <c r="J25" s="3" t="s">
        <v>43</v>
      </c>
      <c r="K25" s="3" t="s">
        <v>109</v>
      </c>
    </row>
    <row r="26" spans="1:15" ht="10.8" thickBot="1" x14ac:dyDescent="0.25">
      <c r="F26" s="2"/>
      <c r="G26" s="2"/>
      <c r="H26" s="19"/>
      <c r="I26" s="18">
        <f>SUM(I25:I25)</f>
        <v>9493</v>
      </c>
    </row>
    <row r="27" spans="1:15" ht="10.8" thickTop="1" x14ac:dyDescent="0.2">
      <c r="F27" s="2"/>
      <c r="G27" s="2"/>
      <c r="H27" s="19"/>
    </row>
    <row r="28" spans="1:15" hidden="1" x14ac:dyDescent="0.2">
      <c r="A28" s="11" t="s">
        <v>44</v>
      </c>
      <c r="E28" s="2"/>
      <c r="F28" s="2"/>
      <c r="G28" s="2"/>
      <c r="H28" s="19"/>
    </row>
    <row r="29" spans="1:15" ht="10.8" hidden="1" thickBot="1" x14ac:dyDescent="0.25">
      <c r="F29" s="2"/>
      <c r="G29" s="2"/>
      <c r="H29" s="19"/>
      <c r="I29" s="18"/>
    </row>
    <row r="30" spans="1:15" x14ac:dyDescent="0.2">
      <c r="F30" s="2"/>
      <c r="G30" s="2"/>
      <c r="H30" s="19"/>
    </row>
    <row r="31" spans="1:15" x14ac:dyDescent="0.2">
      <c r="A31" s="11" t="s">
        <v>98</v>
      </c>
      <c r="E31" s="2"/>
      <c r="F31" s="2"/>
      <c r="G31" s="2"/>
      <c r="H31" s="19"/>
    </row>
    <row r="32" spans="1:15" x14ac:dyDescent="0.2">
      <c r="A32" s="14">
        <v>10724616572</v>
      </c>
      <c r="B32" s="14" t="s">
        <v>39</v>
      </c>
      <c r="C32" s="14">
        <v>1</v>
      </c>
      <c r="D32" s="14" t="s">
        <v>16</v>
      </c>
      <c r="E32" s="14">
        <v>743</v>
      </c>
      <c r="F32" s="28">
        <v>45910</v>
      </c>
      <c r="G32" s="28">
        <v>46000</v>
      </c>
      <c r="H32" s="24" t="s">
        <v>99</v>
      </c>
      <c r="I32" s="17">
        <f>1290.03-284.98</f>
        <v>1005.05</v>
      </c>
      <c r="J32" s="3" t="s">
        <v>100</v>
      </c>
      <c r="K32" s="3" t="s">
        <v>107</v>
      </c>
      <c r="O32" s="31"/>
    </row>
    <row r="33" spans="1:11" ht="10.8" thickBot="1" x14ac:dyDescent="0.25">
      <c r="F33" s="2"/>
      <c r="G33" s="2"/>
      <c r="H33" s="19"/>
      <c r="I33" s="18">
        <f>SUM(I32:I32)</f>
        <v>1005.05</v>
      </c>
    </row>
    <row r="34" spans="1:11" ht="10.8" thickTop="1" x14ac:dyDescent="0.2">
      <c r="F34" s="2"/>
      <c r="G34" s="2"/>
      <c r="H34" s="2"/>
      <c r="I34" s="2"/>
    </row>
    <row r="35" spans="1:11" hidden="1" x14ac:dyDescent="0.2">
      <c r="A35" s="11" t="s">
        <v>101</v>
      </c>
      <c r="E35" s="2"/>
      <c r="F35" s="2"/>
      <c r="G35" s="2"/>
      <c r="H35" s="2"/>
      <c r="I35" s="2"/>
    </row>
    <row r="36" spans="1:11" hidden="1" x14ac:dyDescent="0.2">
      <c r="A36" s="14"/>
      <c r="B36" s="14"/>
      <c r="C36" s="14"/>
      <c r="D36" s="14"/>
      <c r="E36" s="14"/>
      <c r="F36" s="28"/>
      <c r="G36" s="28"/>
      <c r="H36" s="24"/>
    </row>
    <row r="37" spans="1:11" ht="10.8" hidden="1" thickBot="1" x14ac:dyDescent="0.25">
      <c r="F37" s="2"/>
      <c r="G37" s="2"/>
      <c r="H37" s="19"/>
      <c r="I37" s="18">
        <f>SUM(I36:I36)</f>
        <v>0</v>
      </c>
    </row>
    <row r="38" spans="1:11" ht="10.8" hidden="1" thickTop="1" x14ac:dyDescent="0.2">
      <c r="F38" s="19"/>
      <c r="G38" s="19"/>
      <c r="H38" s="19"/>
    </row>
    <row r="39" spans="1:11" x14ac:dyDescent="0.2">
      <c r="A39" s="11" t="s">
        <v>103</v>
      </c>
      <c r="E39" s="2"/>
      <c r="F39" s="2"/>
      <c r="G39" s="2"/>
      <c r="H39" s="19"/>
    </row>
    <row r="40" spans="1:11" x14ac:dyDescent="0.2">
      <c r="A40" s="14">
        <v>10724616572</v>
      </c>
      <c r="B40" s="2" t="s">
        <v>39</v>
      </c>
      <c r="C40" s="15">
        <v>1</v>
      </c>
      <c r="D40" s="15" t="s">
        <v>16</v>
      </c>
      <c r="E40" s="14">
        <v>841</v>
      </c>
      <c r="F40" s="29">
        <v>45965</v>
      </c>
      <c r="G40" s="29">
        <v>46055</v>
      </c>
      <c r="H40" s="24" t="s">
        <v>104</v>
      </c>
      <c r="I40" s="17">
        <v>1344</v>
      </c>
      <c r="J40" s="3" t="s">
        <v>113</v>
      </c>
      <c r="K40" s="3" t="s">
        <v>107</v>
      </c>
    </row>
    <row r="41" spans="1:11" x14ac:dyDescent="0.2">
      <c r="A41" s="14">
        <v>20603835299</v>
      </c>
      <c r="B41" s="15" t="s">
        <v>112</v>
      </c>
      <c r="C41" s="15">
        <v>1</v>
      </c>
      <c r="D41" s="15" t="s">
        <v>16</v>
      </c>
      <c r="E41" s="14">
        <v>817</v>
      </c>
      <c r="F41" s="28">
        <v>45953</v>
      </c>
      <c r="G41" s="28">
        <v>46073</v>
      </c>
      <c r="H41" s="24" t="s">
        <v>104</v>
      </c>
      <c r="I41" s="17">
        <v>15.25</v>
      </c>
      <c r="J41" s="3" t="s">
        <v>110</v>
      </c>
      <c r="K41" s="3" t="s">
        <v>108</v>
      </c>
    </row>
    <row r="42" spans="1:11" ht="10.8" thickBot="1" x14ac:dyDescent="0.25">
      <c r="F42" s="2"/>
      <c r="G42" s="2"/>
      <c r="H42" s="19"/>
      <c r="I42" s="18">
        <f>SUM(I40:I41)</f>
        <v>1359.25</v>
      </c>
    </row>
    <row r="43" spans="1:11" ht="10.8" hidden="1" thickTop="1" x14ac:dyDescent="0.2">
      <c r="F43" s="19"/>
      <c r="G43" s="19"/>
      <c r="H43" s="19"/>
    </row>
    <row r="44" spans="1:11" hidden="1" x14ac:dyDescent="0.2">
      <c r="A44" s="11" t="s">
        <v>111</v>
      </c>
      <c r="E44" s="2"/>
      <c r="F44" s="2"/>
      <c r="G44" s="2"/>
      <c r="H44" s="19"/>
    </row>
    <row r="45" spans="1:11" ht="10.8" hidden="1" thickBot="1" x14ac:dyDescent="0.25">
      <c r="F45" s="2"/>
      <c r="G45" s="2"/>
      <c r="H45" s="19"/>
      <c r="I45" s="18"/>
    </row>
    <row r="46" spans="1:11" ht="10.8" thickTop="1" x14ac:dyDescent="0.2">
      <c r="F46" s="19"/>
      <c r="G46" s="19"/>
      <c r="H46" s="19"/>
    </row>
    <row r="47" spans="1:11" x14ac:dyDescent="0.2">
      <c r="A47" s="11" t="s">
        <v>116</v>
      </c>
      <c r="E47" s="2"/>
      <c r="F47" s="2"/>
      <c r="G47" s="2"/>
      <c r="H47" s="19"/>
    </row>
    <row r="48" spans="1:11" x14ac:dyDescent="0.2">
      <c r="A48" s="14">
        <v>20603835299</v>
      </c>
      <c r="B48" s="15" t="s">
        <v>112</v>
      </c>
      <c r="C48" s="15">
        <v>1</v>
      </c>
      <c r="D48" s="15" t="s">
        <v>16</v>
      </c>
      <c r="E48" s="14">
        <v>887</v>
      </c>
      <c r="F48" s="28" t="s">
        <v>117</v>
      </c>
      <c r="G48" s="28">
        <v>46127</v>
      </c>
      <c r="H48" s="24" t="s">
        <v>119</v>
      </c>
      <c r="I48" s="17">
        <v>3780</v>
      </c>
      <c r="J48" s="3" t="s">
        <v>102</v>
      </c>
    </row>
    <row r="49" spans="1:11" x14ac:dyDescent="0.2">
      <c r="A49" s="14">
        <v>20411051782</v>
      </c>
      <c r="B49" s="15" t="s">
        <v>114</v>
      </c>
      <c r="C49" s="15">
        <v>1</v>
      </c>
      <c r="D49" s="15" t="s">
        <v>16</v>
      </c>
      <c r="E49" s="14">
        <v>983</v>
      </c>
      <c r="F49" s="28" t="s">
        <v>159</v>
      </c>
      <c r="G49" s="28" t="s">
        <v>160</v>
      </c>
      <c r="H49" s="24" t="s">
        <v>119</v>
      </c>
      <c r="I49" s="17">
        <v>3150</v>
      </c>
      <c r="J49" s="3" t="s">
        <v>161</v>
      </c>
      <c r="K49" s="3" t="s">
        <v>107</v>
      </c>
    </row>
    <row r="50" spans="1:11" x14ac:dyDescent="0.2">
      <c r="A50" s="14">
        <v>20603835299</v>
      </c>
      <c r="B50" s="15" t="s">
        <v>112</v>
      </c>
      <c r="C50" s="15">
        <v>1</v>
      </c>
      <c r="D50" s="15" t="s">
        <v>16</v>
      </c>
      <c r="E50" s="14">
        <v>891</v>
      </c>
      <c r="F50" s="28" t="s">
        <v>118</v>
      </c>
      <c r="G50" s="28">
        <v>46133</v>
      </c>
      <c r="H50" s="24" t="s">
        <v>119</v>
      </c>
      <c r="I50" s="17">
        <v>2200</v>
      </c>
      <c r="J50" s="3" t="s">
        <v>102</v>
      </c>
    </row>
    <row r="51" spans="1:11" x14ac:dyDescent="0.2">
      <c r="A51" s="14"/>
      <c r="B51" s="15"/>
      <c r="C51" s="15"/>
      <c r="D51" s="15"/>
      <c r="E51" s="14"/>
      <c r="F51" s="28"/>
      <c r="G51" s="28"/>
      <c r="H51" s="24"/>
    </row>
    <row r="52" spans="1:11" ht="10.8" thickBot="1" x14ac:dyDescent="0.25">
      <c r="F52" s="2"/>
      <c r="G52" s="2"/>
      <c r="H52" s="19"/>
      <c r="I52" s="18">
        <f>SUM(I48:I51)</f>
        <v>9130</v>
      </c>
    </row>
    <row r="53" spans="1:11" ht="10.8" thickTop="1" x14ac:dyDescent="0.2">
      <c r="F53" s="2"/>
      <c r="G53" s="2"/>
      <c r="H53" s="19"/>
      <c r="I53" s="2"/>
    </row>
    <row r="54" spans="1:11" x14ac:dyDescent="0.2">
      <c r="A54" s="11" t="s">
        <v>123</v>
      </c>
      <c r="E54" s="2"/>
      <c r="F54" s="2"/>
      <c r="G54" s="2"/>
      <c r="H54" s="19"/>
      <c r="I54" s="2"/>
    </row>
    <row r="55" spans="1:11" x14ac:dyDescent="0.2">
      <c r="A55" s="14">
        <v>20452634873</v>
      </c>
      <c r="B55" s="2" t="s">
        <v>122</v>
      </c>
      <c r="C55" s="15">
        <v>1</v>
      </c>
      <c r="D55" s="3" t="s">
        <v>16</v>
      </c>
      <c r="E55" s="2">
        <v>982</v>
      </c>
      <c r="F55" s="2" t="s">
        <v>164</v>
      </c>
      <c r="G55" s="2" t="s">
        <v>165</v>
      </c>
      <c r="H55" s="24" t="s">
        <v>127</v>
      </c>
      <c r="I55" s="17">
        <v>280</v>
      </c>
      <c r="J55" s="3" t="s">
        <v>162</v>
      </c>
      <c r="K55" s="3" t="s">
        <v>131</v>
      </c>
    </row>
    <row r="56" spans="1:11" x14ac:dyDescent="0.2">
      <c r="A56" s="14">
        <v>20601438586</v>
      </c>
      <c r="B56" s="2" t="s">
        <v>154</v>
      </c>
      <c r="C56" s="15">
        <v>1</v>
      </c>
      <c r="D56" s="3" t="s">
        <v>16</v>
      </c>
      <c r="E56" s="2">
        <v>984</v>
      </c>
      <c r="F56" s="2" t="s">
        <v>159</v>
      </c>
      <c r="G56" s="2" t="s">
        <v>166</v>
      </c>
      <c r="H56" s="24" t="s">
        <v>127</v>
      </c>
      <c r="I56" s="17">
        <v>400</v>
      </c>
      <c r="J56" s="3" t="s">
        <v>163</v>
      </c>
      <c r="K56" s="3" t="s">
        <v>155</v>
      </c>
    </row>
    <row r="57" spans="1:11" x14ac:dyDescent="0.2">
      <c r="A57" s="14">
        <v>20606000937</v>
      </c>
      <c r="B57" s="2" t="s">
        <v>194</v>
      </c>
      <c r="C57" s="15">
        <v>1</v>
      </c>
      <c r="D57" s="3" t="s">
        <v>16</v>
      </c>
      <c r="E57" s="2">
        <v>1013</v>
      </c>
      <c r="F57" s="2" t="s">
        <v>121</v>
      </c>
      <c r="G57" s="2" t="s">
        <v>195</v>
      </c>
      <c r="H57" s="24" t="s">
        <v>127</v>
      </c>
      <c r="I57" s="17">
        <v>200</v>
      </c>
      <c r="J57" s="3" t="s">
        <v>196</v>
      </c>
      <c r="K57" s="3" t="s">
        <v>155</v>
      </c>
    </row>
    <row r="58" spans="1:11" x14ac:dyDescent="0.2">
      <c r="A58" s="14">
        <v>20452634873</v>
      </c>
      <c r="B58" s="2" t="s">
        <v>122</v>
      </c>
      <c r="C58" s="15">
        <v>1</v>
      </c>
      <c r="D58" s="3" t="s">
        <v>16</v>
      </c>
      <c r="E58" s="2">
        <v>989</v>
      </c>
      <c r="F58" s="29">
        <v>46107</v>
      </c>
      <c r="G58" s="2" t="s">
        <v>172</v>
      </c>
      <c r="H58" s="24" t="s">
        <v>127</v>
      </c>
      <c r="I58" s="17">
        <v>250</v>
      </c>
      <c r="J58" s="3" t="s">
        <v>173</v>
      </c>
      <c r="K58" s="3" t="s">
        <v>131</v>
      </c>
    </row>
    <row r="59" spans="1:11" x14ac:dyDescent="0.2">
      <c r="A59" s="14">
        <v>20614560011</v>
      </c>
      <c r="B59" s="2" t="s">
        <v>115</v>
      </c>
      <c r="C59" s="15">
        <v>1</v>
      </c>
      <c r="D59" s="3" t="s">
        <v>16</v>
      </c>
      <c r="E59" s="2">
        <v>958</v>
      </c>
      <c r="F59" s="2" t="s">
        <v>139</v>
      </c>
      <c r="G59" s="29">
        <v>46169</v>
      </c>
      <c r="H59" s="24" t="s">
        <v>127</v>
      </c>
      <c r="I59" s="17">
        <v>665</v>
      </c>
      <c r="J59" s="3" t="s">
        <v>144</v>
      </c>
      <c r="K59" s="3" t="s">
        <v>107</v>
      </c>
    </row>
    <row r="60" spans="1:11" x14ac:dyDescent="0.2">
      <c r="A60" s="14">
        <v>20563196387</v>
      </c>
      <c r="B60" s="2" t="s">
        <v>140</v>
      </c>
      <c r="C60" s="15">
        <v>1</v>
      </c>
      <c r="D60" s="3" t="s">
        <v>16</v>
      </c>
      <c r="E60" s="2">
        <v>960</v>
      </c>
      <c r="F60" s="2" t="s">
        <v>139</v>
      </c>
      <c r="G60" s="29">
        <v>46169</v>
      </c>
      <c r="H60" s="24" t="s">
        <v>127</v>
      </c>
      <c r="I60" s="17">
        <v>5850.44</v>
      </c>
      <c r="J60" s="3" t="s">
        <v>145</v>
      </c>
      <c r="K60" s="3" t="s">
        <v>109</v>
      </c>
    </row>
    <row r="61" spans="1:11" x14ac:dyDescent="0.2">
      <c r="A61" s="14">
        <v>20601438586</v>
      </c>
      <c r="B61" s="2" t="s">
        <v>154</v>
      </c>
      <c r="C61" s="15">
        <v>1</v>
      </c>
      <c r="D61" s="3" t="s">
        <v>16</v>
      </c>
      <c r="E61" s="2">
        <v>998</v>
      </c>
      <c r="F61" s="29">
        <v>46112</v>
      </c>
      <c r="G61" s="2" t="s">
        <v>179</v>
      </c>
      <c r="H61" s="24" t="s">
        <v>127</v>
      </c>
      <c r="I61" s="17">
        <v>400</v>
      </c>
      <c r="J61" s="3" t="s">
        <v>163</v>
      </c>
      <c r="K61" s="3" t="s">
        <v>155</v>
      </c>
    </row>
    <row r="62" spans="1:11" x14ac:dyDescent="0.2">
      <c r="A62" s="14">
        <v>20608328409</v>
      </c>
      <c r="B62" s="2" t="s">
        <v>141</v>
      </c>
      <c r="C62" s="15">
        <v>1</v>
      </c>
      <c r="D62" s="3" t="s">
        <v>16</v>
      </c>
      <c r="E62" s="2">
        <v>965</v>
      </c>
      <c r="F62" s="2" t="s">
        <v>142</v>
      </c>
      <c r="G62" s="2" t="s">
        <v>143</v>
      </c>
      <c r="H62" s="24" t="s">
        <v>127</v>
      </c>
      <c r="I62" s="17">
        <v>6112.4</v>
      </c>
      <c r="J62" s="3" t="s">
        <v>146</v>
      </c>
      <c r="K62" s="3" t="s">
        <v>131</v>
      </c>
    </row>
    <row r="63" spans="1:11" ht="10.8" thickBot="1" x14ac:dyDescent="0.25">
      <c r="F63" s="2"/>
      <c r="G63" s="2"/>
      <c r="H63" s="19"/>
      <c r="I63" s="18">
        <f>SUM(I55:I62)</f>
        <v>14157.84</v>
      </c>
    </row>
    <row r="64" spans="1:11" ht="10.8" thickTop="1" x14ac:dyDescent="0.2">
      <c r="F64" s="2"/>
      <c r="G64" s="2"/>
      <c r="H64" s="19"/>
      <c r="I64" s="30"/>
    </row>
    <row r="65" spans="1:11" x14ac:dyDescent="0.2">
      <c r="A65" s="11" t="s">
        <v>124</v>
      </c>
      <c r="E65" s="2"/>
      <c r="F65" s="2"/>
      <c r="G65" s="2"/>
      <c r="H65" s="19"/>
    </row>
    <row r="66" spans="1:11" x14ac:dyDescent="0.2">
      <c r="A66" s="14">
        <v>20600697511</v>
      </c>
      <c r="B66" s="2" t="s">
        <v>128</v>
      </c>
      <c r="C66" s="15">
        <v>1</v>
      </c>
      <c r="D66" s="3" t="s">
        <v>16</v>
      </c>
      <c r="E66" s="2">
        <v>969</v>
      </c>
      <c r="F66" s="14" t="s">
        <v>150</v>
      </c>
      <c r="G66" s="14" t="s">
        <v>151</v>
      </c>
      <c r="H66" s="24" t="s">
        <v>129</v>
      </c>
      <c r="I66" s="17">
        <v>2761.2</v>
      </c>
      <c r="J66" s="3" t="s">
        <v>152</v>
      </c>
      <c r="K66" s="3" t="s">
        <v>131</v>
      </c>
    </row>
    <row r="67" spans="1:11" x14ac:dyDescent="0.2">
      <c r="A67" s="14">
        <v>20608328409</v>
      </c>
      <c r="B67" s="2" t="s">
        <v>141</v>
      </c>
      <c r="C67" s="15">
        <v>1</v>
      </c>
      <c r="D67" s="3" t="s">
        <v>16</v>
      </c>
      <c r="E67" s="2">
        <v>970</v>
      </c>
      <c r="F67" s="14" t="s">
        <v>150</v>
      </c>
      <c r="G67" s="14" t="s">
        <v>151</v>
      </c>
      <c r="H67" s="24" t="s">
        <v>129</v>
      </c>
      <c r="I67" s="17">
        <v>10522.06</v>
      </c>
      <c r="J67" s="3" t="s">
        <v>153</v>
      </c>
      <c r="K67" s="3" t="s">
        <v>131</v>
      </c>
    </row>
    <row r="68" spans="1:11" x14ac:dyDescent="0.2">
      <c r="A68" s="14">
        <v>20530296637</v>
      </c>
      <c r="B68" s="2" t="s">
        <v>211</v>
      </c>
      <c r="C68" s="15">
        <v>1</v>
      </c>
      <c r="D68" s="3" t="s">
        <v>16</v>
      </c>
      <c r="E68" s="2">
        <v>1038</v>
      </c>
      <c r="F68" s="14" t="s">
        <v>212</v>
      </c>
      <c r="G68" s="14" t="s">
        <v>213</v>
      </c>
      <c r="H68" s="24" t="s">
        <v>129</v>
      </c>
      <c r="I68" s="17">
        <v>600</v>
      </c>
      <c r="J68" s="3" t="s">
        <v>214</v>
      </c>
      <c r="K68" s="3" t="s">
        <v>155</v>
      </c>
    </row>
    <row r="69" spans="1:11" x14ac:dyDescent="0.2">
      <c r="A69" s="14">
        <v>20600697511</v>
      </c>
      <c r="B69" s="2" t="s">
        <v>128</v>
      </c>
      <c r="C69" s="15">
        <v>1</v>
      </c>
      <c r="D69" s="3" t="s">
        <v>16</v>
      </c>
      <c r="E69" s="2">
        <v>930</v>
      </c>
      <c r="F69" s="2" t="s">
        <v>125</v>
      </c>
      <c r="G69" s="2" t="s">
        <v>126</v>
      </c>
      <c r="H69" s="24" t="s">
        <v>129</v>
      </c>
      <c r="I69" s="17">
        <v>1404</v>
      </c>
      <c r="J69" s="3" t="s">
        <v>130</v>
      </c>
      <c r="K69" s="3" t="s">
        <v>131</v>
      </c>
    </row>
    <row r="70" spans="1:11" x14ac:dyDescent="0.2">
      <c r="A70" s="14">
        <v>20452634873</v>
      </c>
      <c r="B70" s="2" t="s">
        <v>122</v>
      </c>
      <c r="C70" s="15">
        <v>1</v>
      </c>
      <c r="D70" s="3" t="s">
        <v>16</v>
      </c>
      <c r="E70" s="2">
        <v>1006</v>
      </c>
      <c r="F70" s="2" t="s">
        <v>184</v>
      </c>
      <c r="G70" s="2" t="s">
        <v>185</v>
      </c>
      <c r="H70" s="24" t="s">
        <v>129</v>
      </c>
      <c r="I70" s="17">
        <v>300</v>
      </c>
      <c r="J70" s="32" t="s">
        <v>186</v>
      </c>
      <c r="K70" s="3" t="s">
        <v>131</v>
      </c>
    </row>
    <row r="71" spans="1:11" x14ac:dyDescent="0.2">
      <c r="A71" s="14">
        <v>20608162926</v>
      </c>
      <c r="B71" s="2" t="s">
        <v>133</v>
      </c>
      <c r="C71" s="15">
        <v>1</v>
      </c>
      <c r="D71" s="3" t="s">
        <v>16</v>
      </c>
      <c r="E71" s="2">
        <v>941</v>
      </c>
      <c r="F71" s="2" t="s">
        <v>134</v>
      </c>
      <c r="G71" s="2" t="s">
        <v>135</v>
      </c>
      <c r="H71" s="24" t="s">
        <v>129</v>
      </c>
      <c r="I71" s="17">
        <v>304</v>
      </c>
      <c r="J71" s="3" t="s">
        <v>136</v>
      </c>
      <c r="K71" s="3" t="s">
        <v>107</v>
      </c>
    </row>
    <row r="72" spans="1:11" x14ac:dyDescent="0.2">
      <c r="A72" s="14">
        <v>20600697511</v>
      </c>
      <c r="B72" s="2" t="s">
        <v>132</v>
      </c>
      <c r="C72" s="15">
        <v>1</v>
      </c>
      <c r="D72" s="3" t="s">
        <v>16</v>
      </c>
      <c r="E72" s="2">
        <v>1010</v>
      </c>
      <c r="F72" s="2" t="s">
        <v>191</v>
      </c>
      <c r="G72" s="2" t="s">
        <v>192</v>
      </c>
      <c r="H72" s="24" t="s">
        <v>129</v>
      </c>
      <c r="I72" s="17">
        <v>300</v>
      </c>
      <c r="J72" s="3" t="s">
        <v>193</v>
      </c>
      <c r="K72" s="3" t="s">
        <v>131</v>
      </c>
    </row>
    <row r="73" spans="1:11" x14ac:dyDescent="0.2">
      <c r="A73" s="14">
        <v>20452634873</v>
      </c>
      <c r="B73" s="2" t="s">
        <v>122</v>
      </c>
      <c r="C73" s="15">
        <v>1</v>
      </c>
      <c r="D73" s="3" t="s">
        <v>16</v>
      </c>
      <c r="E73" s="2">
        <v>1011</v>
      </c>
      <c r="F73" s="2" t="s">
        <v>191</v>
      </c>
      <c r="G73" s="2" t="s">
        <v>192</v>
      </c>
      <c r="H73" s="24" t="s">
        <v>129</v>
      </c>
      <c r="I73" s="17">
        <v>300</v>
      </c>
      <c r="J73" s="3" t="s">
        <v>193</v>
      </c>
      <c r="K73" s="3" t="s">
        <v>131</v>
      </c>
    </row>
    <row r="74" spans="1:11" x14ac:dyDescent="0.2">
      <c r="A74" s="14">
        <v>10724616572</v>
      </c>
      <c r="B74" s="2" t="s">
        <v>39</v>
      </c>
      <c r="C74" s="15">
        <v>1</v>
      </c>
      <c r="D74" s="3" t="s">
        <v>16</v>
      </c>
      <c r="E74" s="2">
        <v>981</v>
      </c>
      <c r="F74" s="2" t="s">
        <v>156</v>
      </c>
      <c r="G74" s="2" t="s">
        <v>157</v>
      </c>
      <c r="H74" s="24" t="s">
        <v>129</v>
      </c>
      <c r="I74" s="17">
        <v>522</v>
      </c>
      <c r="J74" s="3" t="s">
        <v>158</v>
      </c>
      <c r="K74" s="3" t="s">
        <v>107</v>
      </c>
    </row>
    <row r="75" spans="1:11" x14ac:dyDescent="0.2">
      <c r="A75" s="14">
        <v>20452634873</v>
      </c>
      <c r="B75" s="2" t="s">
        <v>122</v>
      </c>
      <c r="C75" s="15">
        <v>1</v>
      </c>
      <c r="D75" s="3" t="s">
        <v>16</v>
      </c>
      <c r="E75" s="2">
        <v>1015</v>
      </c>
      <c r="F75" s="2" t="s">
        <v>121</v>
      </c>
      <c r="G75" s="2" t="s">
        <v>197</v>
      </c>
      <c r="H75" s="24" t="s">
        <v>129</v>
      </c>
      <c r="I75" s="17">
        <v>300</v>
      </c>
      <c r="J75" s="3" t="s">
        <v>193</v>
      </c>
      <c r="K75" s="3" t="s">
        <v>131</v>
      </c>
    </row>
    <row r="76" spans="1:11" x14ac:dyDescent="0.2">
      <c r="A76" s="14">
        <v>20608162926</v>
      </c>
      <c r="B76" s="2" t="s">
        <v>133</v>
      </c>
      <c r="C76" s="15">
        <v>1</v>
      </c>
      <c r="D76" s="3" t="s">
        <v>16</v>
      </c>
      <c r="E76" s="2">
        <v>952</v>
      </c>
      <c r="F76" s="2" t="s">
        <v>137</v>
      </c>
      <c r="G76" s="2" t="s">
        <v>138</v>
      </c>
      <c r="H76" s="24" t="s">
        <v>129</v>
      </c>
      <c r="I76" s="17">
        <v>222</v>
      </c>
      <c r="J76" s="3" t="s">
        <v>136</v>
      </c>
      <c r="K76" s="3" t="s">
        <v>107</v>
      </c>
    </row>
    <row r="77" spans="1:11" x14ac:dyDescent="0.2">
      <c r="A77" s="14">
        <v>20176770474</v>
      </c>
      <c r="B77" s="2" t="s">
        <v>174</v>
      </c>
      <c r="C77" s="15">
        <v>1</v>
      </c>
      <c r="D77" s="3" t="s">
        <v>16</v>
      </c>
      <c r="E77" s="2">
        <v>992</v>
      </c>
      <c r="F77" s="29">
        <v>46111</v>
      </c>
      <c r="G77" s="2" t="s">
        <v>175</v>
      </c>
      <c r="H77" s="24" t="s">
        <v>129</v>
      </c>
      <c r="I77" s="17">
        <v>2000</v>
      </c>
      <c r="J77" s="3" t="s">
        <v>177</v>
      </c>
      <c r="K77" s="3" t="s">
        <v>131</v>
      </c>
    </row>
    <row r="78" spans="1:11" x14ac:dyDescent="0.2">
      <c r="A78" s="14">
        <v>20614560011</v>
      </c>
      <c r="B78" s="2" t="s">
        <v>115</v>
      </c>
      <c r="C78" s="15">
        <v>1</v>
      </c>
      <c r="D78" s="3" t="s">
        <v>16</v>
      </c>
      <c r="E78" s="2">
        <v>993</v>
      </c>
      <c r="F78" s="29">
        <v>46112</v>
      </c>
      <c r="G78" s="2" t="s">
        <v>176</v>
      </c>
      <c r="H78" s="24" t="s">
        <v>129</v>
      </c>
      <c r="I78" s="17">
        <v>11248</v>
      </c>
      <c r="J78" s="3" t="s">
        <v>178</v>
      </c>
      <c r="K78" s="3" t="s">
        <v>107</v>
      </c>
    </row>
    <row r="79" spans="1:11" x14ac:dyDescent="0.2">
      <c r="A79" s="14">
        <v>20600697511</v>
      </c>
      <c r="B79" s="2" t="s">
        <v>128</v>
      </c>
      <c r="C79" s="15">
        <v>1</v>
      </c>
      <c r="D79" s="3" t="s">
        <v>16</v>
      </c>
      <c r="E79" s="2">
        <v>967</v>
      </c>
      <c r="F79" s="2" t="s">
        <v>147</v>
      </c>
      <c r="G79" s="2" t="s">
        <v>148</v>
      </c>
      <c r="H79" s="24" t="s">
        <v>129</v>
      </c>
      <c r="I79" s="17">
        <v>936</v>
      </c>
      <c r="J79" s="3" t="s">
        <v>149</v>
      </c>
      <c r="K79" s="3" t="s">
        <v>131</v>
      </c>
    </row>
    <row r="80" spans="1:11" ht="10.8" thickBot="1" x14ac:dyDescent="0.25">
      <c r="F80" s="2"/>
      <c r="G80" s="2"/>
      <c r="H80" s="19"/>
      <c r="I80" s="18">
        <f>SUM(I66:I79)</f>
        <v>31719.26</v>
      </c>
    </row>
    <row r="81" spans="1:11" ht="10.8" thickTop="1" x14ac:dyDescent="0.2">
      <c r="A81" s="11" t="s">
        <v>167</v>
      </c>
      <c r="E81" s="2"/>
      <c r="F81" s="2"/>
      <c r="G81" s="2"/>
      <c r="H81" s="19"/>
    </row>
    <row r="82" spans="1:11" x14ac:dyDescent="0.2">
      <c r="A82" s="11">
        <v>20610390341</v>
      </c>
      <c r="B82" s="2" t="s">
        <v>215</v>
      </c>
      <c r="C82" s="15">
        <v>1</v>
      </c>
      <c r="D82" s="3" t="s">
        <v>16</v>
      </c>
      <c r="E82" s="2">
        <v>1039</v>
      </c>
      <c r="F82" s="2" t="s">
        <v>212</v>
      </c>
      <c r="G82" s="2" t="s">
        <v>216</v>
      </c>
      <c r="H82" s="24" t="s">
        <v>170</v>
      </c>
      <c r="I82" s="17">
        <v>7725</v>
      </c>
      <c r="J82" s="3" t="s">
        <v>217</v>
      </c>
      <c r="K82" s="3" t="s">
        <v>131</v>
      </c>
    </row>
    <row r="83" spans="1:11" x14ac:dyDescent="0.2">
      <c r="A83" s="2">
        <v>20608162926</v>
      </c>
      <c r="B83" s="2" t="s">
        <v>133</v>
      </c>
      <c r="C83" s="15">
        <v>1</v>
      </c>
      <c r="D83" s="3" t="s">
        <v>16</v>
      </c>
      <c r="E83" s="2">
        <v>986</v>
      </c>
      <c r="F83" s="14" t="s">
        <v>168</v>
      </c>
      <c r="G83" s="14" t="s">
        <v>169</v>
      </c>
      <c r="H83" s="24" t="s">
        <v>170</v>
      </c>
      <c r="I83" s="17">
        <v>280</v>
      </c>
      <c r="J83" s="3" t="s">
        <v>171</v>
      </c>
      <c r="K83" s="3" t="s">
        <v>107</v>
      </c>
    </row>
    <row r="84" spans="1:11" x14ac:dyDescent="0.2">
      <c r="A84" s="2">
        <v>20176770474</v>
      </c>
      <c r="B84" s="2" t="s">
        <v>120</v>
      </c>
      <c r="C84" s="15">
        <v>1</v>
      </c>
      <c r="D84" s="3" t="s">
        <v>16</v>
      </c>
      <c r="E84" s="2">
        <v>1025</v>
      </c>
      <c r="F84" s="14" t="s">
        <v>198</v>
      </c>
      <c r="G84" s="14" t="s">
        <v>169</v>
      </c>
      <c r="H84" s="24" t="s">
        <v>170</v>
      </c>
      <c r="I84" s="17">
        <v>2000</v>
      </c>
      <c r="J84" s="3" t="s">
        <v>199</v>
      </c>
      <c r="K84" s="3" t="s">
        <v>131</v>
      </c>
    </row>
    <row r="85" spans="1:11" ht="10.8" thickBot="1" x14ac:dyDescent="0.25">
      <c r="F85" s="2"/>
      <c r="G85" s="2"/>
      <c r="H85" s="19"/>
      <c r="I85" s="18">
        <f>SUM(I82:I84)</f>
        <v>10005</v>
      </c>
    </row>
    <row r="86" spans="1:11" ht="10.8" thickTop="1" x14ac:dyDescent="0.2">
      <c r="F86" s="19"/>
      <c r="G86" s="19"/>
      <c r="H86" s="19"/>
    </row>
    <row r="87" spans="1:11" x14ac:dyDescent="0.2">
      <c r="A87" s="11" t="s">
        <v>180</v>
      </c>
      <c r="E87" s="2"/>
      <c r="F87" s="2"/>
      <c r="G87" s="2"/>
      <c r="H87" s="19"/>
    </row>
    <row r="88" spans="1:11" x14ac:dyDescent="0.2">
      <c r="A88" s="14">
        <v>20614560011</v>
      </c>
      <c r="B88" s="2" t="s">
        <v>218</v>
      </c>
      <c r="C88" s="15">
        <v>1</v>
      </c>
      <c r="D88" s="3" t="s">
        <v>16</v>
      </c>
      <c r="E88" s="2">
        <v>1041</v>
      </c>
      <c r="F88" s="2" t="s">
        <v>212</v>
      </c>
      <c r="G88" s="2" t="s">
        <v>219</v>
      </c>
      <c r="H88" s="24" t="s">
        <v>189</v>
      </c>
      <c r="I88" s="17">
        <v>5376</v>
      </c>
      <c r="J88" s="3" t="s">
        <v>220</v>
      </c>
      <c r="K88" s="3" t="s">
        <v>107</v>
      </c>
    </row>
    <row r="89" spans="1:11" x14ac:dyDescent="0.2">
      <c r="A89" s="14">
        <v>20600697511</v>
      </c>
      <c r="B89" s="2" t="s">
        <v>132</v>
      </c>
      <c r="C89" s="15">
        <v>1</v>
      </c>
      <c r="D89" s="3" t="s">
        <v>16</v>
      </c>
      <c r="E89" s="2">
        <v>1003</v>
      </c>
      <c r="F89" s="14" t="s">
        <v>181</v>
      </c>
      <c r="G89" s="14" t="s">
        <v>182</v>
      </c>
      <c r="H89" s="24" t="s">
        <v>189</v>
      </c>
      <c r="I89" s="17">
        <v>936</v>
      </c>
      <c r="J89" s="3" t="s">
        <v>183</v>
      </c>
      <c r="K89" s="3" t="s">
        <v>131</v>
      </c>
    </row>
    <row r="90" spans="1:11" x14ac:dyDescent="0.2">
      <c r="A90" s="14">
        <v>20600697511</v>
      </c>
      <c r="B90" s="2" t="s">
        <v>132</v>
      </c>
      <c r="C90" s="15">
        <v>1</v>
      </c>
      <c r="D90" s="3" t="s">
        <v>16</v>
      </c>
      <c r="E90" s="2">
        <v>1004</v>
      </c>
      <c r="F90" s="14" t="s">
        <v>181</v>
      </c>
      <c r="G90" s="14" t="s">
        <v>182</v>
      </c>
      <c r="H90" s="24" t="s">
        <v>189</v>
      </c>
      <c r="I90" s="17">
        <v>936</v>
      </c>
      <c r="J90" s="3" t="s">
        <v>183</v>
      </c>
      <c r="K90" s="3" t="s">
        <v>131</v>
      </c>
    </row>
    <row r="91" spans="1:11" x14ac:dyDescent="0.2">
      <c r="A91" s="14">
        <v>20600697511</v>
      </c>
      <c r="B91" s="2" t="s">
        <v>132</v>
      </c>
      <c r="C91" s="15">
        <v>1</v>
      </c>
      <c r="D91" s="3" t="s">
        <v>16</v>
      </c>
      <c r="E91" s="2">
        <v>1009</v>
      </c>
      <c r="F91" s="14" t="s">
        <v>188</v>
      </c>
      <c r="G91" s="14" t="s">
        <v>187</v>
      </c>
      <c r="H91" s="24" t="s">
        <v>189</v>
      </c>
      <c r="I91" s="17">
        <v>2800</v>
      </c>
      <c r="J91" s="3" t="s">
        <v>190</v>
      </c>
      <c r="K91" s="3" t="s">
        <v>131</v>
      </c>
    </row>
    <row r="92" spans="1:11" x14ac:dyDescent="0.2">
      <c r="A92" s="14">
        <v>20600697511</v>
      </c>
      <c r="B92" s="2" t="s">
        <v>132</v>
      </c>
      <c r="C92" s="15">
        <v>1</v>
      </c>
      <c r="D92" s="3" t="s">
        <v>16</v>
      </c>
      <c r="E92" s="2">
        <v>1026</v>
      </c>
      <c r="F92" s="14" t="s">
        <v>198</v>
      </c>
      <c r="G92" s="14" t="s">
        <v>200</v>
      </c>
      <c r="H92" s="24" t="s">
        <v>189</v>
      </c>
      <c r="I92" s="17">
        <v>936</v>
      </c>
      <c r="J92" s="3" t="s">
        <v>201</v>
      </c>
      <c r="K92" s="3" t="s">
        <v>131</v>
      </c>
    </row>
    <row r="93" spans="1:11" x14ac:dyDescent="0.2">
      <c r="A93" s="14">
        <v>20600697511</v>
      </c>
      <c r="B93" s="2" t="s">
        <v>132</v>
      </c>
      <c r="C93" s="15">
        <v>1</v>
      </c>
      <c r="D93" s="3" t="s">
        <v>16</v>
      </c>
      <c r="E93" s="2">
        <v>1027</v>
      </c>
      <c r="F93" s="14" t="s">
        <v>198</v>
      </c>
      <c r="G93" s="14" t="s">
        <v>200</v>
      </c>
      <c r="H93" s="24" t="s">
        <v>189</v>
      </c>
      <c r="I93" s="17">
        <v>3736</v>
      </c>
      <c r="J93" s="3" t="s">
        <v>202</v>
      </c>
      <c r="K93" s="3" t="s">
        <v>131</v>
      </c>
    </row>
    <row r="94" spans="1:11" x14ac:dyDescent="0.2">
      <c r="A94" s="14">
        <v>20600697511</v>
      </c>
      <c r="B94" s="2" t="s">
        <v>132</v>
      </c>
      <c r="C94" s="15">
        <v>1</v>
      </c>
      <c r="D94" s="3" t="s">
        <v>16</v>
      </c>
      <c r="E94" s="2">
        <v>1028</v>
      </c>
      <c r="F94" s="14" t="s">
        <v>198</v>
      </c>
      <c r="G94" s="14" t="s">
        <v>200</v>
      </c>
      <c r="H94" s="24" t="s">
        <v>189</v>
      </c>
      <c r="I94" s="17">
        <v>1380.6</v>
      </c>
      <c r="J94" s="3" t="s">
        <v>203</v>
      </c>
      <c r="K94" s="3" t="s">
        <v>131</v>
      </c>
    </row>
    <row r="95" spans="1:11" ht="10.8" thickBot="1" x14ac:dyDescent="0.25">
      <c r="F95" s="2"/>
      <c r="G95" s="2"/>
      <c r="H95" s="19"/>
      <c r="I95" s="18">
        <f>SUM(I88:I94)</f>
        <v>16100.6</v>
      </c>
    </row>
    <row r="96" spans="1:11" ht="10.8" thickTop="1" x14ac:dyDescent="0.2">
      <c r="A96" s="11" t="s">
        <v>204</v>
      </c>
      <c r="E96" s="2"/>
      <c r="F96" s="2"/>
      <c r="G96" s="2"/>
      <c r="H96" s="19"/>
    </row>
    <row r="97" spans="1:11" x14ac:dyDescent="0.2">
      <c r="A97" s="14">
        <v>20600720679</v>
      </c>
      <c r="B97" s="2" t="s">
        <v>205</v>
      </c>
      <c r="C97" s="15">
        <v>1</v>
      </c>
      <c r="D97" s="3" t="s">
        <v>16</v>
      </c>
      <c r="E97" s="2">
        <v>1035</v>
      </c>
      <c r="F97" s="14" t="s">
        <v>206</v>
      </c>
      <c r="G97" s="14" t="s">
        <v>207</v>
      </c>
      <c r="H97" s="24" t="s">
        <v>208</v>
      </c>
      <c r="I97" s="17">
        <v>2600</v>
      </c>
      <c r="J97" s="3" t="s">
        <v>209</v>
      </c>
      <c r="K97" s="3" t="s">
        <v>210</v>
      </c>
    </row>
    <row r="98" spans="1:11" x14ac:dyDescent="0.2">
      <c r="A98" s="14">
        <v>20600697511</v>
      </c>
      <c r="B98" s="2" t="s">
        <v>223</v>
      </c>
      <c r="C98" s="15">
        <v>1</v>
      </c>
      <c r="D98" s="3" t="s">
        <v>16</v>
      </c>
      <c r="E98" s="2">
        <v>1043</v>
      </c>
      <c r="F98" s="14" t="s">
        <v>221</v>
      </c>
      <c r="G98" s="14" t="s">
        <v>222</v>
      </c>
      <c r="H98" s="24" t="s">
        <v>208</v>
      </c>
      <c r="I98" s="17">
        <v>1170</v>
      </c>
      <c r="J98" s="3" t="s">
        <v>203</v>
      </c>
      <c r="K98" s="3" t="s">
        <v>131</v>
      </c>
    </row>
    <row r="99" spans="1:11" ht="10.8" thickBot="1" x14ac:dyDescent="0.25">
      <c r="F99" s="2"/>
      <c r="G99" s="2"/>
      <c r="H99" s="19"/>
      <c r="I99" s="18">
        <f>SUM(I97:I98)</f>
        <v>3770</v>
      </c>
    </row>
    <row r="100" spans="1:11" ht="10.8" thickTop="1" x14ac:dyDescent="0.2">
      <c r="F100" s="19"/>
      <c r="G100" s="19"/>
      <c r="H100" s="19"/>
    </row>
    <row r="101" spans="1:11" x14ac:dyDescent="0.2">
      <c r="F101" s="19"/>
      <c r="G101" s="19"/>
      <c r="H101" s="19"/>
    </row>
    <row r="102" spans="1:11" ht="10.8" thickBot="1" x14ac:dyDescent="0.25">
      <c r="F102" s="19"/>
      <c r="G102" s="33" t="s">
        <v>45</v>
      </c>
      <c r="H102" s="33"/>
      <c r="I102" s="22">
        <f>SUM(I8:I99)/2</f>
        <v>107614.40000000001</v>
      </c>
    </row>
    <row r="103" spans="1:11" ht="10.8" thickTop="1" x14ac:dyDescent="0.2">
      <c r="F103" s="19"/>
      <c r="G103" s="19"/>
      <c r="H103" s="19"/>
    </row>
    <row r="104" spans="1:11" x14ac:dyDescent="0.2">
      <c r="F104" s="19"/>
      <c r="G104" s="19"/>
      <c r="H104" s="19"/>
    </row>
    <row r="105" spans="1:11" x14ac:dyDescent="0.2">
      <c r="F105" s="19"/>
      <c r="G105" s="19"/>
      <c r="H105" s="19"/>
    </row>
    <row r="106" spans="1:11" x14ac:dyDescent="0.2">
      <c r="F106" s="19"/>
      <c r="G106" s="19"/>
      <c r="H106" s="19"/>
    </row>
    <row r="108" spans="1:11" hidden="1" x14ac:dyDescent="0.2">
      <c r="A108" s="11" t="s">
        <v>46</v>
      </c>
      <c r="F108" s="19"/>
      <c r="G108" s="19"/>
    </row>
    <row r="109" spans="1:11" hidden="1" x14ac:dyDescent="0.2">
      <c r="A109" s="14" t="s">
        <v>47</v>
      </c>
      <c r="B109" s="14" t="s">
        <v>48</v>
      </c>
      <c r="C109" s="15" t="s">
        <v>15</v>
      </c>
      <c r="D109" s="15" t="s">
        <v>16</v>
      </c>
      <c r="E109" s="15" t="s">
        <v>49</v>
      </c>
      <c r="F109" s="16" t="s">
        <v>50</v>
      </c>
      <c r="G109" s="16"/>
      <c r="H109" s="15" t="s">
        <v>51</v>
      </c>
      <c r="I109" s="27">
        <v>11760</v>
      </c>
      <c r="J109" s="3" t="s">
        <v>52</v>
      </c>
      <c r="K109" s="3" t="s">
        <v>53</v>
      </c>
    </row>
    <row r="110" spans="1:11" hidden="1" x14ac:dyDescent="0.2">
      <c r="A110" s="14" t="s">
        <v>54</v>
      </c>
      <c r="B110" s="14" t="s">
        <v>55</v>
      </c>
      <c r="C110" s="15" t="s">
        <v>15</v>
      </c>
      <c r="D110" s="15" t="s">
        <v>16</v>
      </c>
      <c r="E110" s="15" t="s">
        <v>56</v>
      </c>
      <c r="F110" s="16" t="s">
        <v>57</v>
      </c>
      <c r="G110" s="16"/>
      <c r="H110" s="15" t="s">
        <v>59</v>
      </c>
      <c r="I110" s="27">
        <v>14657</v>
      </c>
      <c r="J110" s="3" t="s">
        <v>60</v>
      </c>
      <c r="K110" s="3" t="s">
        <v>53</v>
      </c>
    </row>
    <row r="111" spans="1:11" hidden="1" x14ac:dyDescent="0.2">
      <c r="A111" s="14" t="s">
        <v>54</v>
      </c>
      <c r="B111" s="14" t="s">
        <v>55</v>
      </c>
      <c r="C111" s="15" t="s">
        <v>15</v>
      </c>
      <c r="D111" s="15" t="s">
        <v>16</v>
      </c>
      <c r="E111" s="15" t="s">
        <v>61</v>
      </c>
      <c r="F111" s="16" t="s">
        <v>62</v>
      </c>
      <c r="G111" s="16"/>
      <c r="H111" s="15" t="s">
        <v>63</v>
      </c>
      <c r="I111" s="27">
        <v>27451.5</v>
      </c>
      <c r="J111" s="3" t="s">
        <v>64</v>
      </c>
      <c r="K111" s="3" t="s">
        <v>53</v>
      </c>
    </row>
    <row r="112" spans="1:11" hidden="1" x14ac:dyDescent="0.2">
      <c r="A112" s="14" t="s">
        <v>54</v>
      </c>
      <c r="B112" s="14" t="s">
        <v>55</v>
      </c>
      <c r="C112" s="15" t="s">
        <v>15</v>
      </c>
      <c r="D112" s="15" t="s">
        <v>16</v>
      </c>
      <c r="E112" s="15" t="s">
        <v>65</v>
      </c>
      <c r="F112" s="16" t="s">
        <v>66</v>
      </c>
      <c r="G112" s="16"/>
      <c r="H112" s="15" t="s">
        <v>63</v>
      </c>
      <c r="I112" s="27">
        <v>19714.5</v>
      </c>
      <c r="J112" s="3" t="s">
        <v>67</v>
      </c>
      <c r="K112" s="3" t="s">
        <v>53</v>
      </c>
    </row>
    <row r="113" spans="1:11" hidden="1" x14ac:dyDescent="0.2">
      <c r="A113" s="14" t="s">
        <v>54</v>
      </c>
      <c r="B113" s="14" t="s">
        <v>55</v>
      </c>
      <c r="C113" s="15" t="s">
        <v>15</v>
      </c>
      <c r="D113" s="15" t="s">
        <v>16</v>
      </c>
      <c r="E113" s="15" t="s">
        <v>68</v>
      </c>
      <c r="F113" s="16" t="s">
        <v>69</v>
      </c>
      <c r="G113" s="16"/>
      <c r="H113" s="15" t="s">
        <v>63</v>
      </c>
      <c r="I113" s="27">
        <v>23224</v>
      </c>
      <c r="J113" s="3" t="s">
        <v>70</v>
      </c>
      <c r="K113" s="3" t="s">
        <v>53</v>
      </c>
    </row>
    <row r="114" spans="1:11" hidden="1" x14ac:dyDescent="0.2">
      <c r="A114" s="14" t="s">
        <v>54</v>
      </c>
      <c r="B114" s="14" t="s">
        <v>55</v>
      </c>
      <c r="C114" s="15" t="s">
        <v>15</v>
      </c>
      <c r="D114" s="15" t="s">
        <v>16</v>
      </c>
      <c r="E114" s="15">
        <v>505</v>
      </c>
      <c r="F114" s="16" t="s">
        <v>58</v>
      </c>
      <c r="G114" s="23"/>
      <c r="H114" s="15" t="s">
        <v>71</v>
      </c>
      <c r="I114" s="27">
        <v>14424</v>
      </c>
      <c r="J114" s="3" t="s">
        <v>72</v>
      </c>
      <c r="K114" s="3" t="s">
        <v>53</v>
      </c>
    </row>
    <row r="115" spans="1:11" hidden="1" x14ac:dyDescent="0.2">
      <c r="A115" s="14" t="s">
        <v>54</v>
      </c>
      <c r="B115" s="14" t="s">
        <v>55</v>
      </c>
      <c r="C115" s="15" t="s">
        <v>15</v>
      </c>
      <c r="D115" s="15" t="s">
        <v>16</v>
      </c>
      <c r="E115" s="15">
        <v>508</v>
      </c>
      <c r="F115" s="16" t="s">
        <v>73</v>
      </c>
      <c r="G115" s="23"/>
      <c r="H115" s="15" t="s">
        <v>71</v>
      </c>
      <c r="I115" s="27">
        <v>4200</v>
      </c>
      <c r="J115" s="3" t="s">
        <v>74</v>
      </c>
      <c r="K115" s="3" t="s">
        <v>53</v>
      </c>
    </row>
    <row r="116" spans="1:11" ht="9" hidden="1" customHeight="1" x14ac:dyDescent="0.2">
      <c r="A116" s="14">
        <v>20535747424</v>
      </c>
      <c r="B116" s="14" t="s">
        <v>55</v>
      </c>
      <c r="C116" s="15" t="s">
        <v>15</v>
      </c>
      <c r="D116" s="15" t="s">
        <v>16</v>
      </c>
      <c r="E116" s="15">
        <v>536</v>
      </c>
      <c r="F116" s="23">
        <v>45558</v>
      </c>
      <c r="G116" s="23"/>
      <c r="H116" s="15" t="s">
        <v>71</v>
      </c>
      <c r="I116" s="27">
        <v>35370</v>
      </c>
      <c r="J116" s="3" t="s">
        <v>75</v>
      </c>
      <c r="K116" s="3" t="s">
        <v>53</v>
      </c>
    </row>
    <row r="117" spans="1:11" hidden="1" x14ac:dyDescent="0.2">
      <c r="A117" s="14" t="s">
        <v>54</v>
      </c>
      <c r="B117" s="14" t="s">
        <v>55</v>
      </c>
      <c r="C117" s="14" t="s">
        <v>15</v>
      </c>
      <c r="D117" s="15" t="s">
        <v>16</v>
      </c>
      <c r="E117" s="15" t="s">
        <v>76</v>
      </c>
      <c r="F117" s="16" t="s">
        <v>77</v>
      </c>
      <c r="G117" s="16"/>
      <c r="H117" s="15" t="s">
        <v>78</v>
      </c>
      <c r="I117" s="27">
        <v>11700</v>
      </c>
      <c r="J117" s="3" t="s">
        <v>79</v>
      </c>
      <c r="K117" s="3" t="s">
        <v>53</v>
      </c>
    </row>
    <row r="118" spans="1:11" hidden="1" x14ac:dyDescent="0.2">
      <c r="A118" s="14" t="s">
        <v>54</v>
      </c>
      <c r="B118" s="14" t="s">
        <v>55</v>
      </c>
      <c r="C118" s="15" t="s">
        <v>15</v>
      </c>
      <c r="D118" s="15" t="s">
        <v>16</v>
      </c>
      <c r="E118" s="15" t="s">
        <v>80</v>
      </c>
      <c r="F118" s="16" t="s">
        <v>77</v>
      </c>
      <c r="G118" s="16"/>
      <c r="H118" s="15" t="s">
        <v>78</v>
      </c>
      <c r="I118" s="27">
        <v>6048</v>
      </c>
      <c r="J118" s="3" t="s">
        <v>81</v>
      </c>
      <c r="K118" s="3" t="s">
        <v>53</v>
      </c>
    </row>
    <row r="119" spans="1:11" hidden="1" x14ac:dyDescent="0.2">
      <c r="A119" s="14" t="s">
        <v>54</v>
      </c>
      <c r="B119" s="14" t="s">
        <v>55</v>
      </c>
      <c r="C119" s="15" t="s">
        <v>15</v>
      </c>
      <c r="D119" s="15" t="s">
        <v>16</v>
      </c>
      <c r="E119" s="15" t="s">
        <v>82</v>
      </c>
      <c r="F119" s="16" t="s">
        <v>83</v>
      </c>
      <c r="G119" s="16"/>
      <c r="H119" s="15" t="s">
        <v>78</v>
      </c>
      <c r="I119" s="27">
        <v>4335</v>
      </c>
      <c r="J119" s="3" t="s">
        <v>84</v>
      </c>
      <c r="K119" s="3" t="s">
        <v>53</v>
      </c>
    </row>
    <row r="120" spans="1:11" hidden="1" x14ac:dyDescent="0.2">
      <c r="A120" s="14" t="s">
        <v>54</v>
      </c>
      <c r="B120" s="14" t="s">
        <v>55</v>
      </c>
      <c r="C120" s="15" t="s">
        <v>15</v>
      </c>
      <c r="D120" s="15" t="s">
        <v>16</v>
      </c>
      <c r="E120" s="15" t="s">
        <v>85</v>
      </c>
      <c r="F120" s="16" t="s">
        <v>83</v>
      </c>
      <c r="G120" s="16"/>
      <c r="H120" s="15" t="s">
        <v>78</v>
      </c>
      <c r="I120" s="27">
        <v>604.5</v>
      </c>
      <c r="J120" s="3" t="s">
        <v>86</v>
      </c>
      <c r="K120" s="3" t="s">
        <v>53</v>
      </c>
    </row>
    <row r="121" spans="1:11" hidden="1" x14ac:dyDescent="0.2">
      <c r="A121" s="14" t="s">
        <v>54</v>
      </c>
      <c r="B121" s="14" t="s">
        <v>55</v>
      </c>
      <c r="C121" s="15" t="s">
        <v>15</v>
      </c>
      <c r="D121" s="15" t="s">
        <v>16</v>
      </c>
      <c r="E121" s="15" t="s">
        <v>87</v>
      </c>
      <c r="F121" s="16" t="s">
        <v>88</v>
      </c>
      <c r="G121" s="16"/>
      <c r="H121" s="15" t="s">
        <v>78</v>
      </c>
      <c r="I121" s="27">
        <v>4074</v>
      </c>
      <c r="J121" s="3" t="s">
        <v>89</v>
      </c>
      <c r="K121" s="3" t="s">
        <v>53</v>
      </c>
    </row>
    <row r="122" spans="1:11" hidden="1" x14ac:dyDescent="0.2">
      <c r="A122" s="14" t="s">
        <v>54</v>
      </c>
      <c r="B122" s="14" t="s">
        <v>55</v>
      </c>
      <c r="C122" s="15" t="s">
        <v>15</v>
      </c>
      <c r="D122" s="15" t="s">
        <v>16</v>
      </c>
      <c r="E122" s="15" t="s">
        <v>90</v>
      </c>
      <c r="F122" s="16" t="s">
        <v>88</v>
      </c>
      <c r="G122" s="16"/>
      <c r="H122" s="15" t="s">
        <v>78</v>
      </c>
      <c r="I122" s="27">
        <v>8400</v>
      </c>
      <c r="J122" s="3" t="s">
        <v>91</v>
      </c>
      <c r="K122" s="3" t="s">
        <v>53</v>
      </c>
    </row>
    <row r="123" spans="1:11" hidden="1" x14ac:dyDescent="0.2">
      <c r="A123" s="14" t="s">
        <v>54</v>
      </c>
      <c r="B123" s="14" t="s">
        <v>55</v>
      </c>
      <c r="C123" s="15" t="s">
        <v>15</v>
      </c>
      <c r="D123" s="15" t="s">
        <v>16</v>
      </c>
      <c r="E123" s="15" t="s">
        <v>92</v>
      </c>
      <c r="F123" s="16" t="s">
        <v>93</v>
      </c>
      <c r="G123" s="16"/>
      <c r="H123" s="15" t="s">
        <v>78</v>
      </c>
      <c r="I123" s="27">
        <v>2044</v>
      </c>
      <c r="J123" s="3" t="s">
        <v>94</v>
      </c>
      <c r="K123" s="3" t="s">
        <v>53</v>
      </c>
    </row>
    <row r="124" spans="1:11" hidden="1" x14ac:dyDescent="0.2">
      <c r="A124" s="14" t="s">
        <v>54</v>
      </c>
      <c r="B124" s="14" t="s">
        <v>55</v>
      </c>
      <c r="C124" s="14" t="s">
        <v>15</v>
      </c>
      <c r="D124" s="15" t="s">
        <v>16</v>
      </c>
      <c r="E124" s="15" t="s">
        <v>95</v>
      </c>
      <c r="F124" s="16" t="s">
        <v>88</v>
      </c>
      <c r="G124" s="16"/>
      <c r="H124" s="15" t="s">
        <v>78</v>
      </c>
      <c r="I124" s="27">
        <v>8834</v>
      </c>
      <c r="J124" s="3" t="s">
        <v>96</v>
      </c>
      <c r="K124" s="3" t="s">
        <v>53</v>
      </c>
    </row>
    <row r="125" spans="1:11" hidden="1" x14ac:dyDescent="0.2">
      <c r="I125" s="17">
        <f>SUM(I109:I124)</f>
        <v>196840.5</v>
      </c>
    </row>
  </sheetData>
  <autoFilter ref="A5:O103" xr:uid="{51AF0B86-010F-4155-8C6C-4D55480571F4}"/>
  <mergeCells count="1">
    <mergeCell ref="G102:H102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1738-A5A9-4F7F-992A-9A0ABCDF52AB}">
  <dimension ref="A1"/>
  <sheetViews>
    <sheetView workbookViewId="0">
      <selection activeCell="B2" sqref="B2:G9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1155-5308-433B-BB07-7D4DF75348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AGROVECA</vt:lpstr>
      <vt:lpstr>Hoja2</vt:lpstr>
      <vt:lpstr>Hoja1</vt:lpstr>
      <vt:lpstr>AGROVECA!Títulos_a_imprimir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2025-07-22T17:03:38Z</dcterms:created>
  <dcterms:modified xsi:type="dcterms:W3CDTF">2026-05-18T15:10:35Z</dcterms:modified>
</cp:coreProperties>
</file>