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grov\OneDrive\Escritorio\"/>
    </mc:Choice>
  </mc:AlternateContent>
  <xr:revisionPtr revIDLastSave="0" documentId="13_ncr:1_{9B6C4469-47F5-4853-BD9C-31F7798B103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sumen" sheetId="6" r:id="rId1"/>
    <sheet name="Detalle Mora" sheetId="1" r:id="rId2"/>
  </sheets>
  <definedNames>
    <definedName name="_xlnm._FilterDatabase" localSheetId="1" hidden="1">'Detalle Mora'!$A$2:$M$21</definedName>
  </definedNames>
  <calcPr calcId="191029"/>
  <pivotCaches>
    <pivotCache cacheId="28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" i="1" l="1"/>
  <c r="F23" i="1" s="1"/>
  <c r="K23" i="1" s="1"/>
  <c r="J23" i="1" l="1"/>
  <c r="F24" i="1"/>
  <c r="F22" i="1"/>
  <c r="F21" i="1"/>
  <c r="F20" i="1"/>
  <c r="F19" i="1"/>
  <c r="F18" i="1"/>
  <c r="F16" i="1"/>
  <c r="F17" i="1"/>
  <c r="F15" i="1"/>
  <c r="F14" i="1"/>
  <c r="F13" i="1"/>
  <c r="F12" i="1"/>
  <c r="F11" i="1"/>
  <c r="F10" i="1"/>
  <c r="F9" i="1"/>
  <c r="F8" i="1"/>
  <c r="F7" i="1"/>
  <c r="F6" i="1"/>
  <c r="F5" i="1"/>
  <c r="F4" i="1"/>
  <c r="J4" i="1" s="1"/>
  <c r="F3" i="1"/>
  <c r="K3" i="1" s="1"/>
  <c r="J22" i="1" l="1"/>
  <c r="K22" i="1"/>
  <c r="J24" i="1"/>
  <c r="K24" i="1"/>
  <c r="J21" i="1"/>
  <c r="K21" i="1"/>
  <c r="J18" i="1"/>
  <c r="K18" i="1"/>
  <c r="J15" i="1"/>
  <c r="K15" i="1"/>
  <c r="J16" i="1"/>
  <c r="K16" i="1"/>
  <c r="J20" i="1"/>
  <c r="K20" i="1"/>
  <c r="J19" i="1"/>
  <c r="K19" i="1"/>
  <c r="J17" i="1"/>
  <c r="K17" i="1"/>
  <c r="K9" i="1"/>
  <c r="J9" i="1"/>
  <c r="K14" i="1"/>
  <c r="J14" i="1"/>
  <c r="K7" i="1"/>
  <c r="J7" i="1"/>
  <c r="K12" i="1"/>
  <c r="J12" i="1"/>
  <c r="K10" i="1"/>
  <c r="J10" i="1"/>
  <c r="K11" i="1"/>
  <c r="J11" i="1"/>
  <c r="K8" i="1"/>
  <c r="J8" i="1"/>
  <c r="K13" i="1"/>
  <c r="J13" i="1"/>
  <c r="J3" i="1"/>
  <c r="K6" i="1"/>
  <c r="J6" i="1"/>
  <c r="K4" i="1"/>
  <c r="K5" i="1"/>
  <c r="J5" i="1"/>
</calcChain>
</file>

<file path=xl/sharedStrings.xml><?xml version="1.0" encoding="utf-8"?>
<sst xmlns="http://schemas.openxmlformats.org/spreadsheetml/2006/main" count="204" uniqueCount="87">
  <si>
    <t>Rut</t>
  </si>
  <si>
    <t>Razón Social</t>
  </si>
  <si>
    <t>Vendedor</t>
  </si>
  <si>
    <t>Documento</t>
  </si>
  <si>
    <t>Número</t>
  </si>
  <si>
    <t>Total Doc</t>
  </si>
  <si>
    <t>11.673.695-0</t>
  </si>
  <si>
    <t>MAGALY DEL CARMEN ORELLANA PINO</t>
  </si>
  <si>
    <t>JORGE CAROCA</t>
  </si>
  <si>
    <t>Factura Electrónica</t>
  </si>
  <si>
    <t>Crédito</t>
  </si>
  <si>
    <t>10/03/2026</t>
  </si>
  <si>
    <t>PABLO LARATRO</t>
  </si>
  <si>
    <t>13/01/2026</t>
  </si>
  <si>
    <t>77.582.414-K</t>
  </si>
  <si>
    <t>Condición</t>
  </si>
  <si>
    <t>FEBRERO</t>
  </si>
  <si>
    <t>MARZO</t>
  </si>
  <si>
    <t>ABRIL</t>
  </si>
  <si>
    <t>ENERO</t>
  </si>
  <si>
    <t>Vencimiento</t>
  </si>
  <si>
    <t>Emisión</t>
  </si>
  <si>
    <t>Días Mora</t>
  </si>
  <si>
    <t>Mes</t>
  </si>
  <si>
    <t>Total general</t>
  </si>
  <si>
    <t>Suma de Total Doc</t>
  </si>
  <si>
    <t>Tramo</t>
  </si>
  <si>
    <t>Estado</t>
  </si>
  <si>
    <t>77.598.960-2</t>
  </si>
  <si>
    <t>AGROCOMERCIAL Y GANADERA LOMA LARGA LIMITADA</t>
  </si>
  <si>
    <t>96.661.820-5</t>
  </si>
  <si>
    <t>VALENTINA MUÑOZ</t>
  </si>
  <si>
    <t>07/01/2026</t>
  </si>
  <si>
    <t>Etiquetas de columna</t>
  </si>
  <si>
    <t>Etiquetas de fila</t>
  </si>
  <si>
    <t>79.673.320-9</t>
  </si>
  <si>
    <t>SOC AGRICOLA PALO ALTO LIMITADA</t>
  </si>
  <si>
    <t>30/04/2026</t>
  </si>
  <si>
    <t>29/01/2026</t>
  </si>
  <si>
    <t>7.036.820-K</t>
  </si>
  <si>
    <t>CARLOS GUILLERMO SOUPER URRA</t>
  </si>
  <si>
    <t>29/05/2026</t>
  </si>
  <si>
    <t>30/05/2026</t>
  </si>
  <si>
    <t>MAYO</t>
  </si>
  <si>
    <t>76.209.230-1</t>
  </si>
  <si>
    <t>AGRICOLA JOSE MARIA Y OTRO LIMITADA</t>
  </si>
  <si>
    <t>76.552.164-5</t>
  </si>
  <si>
    <t>ANGELA MARIA DIAZ SCHMIDT AGRICOLA E.I.R.L.</t>
  </si>
  <si>
    <t>77.067.290-2</t>
  </si>
  <si>
    <t>AGROCOMERCIAL POLANCO SPA</t>
  </si>
  <si>
    <t>77.185.037-5</t>
  </si>
  <si>
    <t>SOCIEDAD AGRICOLA ESPERANZA SPA</t>
  </si>
  <si>
    <t>77.536.995-7</t>
  </si>
  <si>
    <t>RAMADA DE CAMPOS SPA</t>
  </si>
  <si>
    <t>AGROINSUMOS KULLIN SPA</t>
  </si>
  <si>
    <t>78.189.158-4</t>
  </si>
  <si>
    <t>AGRICOLA SAN PEDRO SPA</t>
  </si>
  <si>
    <t>COMERCIAL COPELEC S.A.</t>
  </si>
  <si>
    <t>96.980.680-0</t>
  </si>
  <si>
    <t>AGRICOLA TRES SOLES S A</t>
  </si>
  <si>
    <t>IVÁN VEVERKA</t>
  </si>
  <si>
    <t>FRANCO RIFFO</t>
  </si>
  <si>
    <t>29/08/2025</t>
  </si>
  <si>
    <t>27/08/2025</t>
  </si>
  <si>
    <t>31/05/2026</t>
  </si>
  <si>
    <t>23/05/2025</t>
  </si>
  <si>
    <t>20/10/2025</t>
  </si>
  <si>
    <t>14/10/2025</t>
  </si>
  <si>
    <t>21/11/2025</t>
  </si>
  <si>
    <t>28/11/2025</t>
  </si>
  <si>
    <t>19/04/2026</t>
  </si>
  <si>
    <t>18/08/2025</t>
  </si>
  <si>
    <t>18/05/2026</t>
  </si>
  <si>
    <t>24/10/2025</t>
  </si>
  <si>
    <t>21/02/2026</t>
  </si>
  <si>
    <t>21/09/2025</t>
  </si>
  <si>
    <t>18/01/2026</t>
  </si>
  <si>
    <t>11/11/2025</t>
  </si>
  <si>
    <t>15/10/2025</t>
  </si>
  <si>
    <t>03/10/2025</t>
  </si>
  <si>
    <t>27/10/2025</t>
  </si>
  <si>
    <t>06/02/2026</t>
  </si>
  <si>
    <t>19/08/2025</t>
  </si>
  <si>
    <t>6.725.491-0</t>
  </si>
  <si>
    <t>JOSE CRISTOBAL GONZALEZ CORREA</t>
  </si>
  <si>
    <t>08/09/2025</t>
  </si>
  <si>
    <t>28/06/2026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</si>
</sst>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1" fillId="3" borderId="1" xfId="0" applyNumberFormat="1" applyFont="1" applyFill="1" applyBorder="1" applyAlignment="1">
      <alignment horizontal="center"/>
    </xf>
    <xf numFmtId="1" fontId="0" fillId="0" borderId="0" xfId="0" applyNumberFormat="1"/>
    <xf numFmtId="14" fontId="1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groveca Chile" refreshedDate="46159.93965104167" createdVersion="8" refreshedVersion="8" minRefreshableVersion="3" recordCount="22" xr:uid="{E0E40D54-AA55-458F-B024-3A32828701F4}">
  <cacheSource type="worksheet">
    <worksheetSource ref="A2:M24" sheet="Detalle Mora"/>
  </cacheSource>
  <cacheFields count="13">
    <cacheField name="Rut" numFmtId="0">
      <sharedItems/>
    </cacheField>
    <cacheField name="Razón Social" numFmtId="0">
      <sharedItems/>
    </cacheField>
    <cacheField name="Vendedor" numFmtId="0">
      <sharedItems count="5">
        <s v="JORGE CAROCA"/>
        <s v="PABLO LARATRO"/>
        <s v="FRANCO RIFFO"/>
        <s v="IVÁN VEVERKA"/>
        <s v="VALENTINA MUÑOZ"/>
      </sharedItems>
    </cacheField>
    <cacheField name="Documento" numFmtId="0">
      <sharedItems/>
    </cacheField>
    <cacheField name="Número" numFmtId="0">
      <sharedItems containsSemiMixedTypes="0" containsString="0" containsNumber="1" containsInteger="1" minValue="1183" maxValue="1559"/>
    </cacheField>
    <cacheField name="Días Mora" numFmtId="1">
      <sharedItems containsSemiMixedTypes="0" containsString="0" containsNumber="1" containsInteger="1" minValue="-42" maxValue="124"/>
    </cacheField>
    <cacheField name="Emisión" numFmtId="0">
      <sharedItems/>
    </cacheField>
    <cacheField name="Vencimiento" numFmtId="0">
      <sharedItems/>
    </cacheField>
    <cacheField name="Mes" numFmtId="0">
      <sharedItems count="5">
        <s v="ENERO"/>
        <s v="MAYO"/>
        <s v="FEBRERO"/>
        <s v="MARZO"/>
        <s v="ABRIL"/>
      </sharedItems>
    </cacheField>
    <cacheField name="Tramo" numFmtId="0">
      <sharedItems/>
    </cacheField>
    <cacheField name="Estado" numFmtId="0">
      <sharedItems/>
    </cacheField>
    <cacheField name="Condición" numFmtId="0">
      <sharedItems/>
    </cacheField>
    <cacheField name="Total Doc" numFmtId="3">
      <sharedItems containsSemiMixedTypes="0" containsString="0" containsNumber="1" containsInteger="1" minValue="137978" maxValue="140824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s v="11.673.695-0"/>
    <s v="MAGALY DEL CARMEN ORELLANA PINO"/>
    <x v="0"/>
    <s v="Factura Electrónica"/>
    <n v="1328"/>
    <n v="108"/>
    <s v="29/08/2025"/>
    <s v="29/01/2026"/>
    <x v="0"/>
    <s v="+90"/>
    <s v="Crítico"/>
    <s v="Crédito"/>
    <n v="518087"/>
  </r>
  <r>
    <s v="6.725.491-0"/>
    <s v="JOSE CRISTOBAL GONZALEZ CORREA"/>
    <x v="0"/>
    <s v="Factura Electrónica"/>
    <n v="1348"/>
    <n v="-42"/>
    <s v="08/09/2025"/>
    <s v="28/06/2026"/>
    <x v="1"/>
    <s v="0-30"/>
    <s v="Normal"/>
    <s v="Crédito"/>
    <n v="619681"/>
  </r>
  <r>
    <s v="7.036.820-K"/>
    <s v="CARLOS GUILLERMO SOUPER URRA"/>
    <x v="1"/>
    <s v="Factura Electrónica"/>
    <n v="1322"/>
    <n v="-14"/>
    <s v="27/08/2025"/>
    <s v="31/05/2026"/>
    <x v="1"/>
    <s v="0-30"/>
    <s v="Normal"/>
    <s v="Crédito"/>
    <n v="8071532"/>
  </r>
  <r>
    <s v="76.209.230-1"/>
    <s v="AGRICOLA JOSE MARIA Y OTRO LIMITADA"/>
    <x v="1"/>
    <s v="Factura Electrónica"/>
    <n v="1183"/>
    <n v="-12"/>
    <s v="23/05/2025"/>
    <s v="29/05/2026"/>
    <x v="1"/>
    <s v="0-30"/>
    <s v="Normal"/>
    <s v="Crédito"/>
    <n v="14082460"/>
  </r>
  <r>
    <s v="76.209.230-1"/>
    <s v="AGRICOLA JOSE MARIA Y OTRO LIMITADA"/>
    <x v="1"/>
    <s v="Factura Electrónica"/>
    <n v="1184"/>
    <n v="-12"/>
    <s v="23/05/2025"/>
    <s v="29/05/2026"/>
    <x v="1"/>
    <s v="0-30"/>
    <s v="Normal"/>
    <s v="Crédito"/>
    <n v="1899240"/>
  </r>
  <r>
    <s v="76.552.164-5"/>
    <s v="ANGELA MARIA DIAZ SCHMIDT AGRICOLA E.I.R.L."/>
    <x v="2"/>
    <s v="Factura Electrónica"/>
    <n v="1506"/>
    <n v="-13"/>
    <s v="20/10/2025"/>
    <s v="30/05/2026"/>
    <x v="1"/>
    <s v="0-30"/>
    <s v="Normal"/>
    <s v="Crédito"/>
    <n v="3329703"/>
  </r>
  <r>
    <s v="76.552.164-5"/>
    <s v="ANGELA MARIA DIAZ SCHMIDT AGRICOLA E.I.R.L."/>
    <x v="3"/>
    <s v="Factura Electrónica"/>
    <n v="1545"/>
    <n v="-13"/>
    <s v="21/11/2025"/>
    <s v="30/05/2026"/>
    <x v="1"/>
    <s v="0-30"/>
    <s v="Normal"/>
    <s v="Crédito"/>
    <n v="166600"/>
  </r>
  <r>
    <s v="76.552.164-5"/>
    <s v="ANGELA MARIA DIAZ SCHMIDT AGRICOLA E.I.R.L."/>
    <x v="3"/>
    <s v="Factura Electrónica"/>
    <n v="1549"/>
    <n v="-13"/>
    <s v="28/11/2025"/>
    <s v="30/05/2026"/>
    <x v="1"/>
    <s v="0-30"/>
    <s v="Normal"/>
    <s v="Crédito"/>
    <n v="366520"/>
  </r>
  <r>
    <s v="77.067.290-2"/>
    <s v="AGROCOMERCIAL POLANCO SPA"/>
    <x v="2"/>
    <s v="Factura Electrónica"/>
    <n v="1507"/>
    <n v="28"/>
    <s v="20/10/2025"/>
    <s v="19/04/2026"/>
    <x v="1"/>
    <s v="0-30"/>
    <s v="Normal"/>
    <s v="Crédito"/>
    <n v="9247014"/>
  </r>
  <r>
    <s v="77.185.037-5"/>
    <s v="SOCIEDAD AGRICOLA ESPERANZA SPA"/>
    <x v="1"/>
    <s v="Factura Electrónica"/>
    <n v="1303"/>
    <n v="-1"/>
    <s v="18/08/2025"/>
    <s v="18/05/2026"/>
    <x v="1"/>
    <s v="0-30"/>
    <s v="Normal"/>
    <s v="Crédito"/>
    <n v="166600"/>
  </r>
  <r>
    <s v="77.536.995-7"/>
    <s v="RAMADA DE CAMPOS SPA"/>
    <x v="0"/>
    <s v="Factura Electrónica"/>
    <n v="1522"/>
    <n v="85"/>
    <s v="24/10/2025"/>
    <s v="21/02/2026"/>
    <x v="2"/>
    <s v="61-90"/>
    <s v="Riesgo"/>
    <s v="Crédito"/>
    <n v="1286093"/>
  </r>
  <r>
    <s v="77.582.414-K"/>
    <s v="AGROINSUMOS KULLIN SPA"/>
    <x v="1"/>
    <s v="Factura Electrónica"/>
    <n v="1426"/>
    <n v="119"/>
    <s v="21/09/2025"/>
    <s v="18/01/2026"/>
    <x v="0"/>
    <s v="+90"/>
    <s v="Crítico"/>
    <s v="Crédito"/>
    <n v="538951"/>
  </r>
  <r>
    <s v="77.582.414-K"/>
    <s v="AGROINSUMOS KULLIN SPA"/>
    <x v="1"/>
    <s v="Factura Electrónica"/>
    <n v="1539"/>
    <n v="68"/>
    <s v="11/11/2025"/>
    <s v="10/03/2026"/>
    <x v="3"/>
    <s v="61-90"/>
    <s v="Riesgo"/>
    <s v="Crédito"/>
    <n v="1291650"/>
  </r>
  <r>
    <s v="77.598.960-2"/>
    <s v="AGROCOMERCIAL Y GANADERA LOMA LARGA LIMITADA"/>
    <x v="2"/>
    <s v="Factura Electrónica"/>
    <n v="1499"/>
    <n v="124"/>
    <s v="15/10/2025"/>
    <s v="13/01/2026"/>
    <x v="0"/>
    <s v="+90"/>
    <s v="Crítico"/>
    <s v="Crédito"/>
    <n v="9359350"/>
  </r>
  <r>
    <s v="77.598.960-2"/>
    <s v="AGROCOMERCIAL Y GANADERA LOMA LARGA LIMITADA"/>
    <x v="2"/>
    <s v="Factura Electrónica"/>
    <n v="1500"/>
    <n v="124"/>
    <s v="15/10/2025"/>
    <s v="13/01/2026"/>
    <x v="0"/>
    <s v="+90"/>
    <s v="Crítico"/>
    <s v="Crédito"/>
    <n v="171360"/>
  </r>
  <r>
    <s v="78.189.158-4"/>
    <s v="AGRICOLA SAN PEDRO SPA"/>
    <x v="1"/>
    <s v="Factura Electrónica"/>
    <n v="1302"/>
    <n v="-1"/>
    <s v="18/08/2025"/>
    <s v="18/05/2026"/>
    <x v="1"/>
    <s v="0-30"/>
    <s v="Normal"/>
    <s v="Crédito"/>
    <n v="458150"/>
  </r>
  <r>
    <s v="79.673.320-9"/>
    <s v="SOC AGRICOLA PALO ALTO LIMITADA"/>
    <x v="1"/>
    <s v="Factura Electrónica"/>
    <n v="1459"/>
    <n v="17"/>
    <s v="03/10/2025"/>
    <s v="30/04/2026"/>
    <x v="4"/>
    <s v="0-30"/>
    <s v="Normal"/>
    <s v="Crédito"/>
    <n v="2199120"/>
  </r>
  <r>
    <s v="79.673.320-9"/>
    <s v="SOC AGRICOLA PALO ALTO LIMITADA"/>
    <x v="1"/>
    <s v="Factura Electrónica"/>
    <n v="1495"/>
    <n v="17"/>
    <s v="14/10/2025"/>
    <s v="30/04/2026"/>
    <x v="4"/>
    <s v="0-30"/>
    <s v="Normal"/>
    <s v="Crédito"/>
    <n v="1009120"/>
  </r>
  <r>
    <s v="79.673.320-9"/>
    <s v="SOC AGRICOLA PALO ALTO LIMITADA"/>
    <x v="1"/>
    <s v="Factura Electrónica"/>
    <n v="1525"/>
    <n v="17"/>
    <s v="27/10/2025"/>
    <s v="30/04/2026"/>
    <x v="4"/>
    <s v="0-30"/>
    <s v="Normal"/>
    <s v="Crédito"/>
    <n v="1099560"/>
  </r>
  <r>
    <s v="96.661.820-5"/>
    <s v="COMERCIAL COPELEC S.A."/>
    <x v="4"/>
    <s v="Factura Electrónica"/>
    <n v="1558"/>
    <n v="100"/>
    <s v="07/01/2026"/>
    <s v="06/02/2026"/>
    <x v="2"/>
    <s v="+90"/>
    <s v="Crítico"/>
    <s v="Crédito"/>
    <n v="1121437"/>
  </r>
  <r>
    <s v="96.661.820-5"/>
    <s v="COMERCIAL COPELEC S.A."/>
    <x v="4"/>
    <s v="Factura Electrónica"/>
    <n v="1559"/>
    <n v="100"/>
    <s v="07/01/2026"/>
    <s v="06/02/2026"/>
    <x v="2"/>
    <s v="+90"/>
    <s v="Crítico"/>
    <s v="Crédito"/>
    <n v="185640"/>
  </r>
  <r>
    <s v="96.980.680-0"/>
    <s v="AGRICOLA TRES SOLES S A"/>
    <x v="0"/>
    <s v="Factura Electrónica"/>
    <n v="1305"/>
    <n v="-1"/>
    <s v="19/08/2025"/>
    <s v="18/05/2026"/>
    <x v="1"/>
    <s v="0-30"/>
    <s v="Normal"/>
    <s v="Crédito"/>
    <n v="13797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133237-91C9-43D3-8FF2-6FBA9E8C3B71}" name="TablaDinámica2" cacheId="28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:G9" firstHeaderRow="1" firstDataRow="2" firstDataCol="1"/>
  <pivotFields count="13">
    <pivotField showAll="0"/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numFmtId="1" showAll="0"/>
    <pivotField showAll="0"/>
    <pivotField showAll="0"/>
    <pivotField axis="axisCol" showAll="0">
      <items count="6">
        <item x="0"/>
        <item x="2"/>
        <item x="3"/>
        <item x="4"/>
        <item x="1"/>
        <item t="default"/>
      </items>
    </pivotField>
    <pivotField showAll="0"/>
    <pivotField showAll="0"/>
    <pivotField showAll="0"/>
    <pivotField dataField="1" numFmtId="3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a de Total Doc" fld="12" baseField="0" baseItem="0" numFmtId="3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AD23A-8F5E-4D32-B15B-03E3282DDA37}">
  <dimension ref="A2:G9"/>
  <sheetViews>
    <sheetView workbookViewId="0">
      <selection activeCell="D16" sqref="D16"/>
    </sheetView>
  </sheetViews>
  <sheetFormatPr baseColWidth="10" defaultRowHeight="15.6" x14ac:dyDescent="0.3"/>
  <cols>
    <col min="1" max="1" width="17.3984375" bestFit="1" customWidth="1"/>
    <col min="2" max="2" width="21.19921875" bestFit="1" customWidth="1"/>
    <col min="3" max="5" width="8.8984375" bestFit="1" customWidth="1"/>
    <col min="6" max="6" width="9.8984375" bestFit="1" customWidth="1"/>
    <col min="7" max="7" width="11.8984375" bestFit="1" customWidth="1"/>
  </cols>
  <sheetData>
    <row r="2" spans="1:7" x14ac:dyDescent="0.3">
      <c r="A2" s="7" t="s">
        <v>25</v>
      </c>
      <c r="B2" s="7" t="s">
        <v>33</v>
      </c>
    </row>
    <row r="3" spans="1:7" x14ac:dyDescent="0.3">
      <c r="A3" s="7" t="s">
        <v>34</v>
      </c>
      <c r="B3" t="s">
        <v>19</v>
      </c>
      <c r="C3" t="s">
        <v>16</v>
      </c>
      <c r="D3" t="s">
        <v>17</v>
      </c>
      <c r="E3" t="s">
        <v>18</v>
      </c>
      <c r="F3" t="s">
        <v>43</v>
      </c>
      <c r="G3" t="s">
        <v>24</v>
      </c>
    </row>
    <row r="4" spans="1:7" x14ac:dyDescent="0.3">
      <c r="A4" s="8" t="s">
        <v>61</v>
      </c>
      <c r="B4" s="1">
        <v>9530710</v>
      </c>
      <c r="C4" s="1"/>
      <c r="D4" s="1"/>
      <c r="E4" s="1"/>
      <c r="F4" s="1">
        <v>12576717</v>
      </c>
      <c r="G4" s="1">
        <v>22107427</v>
      </c>
    </row>
    <row r="5" spans="1:7" x14ac:dyDescent="0.3">
      <c r="A5" s="8" t="s">
        <v>60</v>
      </c>
      <c r="B5" s="1"/>
      <c r="C5" s="1"/>
      <c r="D5" s="1"/>
      <c r="E5" s="1"/>
      <c r="F5" s="1">
        <v>533120</v>
      </c>
      <c r="G5" s="1">
        <v>533120</v>
      </c>
    </row>
    <row r="6" spans="1:7" x14ac:dyDescent="0.3">
      <c r="A6" s="8" t="s">
        <v>8</v>
      </c>
      <c r="B6" s="1">
        <v>518087</v>
      </c>
      <c r="C6" s="1">
        <v>1286093</v>
      </c>
      <c r="D6" s="1"/>
      <c r="E6" s="1"/>
      <c r="F6" s="1">
        <v>757659</v>
      </c>
      <c r="G6" s="1">
        <v>2561839</v>
      </c>
    </row>
    <row r="7" spans="1:7" x14ac:dyDescent="0.3">
      <c r="A7" s="8" t="s">
        <v>12</v>
      </c>
      <c r="B7" s="1">
        <v>538951</v>
      </c>
      <c r="C7" s="1"/>
      <c r="D7" s="1">
        <v>1291650</v>
      </c>
      <c r="E7" s="1">
        <v>4307800</v>
      </c>
      <c r="F7" s="1">
        <v>24677982</v>
      </c>
      <c r="G7" s="1">
        <v>30816383</v>
      </c>
    </row>
    <row r="8" spans="1:7" x14ac:dyDescent="0.3">
      <c r="A8" s="8" t="s">
        <v>31</v>
      </c>
      <c r="B8" s="1"/>
      <c r="C8" s="1">
        <v>1307077</v>
      </c>
      <c r="D8" s="1"/>
      <c r="E8" s="1"/>
      <c r="F8" s="1"/>
      <c r="G8" s="1">
        <v>1307077</v>
      </c>
    </row>
    <row r="9" spans="1:7" x14ac:dyDescent="0.3">
      <c r="A9" s="8" t="s">
        <v>24</v>
      </c>
      <c r="B9" s="1">
        <v>10587748</v>
      </c>
      <c r="C9" s="1">
        <v>2593170</v>
      </c>
      <c r="D9" s="1">
        <v>1291650</v>
      </c>
      <c r="E9" s="1">
        <v>4307800</v>
      </c>
      <c r="F9" s="1">
        <v>38545478</v>
      </c>
      <c r="G9" s="1">
        <v>57325846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4"/>
  <sheetViews>
    <sheetView tabSelected="1" zoomScale="90" zoomScaleNormal="90" workbookViewId="0">
      <pane ySplit="1" topLeftCell="A2" activePane="bottomLeft" state="frozen"/>
      <selection activeCell="B1" sqref="B1"/>
      <selection pane="bottomLeft" activeCell="B10" sqref="B10"/>
    </sheetView>
  </sheetViews>
  <sheetFormatPr baseColWidth="10" defaultRowHeight="15.6" x14ac:dyDescent="0.3"/>
  <cols>
    <col min="1" max="1" width="12.69921875" customWidth="1"/>
    <col min="2" max="2" width="46.296875" customWidth="1"/>
    <col min="3" max="3" width="22.59765625" customWidth="1"/>
    <col min="4" max="4" width="18.19921875" customWidth="1"/>
    <col min="5" max="5" width="7.69921875" bestFit="1" customWidth="1"/>
    <col min="6" max="6" width="12.8984375" customWidth="1"/>
    <col min="7" max="7" width="14.19921875" customWidth="1"/>
    <col min="8" max="8" width="16.796875" bestFit="1" customWidth="1"/>
    <col min="9" max="9" width="11.19921875" customWidth="1"/>
    <col min="11" max="11" width="12.8984375" customWidth="1"/>
    <col min="12" max="12" width="10.8984375" customWidth="1"/>
    <col min="13" max="13" width="11.796875" customWidth="1"/>
  </cols>
  <sheetData>
    <row r="1" spans="1:13" ht="16.2" thickBot="1" x14ac:dyDescent="0.35">
      <c r="F1" s="4">
        <f ca="1">TODAY()</f>
        <v>46159</v>
      </c>
      <c r="K1" s="6"/>
    </row>
    <row r="2" spans="1:13" ht="16.2" thickBot="1" x14ac:dyDescent="0.35">
      <c r="A2" s="3" t="s">
        <v>0</v>
      </c>
      <c r="B2" s="3" t="s">
        <v>1</v>
      </c>
      <c r="C2" s="2" t="s">
        <v>2</v>
      </c>
      <c r="D2" s="3" t="s">
        <v>3</v>
      </c>
      <c r="E2" s="2" t="s">
        <v>4</v>
      </c>
      <c r="F2" s="2" t="s">
        <v>22</v>
      </c>
      <c r="G2" s="3" t="s">
        <v>21</v>
      </c>
      <c r="H2" s="2" t="s">
        <v>20</v>
      </c>
      <c r="I2" s="3" t="s">
        <v>23</v>
      </c>
      <c r="J2" s="3" t="s">
        <v>26</v>
      </c>
      <c r="K2" s="2" t="s">
        <v>27</v>
      </c>
      <c r="L2" s="3" t="s">
        <v>15</v>
      </c>
      <c r="M2" s="3" t="s">
        <v>5</v>
      </c>
    </row>
    <row r="3" spans="1:13" x14ac:dyDescent="0.3">
      <c r="A3" t="s">
        <v>6</v>
      </c>
      <c r="B3" t="s">
        <v>7</v>
      </c>
      <c r="C3" t="s">
        <v>8</v>
      </c>
      <c r="D3" t="s">
        <v>9</v>
      </c>
      <c r="E3">
        <v>1328</v>
      </c>
      <c r="F3" s="5">
        <f ca="1">F1-H3</f>
        <v>108</v>
      </c>
      <c r="G3" t="s">
        <v>62</v>
      </c>
      <c r="H3" t="s">
        <v>38</v>
      </c>
      <c r="I3" t="s">
        <v>19</v>
      </c>
      <c r="J3" t="str">
        <f t="shared" ref="J3:J21" ca="1" si="0">IF(F3="","",IF(F3&lt;=30,"0-30",IF(F3&lt;=60,"31-60",IF(F3&lt;=90,"61-90","+90"))))</f>
        <v>+90</v>
      </c>
      <c r="K3" t="str">
        <f ca="1">IF(F3="","",IF(F3&lt;=30,"Normal",IF(F3&lt;=60,"Alerta",IF(F3&lt;=90,"Riesgo","Crítico"))))</f>
        <v>Crítico</v>
      </c>
      <c r="L3" t="s">
        <v>10</v>
      </c>
      <c r="M3" s="1">
        <v>518087</v>
      </c>
    </row>
    <row r="4" spans="1:13" x14ac:dyDescent="0.3">
      <c r="A4" t="s">
        <v>83</v>
      </c>
      <c r="B4" t="s">
        <v>84</v>
      </c>
      <c r="C4" t="s">
        <v>8</v>
      </c>
      <c r="D4" t="s">
        <v>9</v>
      </c>
      <c r="E4">
        <v>1348</v>
      </c>
      <c r="F4" s="5">
        <f ca="1">F1-H4</f>
        <v>-42</v>
      </c>
      <c r="G4" t="s">
        <v>85</v>
      </c>
      <c r="H4" t="s">
        <v>86</v>
      </c>
      <c r="I4" t="s">
        <v>43</v>
      </c>
      <c r="J4" t="str">
        <f ca="1">IF(F4="","",IF(F4&lt;=30,"0-30",IF(F4&lt;=60,"31-60",IF(F4&lt;=90,"61-90","+90"))))</f>
        <v>0-30</v>
      </c>
      <c r="K4" t="str">
        <f t="shared" ref="K4:K21" ca="1" si="1">IF(F4="","",IF(F4&lt;=30,"Normal",IF(F4&lt;=60,"Alerta",IF(F4&lt;=90,"Riesgo","Crítico"))))</f>
        <v>Normal</v>
      </c>
      <c r="L4" t="s">
        <v>10</v>
      </c>
      <c r="M4" s="1">
        <v>619681</v>
      </c>
    </row>
    <row r="5" spans="1:13" x14ac:dyDescent="0.3">
      <c r="A5" t="s">
        <v>39</v>
      </c>
      <c r="B5" t="s">
        <v>40</v>
      </c>
      <c r="C5" t="s">
        <v>12</v>
      </c>
      <c r="D5" t="s">
        <v>9</v>
      </c>
      <c r="E5">
        <v>1322</v>
      </c>
      <c r="F5" s="5">
        <f ca="1">F1-H5</f>
        <v>-14</v>
      </c>
      <c r="G5" t="s">
        <v>63</v>
      </c>
      <c r="H5" t="s">
        <v>64</v>
      </c>
      <c r="I5" t="s">
        <v>43</v>
      </c>
      <c r="J5" t="str">
        <f t="shared" ca="1" si="0"/>
        <v>0-30</v>
      </c>
      <c r="K5" t="str">
        <f t="shared" ca="1" si="1"/>
        <v>Normal</v>
      </c>
      <c r="L5" t="s">
        <v>10</v>
      </c>
      <c r="M5" s="1">
        <v>8071532</v>
      </c>
    </row>
    <row r="6" spans="1:13" x14ac:dyDescent="0.3">
      <c r="A6" t="s">
        <v>44</v>
      </c>
      <c r="B6" t="s">
        <v>45</v>
      </c>
      <c r="C6" t="s">
        <v>12</v>
      </c>
      <c r="D6" t="s">
        <v>9</v>
      </c>
      <c r="E6">
        <v>1183</v>
      </c>
      <c r="F6" s="5">
        <f ca="1">F1-H6</f>
        <v>-12</v>
      </c>
      <c r="G6" t="s">
        <v>65</v>
      </c>
      <c r="H6" t="s">
        <v>41</v>
      </c>
      <c r="I6" t="s">
        <v>43</v>
      </c>
      <c r="J6" t="str">
        <f t="shared" ca="1" si="0"/>
        <v>0-30</v>
      </c>
      <c r="K6" t="str">
        <f t="shared" ca="1" si="1"/>
        <v>Normal</v>
      </c>
      <c r="L6" t="s">
        <v>10</v>
      </c>
      <c r="M6" s="1">
        <v>14082460</v>
      </c>
    </row>
    <row r="7" spans="1:13" x14ac:dyDescent="0.3">
      <c r="A7" t="s">
        <v>44</v>
      </c>
      <c r="B7" t="s">
        <v>45</v>
      </c>
      <c r="C7" t="s">
        <v>12</v>
      </c>
      <c r="D7" t="s">
        <v>9</v>
      </c>
      <c r="E7">
        <v>1184</v>
      </c>
      <c r="F7" s="5">
        <f ca="1">F1-H7</f>
        <v>-12</v>
      </c>
      <c r="G7" t="s">
        <v>65</v>
      </c>
      <c r="H7" t="s">
        <v>41</v>
      </c>
      <c r="I7" t="s">
        <v>43</v>
      </c>
      <c r="J7" t="str">
        <f t="shared" ca="1" si="0"/>
        <v>0-30</v>
      </c>
      <c r="K7" t="str">
        <f t="shared" ca="1" si="1"/>
        <v>Normal</v>
      </c>
      <c r="L7" t="s">
        <v>10</v>
      </c>
      <c r="M7" s="1">
        <v>1899240</v>
      </c>
    </row>
    <row r="8" spans="1:13" x14ac:dyDescent="0.3">
      <c r="A8" t="s">
        <v>46</v>
      </c>
      <c r="B8" t="s">
        <v>47</v>
      </c>
      <c r="C8" t="s">
        <v>61</v>
      </c>
      <c r="D8" t="s">
        <v>9</v>
      </c>
      <c r="E8">
        <v>1506</v>
      </c>
      <c r="F8" s="5">
        <f ca="1">F1-H8</f>
        <v>-13</v>
      </c>
      <c r="G8" t="s">
        <v>66</v>
      </c>
      <c r="H8" t="s">
        <v>42</v>
      </c>
      <c r="I8" t="s">
        <v>43</v>
      </c>
      <c r="J8" t="str">
        <f t="shared" ca="1" si="0"/>
        <v>0-30</v>
      </c>
      <c r="K8" t="str">
        <f t="shared" ca="1" si="1"/>
        <v>Normal</v>
      </c>
      <c r="L8" t="s">
        <v>10</v>
      </c>
      <c r="M8" s="1">
        <v>3329703</v>
      </c>
    </row>
    <row r="9" spans="1:13" x14ac:dyDescent="0.3">
      <c r="A9" t="s">
        <v>46</v>
      </c>
      <c r="B9" t="s">
        <v>47</v>
      </c>
      <c r="C9" t="s">
        <v>60</v>
      </c>
      <c r="D9" t="s">
        <v>9</v>
      </c>
      <c r="E9">
        <v>1545</v>
      </c>
      <c r="F9" s="5">
        <f ca="1">F1-H9</f>
        <v>-13</v>
      </c>
      <c r="G9" t="s">
        <v>68</v>
      </c>
      <c r="H9" t="s">
        <v>42</v>
      </c>
      <c r="I9" t="s">
        <v>43</v>
      </c>
      <c r="J9" t="str">
        <f t="shared" ca="1" si="0"/>
        <v>0-30</v>
      </c>
      <c r="K9" t="str">
        <f t="shared" ca="1" si="1"/>
        <v>Normal</v>
      </c>
      <c r="L9" t="s">
        <v>10</v>
      </c>
      <c r="M9" s="1">
        <v>166600</v>
      </c>
    </row>
    <row r="10" spans="1:13" x14ac:dyDescent="0.3">
      <c r="A10" t="s">
        <v>46</v>
      </c>
      <c r="B10" t="s">
        <v>47</v>
      </c>
      <c r="C10" t="s">
        <v>60</v>
      </c>
      <c r="D10" t="s">
        <v>9</v>
      </c>
      <c r="E10">
        <v>1549</v>
      </c>
      <c r="F10" s="5">
        <f ca="1">F1-H10</f>
        <v>-13</v>
      </c>
      <c r="G10" t="s">
        <v>69</v>
      </c>
      <c r="H10" t="s">
        <v>42</v>
      </c>
      <c r="I10" t="s">
        <v>43</v>
      </c>
      <c r="J10" t="str">
        <f t="shared" ca="1" si="0"/>
        <v>0-30</v>
      </c>
      <c r="K10" t="str">
        <f t="shared" ca="1" si="1"/>
        <v>Normal</v>
      </c>
      <c r="L10" t="s">
        <v>10</v>
      </c>
      <c r="M10" s="1">
        <v>366520</v>
      </c>
    </row>
    <row r="11" spans="1:13" x14ac:dyDescent="0.3">
      <c r="A11" t="s">
        <v>48</v>
      </c>
      <c r="B11" t="s">
        <v>49</v>
      </c>
      <c r="C11" t="s">
        <v>61</v>
      </c>
      <c r="D11" t="s">
        <v>9</v>
      </c>
      <c r="E11">
        <v>1507</v>
      </c>
      <c r="F11" s="5">
        <f ca="1">F1-H11</f>
        <v>28</v>
      </c>
      <c r="G11" t="s">
        <v>66</v>
      </c>
      <c r="H11" t="s">
        <v>70</v>
      </c>
      <c r="I11" t="s">
        <v>43</v>
      </c>
      <c r="J11" t="str">
        <f t="shared" ca="1" si="0"/>
        <v>0-30</v>
      </c>
      <c r="K11" t="str">
        <f t="shared" ca="1" si="1"/>
        <v>Normal</v>
      </c>
      <c r="L11" t="s">
        <v>10</v>
      </c>
      <c r="M11" s="1">
        <v>9247014</v>
      </c>
    </row>
    <row r="12" spans="1:13" x14ac:dyDescent="0.3">
      <c r="A12" t="s">
        <v>50</v>
      </c>
      <c r="B12" t="s">
        <v>51</v>
      </c>
      <c r="C12" t="s">
        <v>12</v>
      </c>
      <c r="D12" t="s">
        <v>9</v>
      </c>
      <c r="E12">
        <v>1303</v>
      </c>
      <c r="F12" s="5">
        <f ca="1">F1-H12</f>
        <v>-1</v>
      </c>
      <c r="G12" t="s">
        <v>71</v>
      </c>
      <c r="H12" t="s">
        <v>72</v>
      </c>
      <c r="I12" t="s">
        <v>43</v>
      </c>
      <c r="J12" t="str">
        <f t="shared" ca="1" si="0"/>
        <v>0-30</v>
      </c>
      <c r="K12" t="str">
        <f t="shared" ca="1" si="1"/>
        <v>Normal</v>
      </c>
      <c r="L12" t="s">
        <v>10</v>
      </c>
      <c r="M12" s="1">
        <v>166600</v>
      </c>
    </row>
    <row r="13" spans="1:13" x14ac:dyDescent="0.3">
      <c r="A13" t="s">
        <v>52</v>
      </c>
      <c r="B13" t="s">
        <v>53</v>
      </c>
      <c r="C13" t="s">
        <v>8</v>
      </c>
      <c r="D13" t="s">
        <v>9</v>
      </c>
      <c r="E13">
        <v>1522</v>
      </c>
      <c r="F13" s="5">
        <f ca="1">F1-H13</f>
        <v>85</v>
      </c>
      <c r="G13" t="s">
        <v>73</v>
      </c>
      <c r="H13" t="s">
        <v>74</v>
      </c>
      <c r="I13" t="s">
        <v>16</v>
      </c>
      <c r="J13" t="str">
        <f t="shared" ca="1" si="0"/>
        <v>61-90</v>
      </c>
      <c r="K13" t="str">
        <f t="shared" ca="1" si="1"/>
        <v>Riesgo</v>
      </c>
      <c r="L13" t="s">
        <v>10</v>
      </c>
      <c r="M13" s="1">
        <v>1286093</v>
      </c>
    </row>
    <row r="14" spans="1:13" x14ac:dyDescent="0.3">
      <c r="A14" t="s">
        <v>14</v>
      </c>
      <c r="B14" t="s">
        <v>54</v>
      </c>
      <c r="C14" t="s">
        <v>12</v>
      </c>
      <c r="D14" t="s">
        <v>9</v>
      </c>
      <c r="E14">
        <v>1426</v>
      </c>
      <c r="F14" s="5">
        <f ca="1">F1-H14</f>
        <v>119</v>
      </c>
      <c r="G14" t="s">
        <v>75</v>
      </c>
      <c r="H14" t="s">
        <v>76</v>
      </c>
      <c r="I14" t="s">
        <v>19</v>
      </c>
      <c r="J14" t="str">
        <f t="shared" ca="1" si="0"/>
        <v>+90</v>
      </c>
      <c r="K14" t="str">
        <f t="shared" ca="1" si="1"/>
        <v>Crítico</v>
      </c>
      <c r="L14" t="s">
        <v>10</v>
      </c>
      <c r="M14" s="1">
        <v>538951</v>
      </c>
    </row>
    <row r="15" spans="1:13" x14ac:dyDescent="0.3">
      <c r="A15" t="s">
        <v>14</v>
      </c>
      <c r="B15" t="s">
        <v>54</v>
      </c>
      <c r="C15" t="s">
        <v>12</v>
      </c>
      <c r="D15" t="s">
        <v>9</v>
      </c>
      <c r="E15">
        <v>1539</v>
      </c>
      <c r="F15" s="5">
        <f ca="1">F1-H15</f>
        <v>68</v>
      </c>
      <c r="G15" t="s">
        <v>77</v>
      </c>
      <c r="H15" t="s">
        <v>11</v>
      </c>
      <c r="I15" t="s">
        <v>17</v>
      </c>
      <c r="J15" t="str">
        <f t="shared" ca="1" si="0"/>
        <v>61-90</v>
      </c>
      <c r="K15" t="str">
        <f t="shared" ca="1" si="1"/>
        <v>Riesgo</v>
      </c>
      <c r="L15" t="s">
        <v>10</v>
      </c>
      <c r="M15" s="1">
        <v>1291650</v>
      </c>
    </row>
    <row r="16" spans="1:13" x14ac:dyDescent="0.3">
      <c r="A16" t="s">
        <v>28</v>
      </c>
      <c r="B16" t="s">
        <v>29</v>
      </c>
      <c r="C16" t="s">
        <v>61</v>
      </c>
      <c r="D16" t="s">
        <v>9</v>
      </c>
      <c r="E16">
        <v>1499</v>
      </c>
      <c r="F16" s="5">
        <f ca="1">F1-H16</f>
        <v>124</v>
      </c>
      <c r="G16" t="s">
        <v>78</v>
      </c>
      <c r="H16" t="s">
        <v>13</v>
      </c>
      <c r="I16" t="s">
        <v>19</v>
      </c>
      <c r="J16" t="str">
        <f t="shared" ca="1" si="0"/>
        <v>+90</v>
      </c>
      <c r="K16" t="str">
        <f t="shared" ca="1" si="1"/>
        <v>Crítico</v>
      </c>
      <c r="L16" t="s">
        <v>10</v>
      </c>
      <c r="M16" s="1">
        <v>9359350</v>
      </c>
    </row>
    <row r="17" spans="1:13" ht="16.8" customHeight="1" x14ac:dyDescent="0.3">
      <c r="A17" t="s">
        <v>28</v>
      </c>
      <c r="B17" t="s">
        <v>29</v>
      </c>
      <c r="C17" t="s">
        <v>61</v>
      </c>
      <c r="D17" t="s">
        <v>9</v>
      </c>
      <c r="E17">
        <v>1500</v>
      </c>
      <c r="F17" s="5">
        <f ca="1">F1-H17</f>
        <v>124</v>
      </c>
      <c r="G17" t="s">
        <v>78</v>
      </c>
      <c r="H17" t="s">
        <v>13</v>
      </c>
      <c r="I17" t="s">
        <v>19</v>
      </c>
      <c r="J17" t="str">
        <f t="shared" ca="1" si="0"/>
        <v>+90</v>
      </c>
      <c r="K17" t="str">
        <f t="shared" ca="1" si="1"/>
        <v>Crítico</v>
      </c>
      <c r="L17" t="s">
        <v>10</v>
      </c>
      <c r="M17" s="1">
        <v>171360</v>
      </c>
    </row>
    <row r="18" spans="1:13" ht="14.4" customHeight="1" x14ac:dyDescent="0.3">
      <c r="A18" t="s">
        <v>55</v>
      </c>
      <c r="B18" t="s">
        <v>56</v>
      </c>
      <c r="C18" t="s">
        <v>12</v>
      </c>
      <c r="D18" t="s">
        <v>9</v>
      </c>
      <c r="E18">
        <v>1302</v>
      </c>
      <c r="F18" s="5">
        <f ca="1">F1-H18</f>
        <v>-1</v>
      </c>
      <c r="G18" t="s">
        <v>71</v>
      </c>
      <c r="H18" t="s">
        <v>72</v>
      </c>
      <c r="I18" t="s">
        <v>43</v>
      </c>
      <c r="J18" t="str">
        <f t="shared" ca="1" si="0"/>
        <v>0-30</v>
      </c>
      <c r="K18" t="str">
        <f t="shared" ca="1" si="1"/>
        <v>Normal</v>
      </c>
      <c r="L18" t="s">
        <v>10</v>
      </c>
      <c r="M18" s="1">
        <v>458150</v>
      </c>
    </row>
    <row r="19" spans="1:13" x14ac:dyDescent="0.3">
      <c r="A19" t="s">
        <v>35</v>
      </c>
      <c r="B19" t="s">
        <v>36</v>
      </c>
      <c r="C19" t="s">
        <v>12</v>
      </c>
      <c r="D19" t="s">
        <v>9</v>
      </c>
      <c r="E19">
        <v>1459</v>
      </c>
      <c r="F19" s="5">
        <f ca="1">F1-H19</f>
        <v>17</v>
      </c>
      <c r="G19" t="s">
        <v>79</v>
      </c>
      <c r="H19" t="s">
        <v>37</v>
      </c>
      <c r="I19" t="s">
        <v>18</v>
      </c>
      <c r="J19" t="str">
        <f t="shared" ca="1" si="0"/>
        <v>0-30</v>
      </c>
      <c r="K19" t="str">
        <f t="shared" ca="1" si="1"/>
        <v>Normal</v>
      </c>
      <c r="L19" t="s">
        <v>10</v>
      </c>
      <c r="M19" s="1">
        <v>2199120</v>
      </c>
    </row>
    <row r="20" spans="1:13" x14ac:dyDescent="0.3">
      <c r="A20" t="s">
        <v>35</v>
      </c>
      <c r="B20" t="s">
        <v>36</v>
      </c>
      <c r="C20" t="s">
        <v>12</v>
      </c>
      <c r="D20" t="s">
        <v>9</v>
      </c>
      <c r="E20">
        <v>1495</v>
      </c>
      <c r="F20" s="5">
        <f ca="1">F1-H20</f>
        <v>17</v>
      </c>
      <c r="G20" t="s">
        <v>67</v>
      </c>
      <c r="H20" t="s">
        <v>37</v>
      </c>
      <c r="I20" t="s">
        <v>18</v>
      </c>
      <c r="J20" t="str">
        <f t="shared" ca="1" si="0"/>
        <v>0-30</v>
      </c>
      <c r="K20" t="str">
        <f t="shared" ca="1" si="1"/>
        <v>Normal</v>
      </c>
      <c r="L20" t="s">
        <v>10</v>
      </c>
      <c r="M20" s="1">
        <v>1009120</v>
      </c>
    </row>
    <row r="21" spans="1:13" x14ac:dyDescent="0.3">
      <c r="A21" t="s">
        <v>35</v>
      </c>
      <c r="B21" t="s">
        <v>36</v>
      </c>
      <c r="C21" t="s">
        <v>12</v>
      </c>
      <c r="D21" t="s">
        <v>9</v>
      </c>
      <c r="E21">
        <v>1525</v>
      </c>
      <c r="F21" s="5">
        <f ca="1">F1-H21</f>
        <v>17</v>
      </c>
      <c r="G21" t="s">
        <v>80</v>
      </c>
      <c r="H21" t="s">
        <v>37</v>
      </c>
      <c r="I21" t="s">
        <v>18</v>
      </c>
      <c r="J21" t="str">
        <f t="shared" ca="1" si="0"/>
        <v>0-30</v>
      </c>
      <c r="K21" t="str">
        <f t="shared" ca="1" si="1"/>
        <v>Normal</v>
      </c>
      <c r="L21" t="s">
        <v>10</v>
      </c>
      <c r="M21" s="1">
        <v>1099560</v>
      </c>
    </row>
    <row r="22" spans="1:13" x14ac:dyDescent="0.3">
      <c r="A22" t="s">
        <v>30</v>
      </c>
      <c r="B22" t="s">
        <v>57</v>
      </c>
      <c r="C22" t="s">
        <v>31</v>
      </c>
      <c r="D22" t="s">
        <v>9</v>
      </c>
      <c r="E22">
        <v>1558</v>
      </c>
      <c r="F22" s="5">
        <f ca="1">F1-H22</f>
        <v>100</v>
      </c>
      <c r="G22" t="s">
        <v>32</v>
      </c>
      <c r="H22" t="s">
        <v>81</v>
      </c>
      <c r="I22" t="s">
        <v>16</v>
      </c>
      <c r="J22" t="str">
        <f t="shared" ref="J22:J24" ca="1" si="2">IF(F22="","",IF(F22&lt;=30,"0-30",IF(F22&lt;=60,"31-60",IF(F22&lt;=90,"61-90","+90"))))</f>
        <v>+90</v>
      </c>
      <c r="K22" t="str">
        <f t="shared" ref="K22:K24" ca="1" si="3">IF(F22="","",IF(F22&lt;=30,"Normal",IF(F22&lt;=60,"Alerta",IF(F22&lt;=90,"Riesgo","Crítico"))))</f>
        <v>Crítico</v>
      </c>
      <c r="L22" t="s">
        <v>10</v>
      </c>
      <c r="M22" s="1">
        <v>1121437</v>
      </c>
    </row>
    <row r="23" spans="1:13" x14ac:dyDescent="0.3">
      <c r="A23" t="s">
        <v>30</v>
      </c>
      <c r="B23" t="s">
        <v>57</v>
      </c>
      <c r="C23" t="s">
        <v>31</v>
      </c>
      <c r="D23" t="s">
        <v>9</v>
      </c>
      <c r="E23">
        <v>1559</v>
      </c>
      <c r="F23" s="5">
        <f ca="1">F1-H23</f>
        <v>100</v>
      </c>
      <c r="G23" t="s">
        <v>32</v>
      </c>
      <c r="H23" t="s">
        <v>81</v>
      </c>
      <c r="I23" t="s">
        <v>16</v>
      </c>
      <c r="J23" t="str">
        <f t="shared" ca="1" si="2"/>
        <v>+90</v>
      </c>
      <c r="K23" t="str">
        <f t="shared" ca="1" si="3"/>
        <v>Crítico</v>
      </c>
      <c r="L23" t="s">
        <v>10</v>
      </c>
      <c r="M23" s="1">
        <v>185640</v>
      </c>
    </row>
    <row r="24" spans="1:13" x14ac:dyDescent="0.3">
      <c r="A24" t="s">
        <v>58</v>
      </c>
      <c r="B24" t="s">
        <v>59</v>
      </c>
      <c r="C24" t="s">
        <v>8</v>
      </c>
      <c r="D24" t="s">
        <v>9</v>
      </c>
      <c r="E24">
        <v>1305</v>
      </c>
      <c r="F24" s="5">
        <f ca="1">F1-H24</f>
        <v>-1</v>
      </c>
      <c r="G24" t="s">
        <v>82</v>
      </c>
      <c r="H24" t="s">
        <v>72</v>
      </c>
      <c r="I24" t="s">
        <v>43</v>
      </c>
      <c r="J24" t="str">
        <f t="shared" ca="1" si="2"/>
        <v>0-30</v>
      </c>
      <c r="K24" t="str">
        <f t="shared" ca="1" si="3"/>
        <v>Normal</v>
      </c>
      <c r="L24" t="s">
        <v>10</v>
      </c>
      <c r="M24" s="1">
        <v>137978</v>
      </c>
    </row>
  </sheetData>
  <autoFilter ref="A2:M21" xr:uid="{00000000-0009-0000-0000-000001000000}"/>
  <phoneticPr fontId="2" type="noConversion"/>
  <conditionalFormatting sqref="K1:K1048576">
    <cfRule type="containsText" dxfId="2" priority="1" operator="containsText" text="normal">
      <formula>NOT(ISERROR(SEARCH("normal",K1)))</formula>
    </cfRule>
    <cfRule type="containsText" dxfId="1" priority="2" operator="containsText" text="alerta">
      <formula>NOT(ISERROR(SEARCH("alerta",K1)))</formula>
    </cfRule>
  </conditionalFormatting>
  <conditionalFormatting sqref="K3:K24">
    <cfRule type="containsText" dxfId="0" priority="3" operator="containsText" text="riesgo">
      <formula>NOT(ISERROR(SEARCH("riesgo",K3)))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Detalle Mora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Agroveca Chile</dc:creator>
  <cp:lastModifiedBy>Agroveca Chile</cp:lastModifiedBy>
  <dcterms:created xsi:type="dcterms:W3CDTF">2026-03-15T15:45:31Z</dcterms:created>
  <dcterms:modified xsi:type="dcterms:W3CDTF">2026-05-18T02:34:13Z</dcterms:modified>
</cp:coreProperties>
</file>