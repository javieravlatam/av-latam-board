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CHILE RESUMEN" sheetId="2" state="visible" r:id="rId4"/>
    <sheet name="CHILE DETALLE" sheetId="3" state="visible" r:id="rId5"/>
    <sheet name="PERU RESUMEN" sheetId="4" state="visible" r:id="rId6"/>
    <sheet name="PERU DETALLE" sheetId="5" state="visible" r:id="rId7"/>
    <sheet name="ALERTAS Cx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<sst xmlns="http://schemas.openxmlformats.org/spreadsheetml/2006/main" count="1014" uniqueCount="388">
  <si>
    <t xml:space="preserve">MÓDULO CUENTAS POR COBRAR · AGROVECA GRUPO LATAM</t>
  </si>
  <si>
    <t xml:space="preserve">Corte: 17.04.2026 (Chile) · 13.04.2026 (Peru)  |  Generado: 17.04.2026</t>
  </si>
  <si>
    <t xml:space="preserve">  RESUMEN EJECUTIVO CARTERA CONSOLIDADA</t>
  </si>
  <si>
    <t xml:space="preserve">  CHILE</t>
  </si>
  <si>
    <t xml:space="preserve">Cartera total Chile</t>
  </si>
  <si>
    <t xml:space="preserve">CLP 60,352,866</t>
  </si>
  <si>
    <t xml:space="preserve">62 facturas</t>
  </si>
  <si>
    <t xml:space="preserve">Cartera sana (0-30 días)</t>
  </si>
  <si>
    <t xml:space="preserve">CLP 34,530,853</t>
  </si>
  <si>
    <t xml:space="preserve">57.2% del total</t>
  </si>
  <si>
    <t xml:space="preserve">En alerta (31-60 días)</t>
  </si>
  <si>
    <t xml:space="preserve">CLP 10,658,430</t>
  </si>
  <si>
    <t xml:space="preserve">17.7% del total</t>
  </si>
  <si>
    <t xml:space="preserve">En riesgo + crítico (&gt;60 días)</t>
  </si>
  <si>
    <t xml:space="preserve">CLP 15,163,583</t>
  </si>
  <si>
    <t xml:space="preserve">⚠  25.1% — ACCION REQUERIDA</t>
  </si>
  <si>
    <t xml:space="preserve">Vendedor mayor cartera</t>
  </si>
  <si>
    <t xml:space="preserve">Pablo Laratro · CLP 27,382,596</t>
  </si>
  <si>
    <t xml:space="preserve">45.4% de la cartera</t>
  </si>
  <si>
    <t xml:space="preserve">  PERU</t>
  </si>
  <si>
    <t xml:space="preserve">Cartera activa Peru</t>
  </si>
  <si>
    <t xml:space="preserve">USD 108,903.71</t>
  </si>
  <si>
    <t xml:space="preserve">48 facturas pendientes</t>
  </si>
  <si>
    <t xml:space="preserve">Facturas vencidas (pre-abril 2026)</t>
  </si>
  <si>
    <t xml:space="preserve">USD 28,860.65</t>
  </si>
  <si>
    <t xml:space="preserve">26.5% del total activo</t>
  </si>
  <si>
    <t xml:space="preserve">Facturas vigentes (abril 2026+)</t>
  </si>
  <si>
    <t xml:space="preserve">USD 80,043.06</t>
  </si>
  <si>
    <t xml:space="preserve">73.5% del total</t>
  </si>
  <si>
    <t xml:space="preserve">Facturas cedidas a SUPRA</t>
  </si>
  <si>
    <t xml:space="preserve">USD 196,840.50</t>
  </si>
  <si>
    <t xml:space="preserve">16 facturas — no en cartera activa</t>
  </si>
  <si>
    <t xml:space="preserve">  ALERTAS CRÍTICAS</t>
  </si>
  <si>
    <t xml:space="preserve">Clientes en riesgo/crítico Chile</t>
  </si>
  <si>
    <t xml:space="preserve">5 clientes</t>
  </si>
  <si>
    <t xml:space="preserve">CLP 20,558,435 en exposición</t>
  </si>
  <si>
    <t xml:space="preserve">Mayor exposición: AGROCOM. LOMA LARGA</t>
  </si>
  <si>
    <t xml:space="preserve">CLP 6,091,161 · Pablo Laratro</t>
  </si>
  <si>
    <t xml:space="preserve">Facturas +61 días · acción urgente</t>
  </si>
  <si>
    <t xml:space="preserve">PAODISA (Peru) vencida desde jul 2024</t>
  </si>
  <si>
    <t xml:space="preserve">USD 10,874.40</t>
  </si>
  <si>
    <t xml:space="preserve">Facturas sin cobrar +18 meses</t>
  </si>
  <si>
    <t xml:space="preserve">  ÍNDICE DE HOJAS</t>
  </si>
  <si>
    <t xml:space="preserve">  PORTADA</t>
  </si>
  <si>
    <t xml:space="preserve">Esta hoja · KPIs ejecutivos y alertas</t>
  </si>
  <si>
    <t xml:space="preserve">  CHILE RESUMEN</t>
  </si>
  <si>
    <t xml:space="preserve">Cartera Chile por vendedor, tramo de mora y estado</t>
  </si>
  <si>
    <t xml:space="preserve">  CHILE DETALLE</t>
  </si>
  <si>
    <t xml:space="preserve">69 facturas individuales con clasificación de riesgo</t>
  </si>
  <si>
    <t xml:space="preserve">  PERU RESUMEN</t>
  </si>
  <si>
    <t xml:space="preserve">Cartera Peru activa por vendedor y cliente</t>
  </si>
  <si>
    <t xml:space="preserve">  PERU DETALLE</t>
  </si>
  <si>
    <t xml:space="preserve">46 facturas activas + 16 cedidas a SUPRA</t>
  </si>
  <si>
    <t xml:space="preserve">  ALERTAS CxC</t>
  </si>
  <si>
    <t xml:space="preserve">Clientes críticos consolidados · decisiones requeridas</t>
  </si>
  <si>
    <t xml:space="preserve">CHILE · RESUMEN CARTERA POR COBRAR</t>
  </si>
  <si>
    <t xml:space="preserve">Corte: 17.04.2026  |  Total cartera: CLP 60,352,866  |  62 facturas</t>
  </si>
  <si>
    <t xml:space="preserve">  POR VENDEDOR</t>
  </si>
  <si>
    <t xml:space="preserve">VENDEDOR</t>
  </si>
  <si>
    <t xml:space="preserve">TOTAL CLP</t>
  </si>
  <si>
    <t xml:space="preserve">FACTURAS</t>
  </si>
  <si>
    <t xml:space="preserve">MÁXIMO DÍAS MORA</t>
  </si>
  <si>
    <t xml:space="preserve">% CARTERA</t>
  </si>
  <si>
    <t xml:space="preserve">PABLO LARATRO</t>
  </si>
  <si>
    <t xml:space="preserve">JORGE CAROCA</t>
  </si>
  <si>
    <t xml:space="preserve">RODRIGO ENCINA</t>
  </si>
  <si>
    <t xml:space="preserve">FRANCISCO VELASQUEZ</t>
  </si>
  <si>
    <t xml:space="preserve">JAVIER ALMEIDA</t>
  </si>
  <si>
    <t xml:space="preserve">VALENTINA MUÑOZ</t>
  </si>
  <si>
    <t xml:space="preserve">OFICINA</t>
  </si>
  <si>
    <t xml:space="preserve">RAYEN BERNAZAR</t>
  </si>
  <si>
    <t xml:space="preserve">TOTAL</t>
  </si>
  <si>
    <t xml:space="preserve">100%</t>
  </si>
  <si>
    <t xml:space="preserve">  POR TRAMO DE MORA</t>
  </si>
  <si>
    <t xml:space="preserve">TRAMO</t>
  </si>
  <si>
    <t xml:space="preserve">ACCIÓN SUGERIDA</t>
  </si>
  <si>
    <t xml:space="preserve">Normal · 0-30 días</t>
  </si>
  <si>
    <t xml:space="preserve">Seguimiento estándar</t>
  </si>
  <si>
    <t xml:space="preserve">Alerta · 31-60 días</t>
  </si>
  <si>
    <t xml:space="preserve">Contacto proactivo de cobranza</t>
  </si>
  <si>
    <t xml:space="preserve">Riesgo · 61-90 días</t>
  </si>
  <si>
    <t xml:space="preserve">Gestión urgente · escalada a dirección</t>
  </si>
  <si>
    <t xml:space="preserve">Crítico · +90 días</t>
  </si>
  <si>
    <t xml:space="preserve">Acción legal o acuerdo de pago inmediato</t>
  </si>
  <si>
    <t xml:space="preserve">  TOP 10 CLIENTES POR SALDO</t>
  </si>
  <si>
    <t xml:space="preserve">CLIENTE</t>
  </si>
  <si>
    <t xml:space="preserve">MÁXIMO DÍAS</t>
  </si>
  <si>
    <t xml:space="preserve">ESTADO</t>
  </si>
  <si>
    <t xml:space="preserve">AGROCOMERCIAL Y GANADERA LOMA LARGA LIMITADA</t>
  </si>
  <si>
    <t xml:space="preserve">Crítico</t>
  </si>
  <si>
    <t xml:space="preserve">SOCIEDAD AGRICOLA TIERRA DE BACO LIMITADA</t>
  </si>
  <si>
    <t xml:space="preserve">Normal</t>
  </si>
  <si>
    <t xml:space="preserve">FRUTICOLA RIO BLANCO SPA</t>
  </si>
  <si>
    <t xml:space="preserve">Alerta</t>
  </si>
  <si>
    <t xml:space="preserve">SOCIEDAD AGRICOLA SAN FRANCISCO LTDA</t>
  </si>
  <si>
    <t xml:space="preserve">GOYASERVICE SPA</t>
  </si>
  <si>
    <t xml:space="preserve">PONTIFICIA UNIVERSIDAD CATOLICA DE VALPARAISO</t>
  </si>
  <si>
    <t xml:space="preserve">VILLEGAS Y BERRIOS Y CIA LTDA</t>
  </si>
  <si>
    <t xml:space="preserve">AGRICOLA GEOAGRO LTDA</t>
  </si>
  <si>
    <t xml:space="preserve">AGRICOLA FRANCISCA MONTES E.I.R.L</t>
  </si>
  <si>
    <t xml:space="preserve">CHILE · DETALLE FACTURAS POR COBRAR</t>
  </si>
  <si>
    <t xml:space="preserve">RAZÓN SOCIAL</t>
  </si>
  <si>
    <t xml:space="preserve">N° FAC</t>
  </si>
  <si>
    <t xml:space="preserve">DÍAS MORA</t>
  </si>
  <si>
    <t xml:space="preserve">EMISIÓN</t>
  </si>
  <si>
    <t xml:space="preserve">VENCIMIENTO</t>
  </si>
  <si>
    <t xml:space="preserve">MES</t>
  </si>
  <si>
    <t xml:space="preserve">250</t>
  </si>
  <si>
    <t xml:space="preserve">05/09/2025</t>
  </si>
  <si>
    <t xml:space="preserve">03/01/2026</t>
  </si>
  <si>
    <t xml:space="preserve">ENERO</t>
  </si>
  <si>
    <t xml:space="preserve">+90</t>
  </si>
  <si>
    <t xml:space="preserve">354</t>
  </si>
  <si>
    <t xml:space="preserve">15/12/2025</t>
  </si>
  <si>
    <t xml:space="preserve">04/01/2026</t>
  </si>
  <si>
    <t xml:space="preserve">341</t>
  </si>
  <si>
    <t xml:space="preserve">11/12/2025</t>
  </si>
  <si>
    <t xml:space="preserve">10/01/2026</t>
  </si>
  <si>
    <t xml:space="preserve">332</t>
  </si>
  <si>
    <t xml:space="preserve">04/12/2025</t>
  </si>
  <si>
    <t xml:space="preserve">11/01/2026</t>
  </si>
  <si>
    <t xml:space="preserve">AGRICOLA RIBERA LIMITADA</t>
  </si>
  <si>
    <t xml:space="preserve">425</t>
  </si>
  <si>
    <t xml:space="preserve">13/01/2026</t>
  </si>
  <si>
    <t xml:space="preserve">15/01/2026</t>
  </si>
  <si>
    <t xml:space="preserve">AGROINSUMOS KULLIN</t>
  </si>
  <si>
    <t xml:space="preserve">416</t>
  </si>
  <si>
    <t xml:space="preserve">12/01/2026</t>
  </si>
  <si>
    <t xml:space="preserve">22/01/2026</t>
  </si>
  <si>
    <t xml:space="preserve">61-90</t>
  </si>
  <si>
    <t xml:space="preserve">Riesgo</t>
  </si>
  <si>
    <t xml:space="preserve">415</t>
  </si>
  <si>
    <t xml:space="preserve">414</t>
  </si>
  <si>
    <t xml:space="preserve">04/02/2026</t>
  </si>
  <si>
    <t xml:space="preserve">FEBRERO</t>
  </si>
  <si>
    <t xml:space="preserve">10/02/2026</t>
  </si>
  <si>
    <t xml:space="preserve">11/02/2026</t>
  </si>
  <si>
    <t xml:space="preserve">MAGALY DEL CARMEN ORELLANA PINO</t>
  </si>
  <si>
    <t xml:space="preserve">272</t>
  </si>
  <si>
    <t xml:space="preserve">17/10/2025</t>
  </si>
  <si>
    <t xml:space="preserve">15/02/2026</t>
  </si>
  <si>
    <t xml:space="preserve">04/03/2026</t>
  </si>
  <si>
    <t xml:space="preserve">MARZO</t>
  </si>
  <si>
    <t xml:space="preserve">31-60</t>
  </si>
  <si>
    <t xml:space="preserve">483</t>
  </si>
  <si>
    <t xml:space="preserve">02/02/2026</t>
  </si>
  <si>
    <t xml:space="preserve">403</t>
  </si>
  <si>
    <t xml:space="preserve">07/01/2026</t>
  </si>
  <si>
    <t xml:space="preserve">06/03/2026</t>
  </si>
  <si>
    <t xml:space="preserve">AGRICOLA GOMEZ SPA</t>
  </si>
  <si>
    <t xml:space="preserve">347</t>
  </si>
  <si>
    <t xml:space="preserve">12/12/2025</t>
  </si>
  <si>
    <t xml:space="preserve">08/03/2026</t>
  </si>
  <si>
    <t xml:space="preserve">10/03/2026</t>
  </si>
  <si>
    <t xml:space="preserve">AGRICOLA QUINQUILHUE SPA</t>
  </si>
  <si>
    <t xml:space="preserve">552</t>
  </si>
  <si>
    <t xml:space="preserve">11/03/2026</t>
  </si>
  <si>
    <t xml:space="preserve">JOSE CRISTOBAL GONZALEZ CORREA</t>
  </si>
  <si>
    <t xml:space="preserve">494</t>
  </si>
  <si>
    <t xml:space="preserve">12/03/2026</t>
  </si>
  <si>
    <t xml:space="preserve">AGRICOLA LOS ALAMOS LTDA</t>
  </si>
  <si>
    <t xml:space="preserve">501</t>
  </si>
  <si>
    <t xml:space="preserve">AGRICOLA LUIS ANTONIO HERRERA AVENDANO E.I.R.L.</t>
  </si>
  <si>
    <t xml:space="preserve">555</t>
  </si>
  <si>
    <t xml:space="preserve">13/03/2026</t>
  </si>
  <si>
    <t xml:space="preserve">439</t>
  </si>
  <si>
    <t xml:space="preserve">05/01/2026</t>
  </si>
  <si>
    <t xml:space="preserve">17/03/2026</t>
  </si>
  <si>
    <t xml:space="preserve">CARLOS HUMBERTO CASTRO VALENZUELA</t>
  </si>
  <si>
    <t xml:space="preserve">565</t>
  </si>
  <si>
    <t xml:space="preserve">AGRICOLA TUNICHE LIMITADA</t>
  </si>
  <si>
    <t xml:space="preserve">545</t>
  </si>
  <si>
    <t xml:space="preserve">05/03/2026</t>
  </si>
  <si>
    <t xml:space="preserve">20/03/2026</t>
  </si>
  <si>
    <t xml:space="preserve">0-30</t>
  </si>
  <si>
    <t xml:space="preserve">JUAN FRANCISCO VARGAS MANCILLA</t>
  </si>
  <si>
    <t xml:space="preserve">453</t>
  </si>
  <si>
    <t xml:space="preserve">20/01/2026</t>
  </si>
  <si>
    <t xml:space="preserve">21/03/2026</t>
  </si>
  <si>
    <t xml:space="preserve">LEONARDO ENRIQUE OYARCE GENERAL</t>
  </si>
  <si>
    <t xml:space="preserve">525</t>
  </si>
  <si>
    <t xml:space="preserve">24/02/2026</t>
  </si>
  <si>
    <t xml:space="preserve">27/03/2026</t>
  </si>
  <si>
    <t xml:space="preserve">440</t>
  </si>
  <si>
    <t xml:space="preserve">29/03/2026</t>
  </si>
  <si>
    <t xml:space="preserve">BRIGITTE ELENA PARDO CONTRERAS</t>
  </si>
  <si>
    <t xml:space="preserve">558</t>
  </si>
  <si>
    <t xml:space="preserve">16/03/2026</t>
  </si>
  <si>
    <t xml:space="preserve">30/03/2026</t>
  </si>
  <si>
    <t xml:space="preserve">SOCIEDAD AGRÍCOLA COMERCIAL SIEMBRA SPA</t>
  </si>
  <si>
    <t xml:space="preserve">480</t>
  </si>
  <si>
    <t xml:space="preserve">29/01/2026</t>
  </si>
  <si>
    <t xml:space="preserve">559</t>
  </si>
  <si>
    <t xml:space="preserve">557</t>
  </si>
  <si>
    <t xml:space="preserve">438</t>
  </si>
  <si>
    <t xml:space="preserve">06/01/2026</t>
  </si>
  <si>
    <t xml:space="preserve">06/04/2026</t>
  </si>
  <si>
    <t xml:space="preserve">ABRIL</t>
  </si>
  <si>
    <t xml:space="preserve">437</t>
  </si>
  <si>
    <t xml:space="preserve">08/01/2026</t>
  </si>
  <si>
    <t xml:space="preserve">08/04/2026</t>
  </si>
  <si>
    <t xml:space="preserve">436</t>
  </si>
  <si>
    <t xml:space="preserve">09/04/2026</t>
  </si>
  <si>
    <t xml:space="preserve">CRR SERVICIOS SPA</t>
  </si>
  <si>
    <t xml:space="preserve">596</t>
  </si>
  <si>
    <t xml:space="preserve">10/04/2026</t>
  </si>
  <si>
    <t xml:space="preserve">595</t>
  </si>
  <si>
    <t xml:space="preserve">JUAN ENRIQUE VARGAS ALZAMORA</t>
  </si>
  <si>
    <t xml:space="preserve">602</t>
  </si>
  <si>
    <t xml:space="preserve">12/04/2026</t>
  </si>
  <si>
    <t xml:space="preserve">11/04/2026</t>
  </si>
  <si>
    <t xml:space="preserve">570</t>
  </si>
  <si>
    <t xml:space="preserve">19/03/2026</t>
  </si>
  <si>
    <t xml:space="preserve">13/04/2026</t>
  </si>
  <si>
    <t xml:space="preserve">571</t>
  </si>
  <si>
    <t xml:space="preserve">432</t>
  </si>
  <si>
    <t xml:space="preserve">14/01/2026</t>
  </si>
  <si>
    <t xml:space="preserve">14/04/2026</t>
  </si>
  <si>
    <t xml:space="preserve">433</t>
  </si>
  <si>
    <t xml:space="preserve">441</t>
  </si>
  <si>
    <t xml:space="preserve">15/04/2026</t>
  </si>
  <si>
    <t xml:space="preserve">442</t>
  </si>
  <si>
    <t xml:space="preserve">564</t>
  </si>
  <si>
    <t xml:space="preserve">16/04/2026</t>
  </si>
  <si>
    <t xml:space="preserve">AGRICOLA DON PEDRO SPA</t>
  </si>
  <si>
    <t xml:space="preserve">451</t>
  </si>
  <si>
    <t xml:space="preserve">20/04/2026</t>
  </si>
  <si>
    <t xml:space="preserve">COMERCIAL COPELEC SA</t>
  </si>
  <si>
    <t xml:space="preserve">574</t>
  </si>
  <si>
    <t xml:space="preserve">23/03/2026</t>
  </si>
  <si>
    <t xml:space="preserve">577</t>
  </si>
  <si>
    <t xml:space="preserve">25/03/2026</t>
  </si>
  <si>
    <t xml:space="preserve">24/04/2026</t>
  </si>
  <si>
    <t xml:space="preserve">RAUL JOFRE Y COMPAQIA LIMITADA</t>
  </si>
  <si>
    <t xml:space="preserve">475</t>
  </si>
  <si>
    <t xml:space="preserve">27/01/2026</t>
  </si>
  <si>
    <t xml:space="preserve">26/04/2026</t>
  </si>
  <si>
    <t xml:space="preserve">27/04/2026</t>
  </si>
  <si>
    <t xml:space="preserve">599</t>
  </si>
  <si>
    <t xml:space="preserve">30/04/2026</t>
  </si>
  <si>
    <t xml:space="preserve">395</t>
  </si>
  <si>
    <t xml:space="preserve">02/01/2026</t>
  </si>
  <si>
    <t xml:space="preserve">523</t>
  </si>
  <si>
    <t xml:space="preserve">23/02/2026</t>
  </si>
  <si>
    <t xml:space="preserve">479</t>
  </si>
  <si>
    <t xml:space="preserve">522</t>
  </si>
  <si>
    <t xml:space="preserve">521</t>
  </si>
  <si>
    <t xml:space="preserve">465</t>
  </si>
  <si>
    <t xml:space="preserve">23/01/2026</t>
  </si>
  <si>
    <t xml:space="preserve">485</t>
  </si>
  <si>
    <t xml:space="preserve">457</t>
  </si>
  <si>
    <t xml:space="preserve">21/01/2026</t>
  </si>
  <si>
    <t xml:space="preserve">458</t>
  </si>
  <si>
    <t xml:space="preserve">459</t>
  </si>
  <si>
    <t xml:space="preserve">598</t>
  </si>
  <si>
    <t xml:space="preserve">PERU · RESUMEN CARTERA POR COBRAR (ACTIVA)</t>
  </si>
  <si>
    <t xml:space="preserve">Corte: ~17.04.2026  |  Cartera activa: USD 108,903.71  |  Cedido a SUPRA: USD 196,840.50</t>
  </si>
  <si>
    <t xml:space="preserve">TOTAL USD</t>
  </si>
  <si>
    <t xml:space="preserve">LISBETH AGUIRRE</t>
  </si>
  <si>
    <t xml:space="preserve">OSCAR INFANTE</t>
  </si>
  <si>
    <t xml:space="preserve">OMAR ATALAYA</t>
  </si>
  <si>
    <t xml:space="preserve">JOSE GELDRES</t>
  </si>
  <si>
    <t xml:space="preserve">NICOLL NAVARRO</t>
  </si>
  <si>
    <t xml:space="preserve">nan</t>
  </si>
  <si>
    <t xml:space="preserve">GUILLERMO PRADENAS</t>
  </si>
  <si>
    <t xml:space="preserve">PATRICIA VALLADARES</t>
  </si>
  <si>
    <t xml:space="preserve">ANTONIO GONZALEZ</t>
  </si>
  <si>
    <t xml:space="preserve">  POR CLIENTE (TOP 15)</t>
  </si>
  <si>
    <t xml:space="preserve">CORPORACION ESAN E &amp; F SOCIEDAD ANONIMA </t>
  </si>
  <si>
    <t xml:space="preserve">AMFRESH PERU AGRISIL S.R.L.</t>
  </si>
  <si>
    <t xml:space="preserve">PAODISA S.A.</t>
  </si>
  <si>
    <t xml:space="preserve">AGROFER MJ E.I.R.L.</t>
  </si>
  <si>
    <t xml:space="preserve">POB S.A.C.</t>
  </si>
  <si>
    <t xml:space="preserve">UVICA S.A.C.</t>
  </si>
  <si>
    <t xml:space="preserve">SERVICIOS BIOINSUMOS PERU SOCIEDAD ANONI</t>
  </si>
  <si>
    <t xml:space="preserve">CORPORACION AGRICOLA OLMOS S.A</t>
  </si>
  <si>
    <t xml:space="preserve">AGRICOLA CARMEN LUISA S.A.C.</t>
  </si>
  <si>
    <t xml:space="preserve">UVICA</t>
  </si>
  <si>
    <t xml:space="preserve">SUREXPORT PERU BERRIES S.A.C</t>
  </si>
  <si>
    <t xml:space="preserve">MANUELITA FYH S.A.C.</t>
  </si>
  <si>
    <t xml:space="preserve">PROCESOS AGROINDUSTRIALES SOCIEDAD ANONI</t>
  </si>
  <si>
    <t xml:space="preserve">LUNA QUINTANILLA BRYAN ALEXANDER</t>
  </si>
  <si>
    <t xml:space="preserve">CORPORACION AGROLATINA S.A.C.</t>
  </si>
  <si>
    <t xml:space="preserve">PERU · DETALLE FACTURAS — ACTIVAS + CEDIDAS A SUPRA</t>
  </si>
  <si>
    <t xml:space="preserve">  FACTURAS ACTIVAS · USD 108,903.71</t>
  </si>
  <si>
    <t xml:space="preserve">SALDO USD</t>
  </si>
  <si>
    <t xml:space="preserve">993</t>
  </si>
  <si>
    <t xml:space="preserve">JUNIO 2026</t>
  </si>
  <si>
    <t xml:space="preserve">CORPORACION ESAN E &amp; F SOCIEDAD ANONIMA CE</t>
  </si>
  <si>
    <t xml:space="preserve">970</t>
  </si>
  <si>
    <t xml:space="preserve">671</t>
  </si>
  <si>
    <t xml:space="preserve">OCTUBRE 2025</t>
  </si>
  <si>
    <t xml:space="preserve">965</t>
  </si>
  <si>
    <t xml:space="preserve">MAYO 2026</t>
  </si>
  <si>
    <t xml:space="preserve">960</t>
  </si>
  <si>
    <t xml:space="preserve">928</t>
  </si>
  <si>
    <t xml:space="preserve">ABRIL 2026</t>
  </si>
  <si>
    <t xml:space="preserve">579</t>
  </si>
  <si>
    <t xml:space="preserve">ENERO 2025</t>
  </si>
  <si>
    <t xml:space="preserve">SERVICIOS BIOINSUMOS PERU SOCIEDAD ANONIMA</t>
  </si>
  <si>
    <t xml:space="preserve">887</t>
  </si>
  <si>
    <t xml:space="preserve">939</t>
  </si>
  <si>
    <t xml:space="preserve">929</t>
  </si>
  <si>
    <t xml:space="preserve">538</t>
  </si>
  <si>
    <t xml:space="preserve">NOVIEMBRE 2024</t>
  </si>
  <si>
    <t xml:space="preserve">983</t>
  </si>
  <si>
    <t xml:space="preserve">PROCESOS AGROINDUSTRIALES SOCIEDAD ANONIMA</t>
  </si>
  <si>
    <t xml:space="preserve">907</t>
  </si>
  <si>
    <t xml:space="preserve">MARZO 2026</t>
  </si>
  <si>
    <t xml:space="preserve">1009</t>
  </si>
  <si>
    <t xml:space="preserve">AGOSTO 2026</t>
  </si>
  <si>
    <t xml:space="preserve">969</t>
  </si>
  <si>
    <t xml:space="preserve">977</t>
  </si>
  <si>
    <t xml:space="preserve">918</t>
  </si>
  <si>
    <t xml:space="preserve">937</t>
  </si>
  <si>
    <t xml:space="preserve">891</t>
  </si>
  <si>
    <t xml:space="preserve">992</t>
  </si>
  <si>
    <t xml:space="preserve">509</t>
  </si>
  <si>
    <t xml:space="preserve">JULIO 2024</t>
  </si>
  <si>
    <t xml:space="preserve">930</t>
  </si>
  <si>
    <t xml:space="preserve">948</t>
  </si>
  <si>
    <t xml:space="preserve">841</t>
  </si>
  <si>
    <t xml:space="preserve">FEBRERO 2026</t>
  </si>
  <si>
    <t xml:space="preserve">817</t>
  </si>
  <si>
    <t xml:space="preserve">743</t>
  </si>
  <si>
    <t xml:space="preserve">DICIEMBRE 2025</t>
  </si>
  <si>
    <t xml:space="preserve">1004</t>
  </si>
  <si>
    <t xml:space="preserve">1003</t>
  </si>
  <si>
    <t xml:space="preserve">967</t>
  </si>
  <si>
    <t xml:space="preserve">SOCIEDAD AGRICOLA 3P S.A.C.</t>
  </si>
  <si>
    <t xml:space="preserve">908</t>
  </si>
  <si>
    <t xml:space="preserve">958</t>
  </si>
  <si>
    <t xml:space="preserve">EPIC FARMS S.A.C.</t>
  </si>
  <si>
    <t xml:space="preserve">917</t>
  </si>
  <si>
    <t xml:space="preserve">ENERO 2026</t>
  </si>
  <si>
    <t xml:space="preserve">981</t>
  </si>
  <si>
    <t xml:space="preserve">847</t>
  </si>
  <si>
    <t xml:space="preserve">CORPORACION AGROLATINA S.A.C</t>
  </si>
  <si>
    <t xml:space="preserve">916</t>
  </si>
  <si>
    <t xml:space="preserve">936</t>
  </si>
  <si>
    <t xml:space="preserve">SOCIEDAD EXPORTADORA VERFRUT SOCIEDAD ANON</t>
  </si>
  <si>
    <t xml:space="preserve">998</t>
  </si>
  <si>
    <t xml:space="preserve">984</t>
  </si>
  <si>
    <t xml:space="preserve">INVERSIONES AJS S.A.C.</t>
  </si>
  <si>
    <t xml:space="preserve">941</t>
  </si>
  <si>
    <t xml:space="preserve">1010</t>
  </si>
  <si>
    <t xml:space="preserve">1011</t>
  </si>
  <si>
    <t xml:space="preserve">1006</t>
  </si>
  <si>
    <t xml:space="preserve">982</t>
  </si>
  <si>
    <t xml:space="preserve">986</t>
  </si>
  <si>
    <t xml:space="preserve">JULIO 2026</t>
  </si>
  <si>
    <t xml:space="preserve">989</t>
  </si>
  <si>
    <t xml:space="preserve">952</t>
  </si>
  <si>
    <t xml:space="preserve">972</t>
  </si>
  <si>
    <t xml:space="preserve">  CEDIDAS A SUPRA (16 facturas · USD 196,840.50) — NO EN CARTERA ACTIVA</t>
  </si>
  <si>
    <t xml:space="preserve">SOCIEDAD AGRICOLA DROKASA S.A</t>
  </si>
  <si>
    <t xml:space="preserve">PAGADO A SUPRA</t>
  </si>
  <si>
    <t xml:space="preserve">AGOSTO</t>
  </si>
  <si>
    <t xml:space="preserve">RVR AGRO S.R.L.</t>
  </si>
  <si>
    <t xml:space="preserve">SETIEMBRE</t>
  </si>
  <si>
    <t xml:space="preserve">476</t>
  </si>
  <si>
    <t xml:space="preserve">OCTUBRE</t>
  </si>
  <si>
    <t xml:space="preserve">492</t>
  </si>
  <si>
    <t xml:space="preserve">505</t>
  </si>
  <si>
    <t xml:space="preserve">NOVIEMBRE</t>
  </si>
  <si>
    <t xml:space="preserve">508</t>
  </si>
  <si>
    <t xml:space="preserve">536</t>
  </si>
  <si>
    <t xml:space="preserve">550</t>
  </si>
  <si>
    <t xml:space="preserve">DICIEMBRE</t>
  </si>
  <si>
    <t xml:space="preserve">553</t>
  </si>
  <si>
    <t xml:space="preserve">556</t>
  </si>
  <si>
    <t xml:space="preserve">ALERTAS CxC · CLIENTES EN RIESGO — ACCIÓN REQUERIDA</t>
  </si>
  <si>
    <t xml:space="preserve">  CHILE · CLIENTES CRÍTICOS Y EN RIESGO</t>
  </si>
  <si>
    <t xml:space="preserve">SALDO CLP</t>
  </si>
  <si>
    <t xml:space="preserve">DÍAS MAX MORA</t>
  </si>
  <si>
    <t xml:space="preserve">ACCIÓN RECOMENDADA</t>
  </si>
  <si>
    <t xml:space="preserve">AGROCOMERCIAL Y GANADERA LOMA LARGA LIMI</t>
  </si>
  <si>
    <t xml:space="preserve">Escalada inmediata. CLP 6.1M en +61 días. Reunión dirección esta semana.</t>
  </si>
  <si>
    <t xml:space="preserve">99 días de mora. Evaluar acción legal. Jorge Caroca a cargo.</t>
  </si>
  <si>
    <t xml:space="preserve">87 días mora. Contacto urgente + acuerdo de pago.</t>
  </si>
  <si>
    <t xml:space="preserve">80 días mora. 3 facturas. Gestión activa Pablo Laratro.</t>
  </si>
  <si>
    <t xml:space="preserve">Gestión urgente · 61 días mora</t>
  </si>
  <si>
    <t xml:space="preserve">  RESUMEN EXPOSICIÓN CHILE EN RIESGO/CRÍTICO: CLP 20,558,435 (34.1% DE CARTERA)</t>
  </si>
  <si>
    <t xml:space="preserve">  PERU · FACTURAS CON MORA CRÍTICA</t>
  </si>
  <si>
    <t xml:space="preserve">Riesgo: mora 2-14 meses. Gestión activa de cobranza.</t>
  </si>
  <si>
    <t xml:space="preserve">Crítico: mora +18 meses. Contacto inmediato o acción legal.</t>
  </si>
  <si>
    <t xml:space="preserve">Alerta: vencida reciente. Contacto preventivo.</t>
  </si>
  <si>
    <t xml:space="preserve">  RESUMEN EXPOSICIÓN PERU VENCIDA: USD 28,860.65 (26.5% DE CARTERA ACTIVA)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</si>
</sst>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2C3E50"/>
        <bgColor rgb="FF1A3A5C"/>
      </patternFill>
    </fill>
    <fill>
      <patternFill patternType="solid">
        <fgColor rgb="FFFAFAFA"/>
        <bgColor rgb="FFF8F9FA"/>
      </patternFill>
    </fill>
    <fill>
      <patternFill patternType="solid">
        <fgColor rgb="FF1A5E34"/>
        <bgColor rgb="FF2E7D52"/>
      </patternFill>
    </fill>
    <fill>
      <patternFill patternType="solid">
        <fgColor rgb="FFF8F9FA"/>
        <bgColor rgb="FFFAFAFA"/>
      </patternFill>
    </fill>
    <fill>
      <patternFill patternType="solid">
        <fgColor rgb="FFFADBD8"/>
        <bgColor rgb="FFFAE5D3"/>
      </patternFill>
    </fill>
    <fill>
      <patternFill patternType="solid">
        <fgColor rgb="FF922B21"/>
        <bgColor rgb="FFA04000"/>
      </patternFill>
    </fill>
    <fill>
      <patternFill patternType="solid">
        <fgColor rgb="FFF0F4F8"/>
        <bgColor rgb="FFECF0F1"/>
      </patternFill>
    </fill>
    <fill>
      <patternFill patternType="solid">
        <fgColor rgb="FFFFFFFF"/>
        <bgColor rgb="FFFAFAFA"/>
      </patternFill>
    </fill>
    <fill>
      <patternFill patternType="solid">
        <fgColor rgb="FFFEF9E7"/>
        <bgColor rgb="FFFAFAFA"/>
      </patternFill>
    </fill>
    <fill>
      <patternFill patternType="solid">
        <fgColor rgb="FFFAE5D3"/>
        <bgColor rgb="FFFADBD8"/>
      </patternFill>
    </fill>
    <fill>
      <patternFill patternType="solid">
        <fgColor rgb="FFECF0F1"/>
        <bgColor rgb="FFF0F4F8"/>
      </patternFill>
    </fill>
    <fill>
      <patternFill patternType="solid">
        <fgColor rgb="FF2E7D52"/>
        <bgColor rgb="FF1A5E34"/>
      </patternFill>
    </fill>
    <fill>
      <patternFill patternType="solid">
        <fgColor rgb="FFA04000"/>
        <bgColor rgb="FF922B21"/>
      </patternFill>
    </fill>
    <fill>
      <patternFill patternType="solid">
        <fgColor rgb="FFC07000"/>
        <bgColor rgb="FF808000"/>
      </patternFill>
    </fill>
    <fill>
      <patternFill patternType="solid">
        <fgColor rgb="FFD5E8D4"/>
        <bgColor rgb="FFECF0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4"/>
      <rgbColor rgb="FF000080"/>
      <rgbColor rgb="FF808000"/>
      <rgbColor rgb="FF800080"/>
      <rgbColor rgb="FF008080"/>
      <rgbColor rgb="FFCCCCCC"/>
      <rgbColor rgb="FF808080"/>
      <rgbColor rgb="FF9999FF"/>
      <rgbColor rgb="FF922B21"/>
      <rgbColor rgb="FFFEF9E7"/>
      <rgbColor rgb="FFECF0F1"/>
      <rgbColor rgb="FF660066"/>
      <rgbColor rgb="FFFF8080"/>
      <rgbColor rgb="FF0066CC"/>
      <rgbColor rgb="FFF8F9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5E8D4"/>
      <rgbColor rgb="FFFAE5D3"/>
      <rgbColor rgb="FFFAFAFA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C07000"/>
      <rgbColor rgb="FF666666"/>
      <rgbColor rgb="FF999999"/>
      <rgbColor rgb="FF1A3A5C"/>
      <rgbColor rgb="FF2E7D52"/>
      <rgbColor rgb="FF003300"/>
      <rgbColor rgb="FF444444"/>
      <rgbColor rgb="FFA040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20"/>
    <col collapsed="false" customWidth="true" hidden="false" outlineLevel="0" max="6" min="6" style="0" width="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8" hidden="false" customHeight="true" outlineLevel="0" collapsed="false"/>
    <row r="5" customFormat="false" ht="19.5" hidden="false" customHeight="true" outlineLevel="0" collapsed="false"/>
    <row r="6" customFormat="false" ht="27.75" hidden="false" customHeight="true" outlineLevel="0" collapsed="false">
      <c r="A6" s="4" t="s">
        <v>2</v>
      </c>
      <c r="B6" s="4"/>
      <c r="C6" s="4"/>
      <c r="D6" s="4"/>
      <c r="E6" s="4"/>
      <c r="F6" s="4"/>
    </row>
    <row r="7" customFormat="false" ht="9.75" hidden="false" customHeight="true" outlineLevel="0" collapsed="false">
      <c r="A7" s="5"/>
      <c r="B7" s="5"/>
      <c r="C7" s="5"/>
      <c r="D7" s="5"/>
      <c r="E7" s="5"/>
      <c r="F7" s="5"/>
    </row>
    <row r="8" customFormat="false" ht="19.5" hidden="false" customHeight="true" outlineLevel="0" collapsed="false">
      <c r="B8" s="6" t="s">
        <v>3</v>
      </c>
      <c r="C8" s="6"/>
      <c r="D8" s="6"/>
      <c r="E8" s="6"/>
    </row>
    <row r="9" customFormat="false" ht="21.75" hidden="false" customHeight="true" outlineLevel="0" collapsed="false">
      <c r="A9" s="7"/>
      <c r="B9" s="8" t="s">
        <v>4</v>
      </c>
      <c r="C9" s="9" t="s">
        <v>5</v>
      </c>
      <c r="D9" s="10" t="s">
        <v>6</v>
      </c>
      <c r="E9" s="7"/>
      <c r="F9" s="7"/>
    </row>
    <row r="10" customFormat="false" ht="21.75" hidden="false" customHeight="true" outlineLevel="0" collapsed="false">
      <c r="A10" s="7"/>
      <c r="B10" s="8" t="s">
        <v>7</v>
      </c>
      <c r="C10" s="9" t="s">
        <v>8</v>
      </c>
      <c r="D10" s="10" t="s">
        <v>9</v>
      </c>
      <c r="E10" s="7"/>
      <c r="F10" s="7"/>
    </row>
    <row r="11" customFormat="false" ht="21.75" hidden="false" customHeight="true" outlineLevel="0" collapsed="false">
      <c r="A11" s="7"/>
      <c r="B11" s="8" t="s">
        <v>10</v>
      </c>
      <c r="C11" s="9" t="s">
        <v>11</v>
      </c>
      <c r="D11" s="10" t="s">
        <v>12</v>
      </c>
      <c r="E11" s="7"/>
      <c r="F11" s="7"/>
    </row>
    <row r="12" customFormat="false" ht="21.75" hidden="false" customHeight="true" outlineLevel="0" collapsed="false">
      <c r="A12" s="11"/>
      <c r="B12" s="12" t="s">
        <v>13</v>
      </c>
      <c r="C12" s="13" t="s">
        <v>14</v>
      </c>
      <c r="D12" s="14" t="s">
        <v>15</v>
      </c>
      <c r="E12" s="11"/>
      <c r="F12" s="11"/>
    </row>
    <row r="13" customFormat="false" ht="21.75" hidden="false" customHeight="true" outlineLevel="0" collapsed="false">
      <c r="A13" s="7"/>
      <c r="B13" s="8" t="s">
        <v>16</v>
      </c>
      <c r="C13" s="9" t="s">
        <v>17</v>
      </c>
      <c r="D13" s="10" t="s">
        <v>18</v>
      </c>
      <c r="E13" s="7"/>
      <c r="F13" s="7"/>
    </row>
    <row r="14" customFormat="false" ht="9.75" hidden="false" customHeight="true" outlineLevel="0" collapsed="false">
      <c r="A14" s="5"/>
      <c r="B14" s="5"/>
      <c r="C14" s="5"/>
      <c r="D14" s="5"/>
      <c r="E14" s="5"/>
      <c r="F14" s="5"/>
    </row>
    <row r="15" customFormat="false" ht="19.5" hidden="false" customHeight="true" outlineLevel="0" collapsed="false">
      <c r="B15" s="6" t="s">
        <v>19</v>
      </c>
      <c r="C15" s="6"/>
      <c r="D15" s="6"/>
      <c r="E15" s="6"/>
    </row>
    <row r="16" customFormat="false" ht="21.75" hidden="false" customHeight="true" outlineLevel="0" collapsed="false">
      <c r="A16" s="7"/>
      <c r="B16" s="8" t="s">
        <v>20</v>
      </c>
      <c r="C16" s="9" t="s">
        <v>21</v>
      </c>
      <c r="D16" s="10" t="s">
        <v>22</v>
      </c>
      <c r="E16" s="7"/>
      <c r="F16" s="7"/>
    </row>
    <row r="17" customFormat="false" ht="21.75" hidden="false" customHeight="true" outlineLevel="0" collapsed="false">
      <c r="A17" s="11"/>
      <c r="B17" s="12" t="s">
        <v>23</v>
      </c>
      <c r="C17" s="13" t="s">
        <v>24</v>
      </c>
      <c r="D17" s="14" t="s">
        <v>25</v>
      </c>
      <c r="E17" s="11"/>
      <c r="F17" s="11"/>
    </row>
    <row r="18" customFormat="false" ht="21.75" hidden="false" customHeight="true" outlineLevel="0" collapsed="false">
      <c r="A18" s="7"/>
      <c r="B18" s="8" t="s">
        <v>26</v>
      </c>
      <c r="C18" s="9" t="s">
        <v>27</v>
      </c>
      <c r="D18" s="10" t="s">
        <v>28</v>
      </c>
      <c r="E18" s="7"/>
      <c r="F18" s="7"/>
    </row>
    <row r="19" customFormat="false" ht="21.75" hidden="false" customHeight="true" outlineLevel="0" collapsed="false">
      <c r="A19" s="7"/>
      <c r="B19" s="8" t="s">
        <v>29</v>
      </c>
      <c r="C19" s="9" t="s">
        <v>30</v>
      </c>
      <c r="D19" s="10" t="s">
        <v>31</v>
      </c>
      <c r="E19" s="7"/>
      <c r="F19" s="7"/>
    </row>
    <row r="20" customFormat="false" ht="9.75" hidden="false" customHeight="true" outlineLevel="0" collapsed="false">
      <c r="A20" s="5"/>
      <c r="B20" s="5"/>
      <c r="C20" s="5"/>
      <c r="D20" s="5"/>
      <c r="E20" s="5"/>
      <c r="F20" s="5"/>
    </row>
    <row r="21" customFormat="false" ht="19.5" hidden="false" customHeight="true" outlineLevel="0" collapsed="false">
      <c r="B21" s="15" t="s">
        <v>32</v>
      </c>
      <c r="C21" s="15"/>
      <c r="D21" s="15"/>
      <c r="E21" s="15"/>
    </row>
    <row r="22" customFormat="false" ht="21.75" hidden="false" customHeight="true" outlineLevel="0" collapsed="false">
      <c r="A22" s="11"/>
      <c r="B22" s="12" t="s">
        <v>33</v>
      </c>
      <c r="C22" s="13" t="s">
        <v>34</v>
      </c>
      <c r="D22" s="14" t="s">
        <v>35</v>
      </c>
      <c r="E22" s="11"/>
      <c r="F22" s="11"/>
    </row>
    <row r="23" customFormat="false" ht="21.75" hidden="false" customHeight="true" outlineLevel="0" collapsed="false">
      <c r="A23" s="11"/>
      <c r="B23" s="12" t="s">
        <v>36</v>
      </c>
      <c r="C23" s="13" t="s">
        <v>37</v>
      </c>
      <c r="D23" s="14" t="s">
        <v>38</v>
      </c>
      <c r="E23" s="11"/>
      <c r="F23" s="11"/>
    </row>
    <row r="24" customFormat="false" ht="21.75" hidden="false" customHeight="true" outlineLevel="0" collapsed="false">
      <c r="A24" s="11"/>
      <c r="B24" s="12" t="s">
        <v>39</v>
      </c>
      <c r="C24" s="13" t="s">
        <v>40</v>
      </c>
      <c r="D24" s="14" t="s">
        <v>41</v>
      </c>
      <c r="E24" s="11"/>
      <c r="F24" s="11"/>
    </row>
    <row r="25" customFormat="false" ht="9.75" hidden="false" customHeight="true" outlineLevel="0" collapsed="false">
      <c r="A25" s="5"/>
      <c r="B25" s="5"/>
      <c r="C25" s="5"/>
      <c r="D25" s="5"/>
      <c r="E25" s="5"/>
      <c r="F25" s="5"/>
    </row>
    <row r="26" customFormat="false" ht="25.5" hidden="false" customHeight="true" outlineLevel="0" collapsed="false">
      <c r="A26" s="16" t="s">
        <v>42</v>
      </c>
      <c r="B26" s="16"/>
      <c r="C26" s="16"/>
      <c r="D26" s="16"/>
      <c r="E26" s="16"/>
      <c r="F26" s="16"/>
    </row>
    <row r="27" customFormat="false" ht="18" hidden="false" customHeight="true" outlineLevel="0" collapsed="false">
      <c r="A27" s="17"/>
      <c r="B27" s="18" t="s">
        <v>43</v>
      </c>
      <c r="C27" s="19" t="s">
        <v>44</v>
      </c>
      <c r="D27" s="17"/>
      <c r="E27" s="17"/>
      <c r="F27" s="17"/>
    </row>
    <row r="28" customFormat="false" ht="18" hidden="false" customHeight="true" outlineLevel="0" collapsed="false">
      <c r="A28" s="20"/>
      <c r="B28" s="21" t="s">
        <v>45</v>
      </c>
      <c r="C28" s="22" t="s">
        <v>46</v>
      </c>
      <c r="D28" s="20"/>
      <c r="E28" s="20"/>
      <c r="F28" s="20"/>
    </row>
    <row r="29" customFormat="false" ht="18" hidden="false" customHeight="true" outlineLevel="0" collapsed="false">
      <c r="A29" s="17"/>
      <c r="B29" s="18" t="s">
        <v>47</v>
      </c>
      <c r="C29" s="19" t="s">
        <v>48</v>
      </c>
      <c r="D29" s="17"/>
      <c r="E29" s="17"/>
      <c r="F29" s="17"/>
    </row>
    <row r="30" customFormat="false" ht="18" hidden="false" customHeight="true" outlineLevel="0" collapsed="false">
      <c r="A30" s="20"/>
      <c r="B30" s="21" t="s">
        <v>49</v>
      </c>
      <c r="C30" s="22" t="s">
        <v>50</v>
      </c>
      <c r="D30" s="20"/>
      <c r="E30" s="20"/>
      <c r="F30" s="20"/>
    </row>
    <row r="31" customFormat="false" ht="18" hidden="false" customHeight="true" outlineLevel="0" collapsed="false">
      <c r="A31" s="17"/>
      <c r="B31" s="18" t="s">
        <v>51</v>
      </c>
      <c r="C31" s="19" t="s">
        <v>52</v>
      </c>
      <c r="D31" s="17"/>
      <c r="E31" s="17"/>
      <c r="F31" s="17"/>
    </row>
    <row r="32" customFormat="false" ht="18" hidden="false" customHeight="true" outlineLevel="0" collapsed="false">
      <c r="A32" s="20"/>
      <c r="B32" s="21" t="s">
        <v>53</v>
      </c>
      <c r="C32" s="22" t="s">
        <v>54</v>
      </c>
      <c r="D32" s="20"/>
      <c r="E32" s="20"/>
      <c r="F32" s="20"/>
    </row>
  </sheetData>
  <mergeCells count="8">
    <mergeCell ref="A1:F1"/>
    <mergeCell ref="A2:F2"/>
    <mergeCell ref="A3:F3"/>
    <mergeCell ref="A6:F6"/>
    <mergeCell ref="B8:E8"/>
    <mergeCell ref="B15:E15"/>
    <mergeCell ref="B21:E2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E34"/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3" t="s">
        <v>55</v>
      </c>
      <c r="B2" s="23"/>
      <c r="C2" s="23"/>
      <c r="D2" s="23"/>
      <c r="E2" s="23"/>
      <c r="F2" s="23"/>
      <c r="G2" s="23"/>
    </row>
    <row r="3" customFormat="false" ht="18" hidden="false" customHeight="true" outlineLevel="0" collapsed="false">
      <c r="A3" s="24" t="s">
        <v>56</v>
      </c>
      <c r="B3" s="24"/>
      <c r="C3" s="24"/>
      <c r="D3" s="24"/>
      <c r="E3" s="24"/>
      <c r="F3" s="24"/>
      <c r="G3" s="24"/>
    </row>
    <row r="5" customFormat="false" ht="21.75" hidden="false" customHeight="true" outlineLevel="0" collapsed="false">
      <c r="B5" s="25" t="s">
        <v>57</v>
      </c>
      <c r="C5" s="25"/>
      <c r="D5" s="25"/>
      <c r="E5" s="25"/>
      <c r="F5" s="25"/>
    </row>
    <row r="6" customFormat="false" ht="21.75" hidden="false" customHeight="true" outlineLevel="0" collapsed="false">
      <c r="B6" s="26" t="s">
        <v>58</v>
      </c>
      <c r="C6" s="26" t="s">
        <v>59</v>
      </c>
      <c r="D6" s="26" t="s">
        <v>60</v>
      </c>
      <c r="E6" s="26" t="s">
        <v>61</v>
      </c>
      <c r="F6" s="26" t="s">
        <v>62</v>
      </c>
    </row>
    <row r="7" customFormat="false" ht="18" hidden="false" customHeight="true" outlineLevel="0" collapsed="false">
      <c r="B7" s="27" t="s">
        <v>63</v>
      </c>
      <c r="C7" s="28" t="n">
        <v>27382596</v>
      </c>
      <c r="D7" s="29" t="n">
        <v>30</v>
      </c>
      <c r="E7" s="29" t="n">
        <v>103</v>
      </c>
      <c r="F7" s="30" t="n">
        <v>0.453708296139574</v>
      </c>
    </row>
    <row r="8" customFormat="false" ht="18" hidden="false" customHeight="true" outlineLevel="0" collapsed="false">
      <c r="B8" s="27" t="s">
        <v>64</v>
      </c>
      <c r="C8" s="28" t="n">
        <v>12958417</v>
      </c>
      <c r="D8" s="29" t="n">
        <v>8</v>
      </c>
      <c r="E8" s="29" t="n">
        <v>104</v>
      </c>
      <c r="F8" s="30" t="n">
        <v>0.214710880507315</v>
      </c>
    </row>
    <row r="9" customFormat="false" ht="18" hidden="false" customHeight="true" outlineLevel="0" collapsed="false">
      <c r="B9" s="27" t="s">
        <v>65</v>
      </c>
      <c r="C9" s="28" t="n">
        <v>12704454</v>
      </c>
      <c r="D9" s="29" t="n">
        <v>13</v>
      </c>
      <c r="E9" s="29" t="n">
        <v>36</v>
      </c>
      <c r="F9" s="30" t="n">
        <v>0.210502911328188</v>
      </c>
    </row>
    <row r="10" customFormat="false" ht="18" hidden="false" customHeight="true" outlineLevel="0" collapsed="false">
      <c r="B10" s="27" t="s">
        <v>66</v>
      </c>
      <c r="C10" s="28" t="n">
        <v>5194945</v>
      </c>
      <c r="D10" s="29" t="n">
        <v>5</v>
      </c>
      <c r="E10" s="29" t="n">
        <v>40</v>
      </c>
      <c r="F10" s="30" t="n">
        <v>0.0860761939623547</v>
      </c>
    </row>
    <row r="11" customFormat="false" ht="18" hidden="false" customHeight="true" outlineLevel="0" collapsed="false">
      <c r="B11" s="27" t="s">
        <v>67</v>
      </c>
      <c r="C11" s="28" t="n">
        <v>1147043</v>
      </c>
      <c r="D11" s="29" t="n">
        <v>3</v>
      </c>
      <c r="E11" s="29" t="n">
        <v>18</v>
      </c>
      <c r="F11" s="30" t="n">
        <v>0.0190056094436344</v>
      </c>
    </row>
    <row r="12" customFormat="false" ht="18" hidden="false" customHeight="true" outlineLevel="0" collapsed="false">
      <c r="B12" s="27" t="s">
        <v>68</v>
      </c>
      <c r="C12" s="28" t="n">
        <v>755326</v>
      </c>
      <c r="D12" s="29" t="n">
        <v>1</v>
      </c>
      <c r="E12" s="29" t="n">
        <v>-3</v>
      </c>
      <c r="F12" s="30" t="n">
        <v>0.0125151637372118</v>
      </c>
    </row>
    <row r="13" customFormat="false" ht="18" hidden="false" customHeight="true" outlineLevel="0" collapsed="false">
      <c r="B13" s="27" t="s">
        <v>69</v>
      </c>
      <c r="C13" s="28" t="n">
        <v>170259</v>
      </c>
      <c r="D13" s="29" t="n">
        <v>1</v>
      </c>
      <c r="E13" s="29" t="n">
        <v>27</v>
      </c>
      <c r="F13" s="30" t="n">
        <v>0.00282105906950633</v>
      </c>
    </row>
    <row r="14" customFormat="false" ht="18" hidden="false" customHeight="true" outlineLevel="0" collapsed="false">
      <c r="B14" s="27" t="s">
        <v>70</v>
      </c>
      <c r="C14" s="28" t="n">
        <v>39826</v>
      </c>
      <c r="D14" s="29" t="n">
        <v>1</v>
      </c>
      <c r="E14" s="29" t="n">
        <v>7</v>
      </c>
      <c r="F14" s="30" t="n">
        <v>0.000659885812216441</v>
      </c>
    </row>
    <row r="15" customFormat="false" ht="19.5" hidden="false" customHeight="true" outlineLevel="0" collapsed="false">
      <c r="B15" s="31" t="s">
        <v>71</v>
      </c>
      <c r="C15" s="32" t="n">
        <f aca="false">SUM(C7:C14)</f>
        <v>60352866</v>
      </c>
      <c r="D15" s="33"/>
      <c r="E15" s="33"/>
      <c r="F15" s="34" t="s">
        <v>72</v>
      </c>
      <c r="G15" s="33"/>
    </row>
    <row r="17" customFormat="false" ht="21.75" hidden="false" customHeight="true" outlineLevel="0" collapsed="false">
      <c r="B17" s="25" t="s">
        <v>73</v>
      </c>
      <c r="C17" s="25"/>
      <c r="D17" s="25"/>
      <c r="E17" s="25"/>
      <c r="F17" s="25"/>
    </row>
    <row r="18" customFormat="false" ht="21.75" hidden="false" customHeight="true" outlineLevel="0" collapsed="false">
      <c r="B18" s="26" t="s">
        <v>74</v>
      </c>
      <c r="C18" s="26" t="s">
        <v>59</v>
      </c>
      <c r="D18" s="26" t="s">
        <v>62</v>
      </c>
      <c r="E18" s="26" t="s">
        <v>75</v>
      </c>
    </row>
    <row r="19" customFormat="false" ht="18" hidden="false" customHeight="true" outlineLevel="0" collapsed="false">
      <c r="B19" s="27" t="s">
        <v>76</v>
      </c>
      <c r="C19" s="28" t="n">
        <v>34530853</v>
      </c>
      <c r="D19" s="30" t="n">
        <v>0.572149349129501</v>
      </c>
      <c r="E19" s="27" t="s">
        <v>77</v>
      </c>
    </row>
    <row r="20" customFormat="false" ht="18" hidden="false" customHeight="true" outlineLevel="0" collapsed="false">
      <c r="B20" s="35" t="s">
        <v>78</v>
      </c>
      <c r="C20" s="36" t="n">
        <v>10658430</v>
      </c>
      <c r="D20" s="37" t="n">
        <v>0.176601886644455</v>
      </c>
      <c r="E20" s="35" t="s">
        <v>79</v>
      </c>
    </row>
    <row r="21" customFormat="false" ht="18" hidden="false" customHeight="true" outlineLevel="0" collapsed="false">
      <c r="B21" s="38" t="s">
        <v>80</v>
      </c>
      <c r="C21" s="39" t="n">
        <v>5299200</v>
      </c>
      <c r="D21" s="40" t="n">
        <v>0.0878036181413489</v>
      </c>
      <c r="E21" s="38" t="s">
        <v>81</v>
      </c>
    </row>
    <row r="22" customFormat="false" ht="18" hidden="false" customHeight="true" outlineLevel="0" collapsed="false">
      <c r="B22" s="41" t="s">
        <v>82</v>
      </c>
      <c r="C22" s="42" t="n">
        <v>9864383</v>
      </c>
      <c r="D22" s="43" t="n">
        <v>0.163445146084695</v>
      </c>
      <c r="E22" s="41" t="s">
        <v>83</v>
      </c>
    </row>
    <row r="23" customFormat="false" ht="19.5" hidden="false" customHeight="true" outlineLevel="0" collapsed="false">
      <c r="B23" s="31" t="s">
        <v>71</v>
      </c>
      <c r="C23" s="32" t="n">
        <f aca="false">SUM(C19:C22)</f>
        <v>60352866</v>
      </c>
      <c r="D23" s="33"/>
      <c r="E23" s="33"/>
      <c r="F23" s="33"/>
    </row>
    <row r="25" customFormat="false" ht="21.75" hidden="false" customHeight="true" outlineLevel="0" collapsed="false">
      <c r="B25" s="25" t="s">
        <v>84</v>
      </c>
      <c r="C25" s="25"/>
      <c r="D25" s="25"/>
      <c r="E25" s="25"/>
      <c r="F25" s="25"/>
    </row>
    <row r="26" customFormat="false" ht="21.75" hidden="false" customHeight="true" outlineLevel="0" collapsed="false">
      <c r="B26" s="26" t="s">
        <v>85</v>
      </c>
      <c r="C26" s="26" t="s">
        <v>58</v>
      </c>
      <c r="D26" s="26" t="s">
        <v>59</v>
      </c>
      <c r="E26" s="26" t="s">
        <v>86</v>
      </c>
      <c r="F26" s="26" t="s">
        <v>87</v>
      </c>
    </row>
    <row r="27" customFormat="false" ht="18" hidden="false" customHeight="true" outlineLevel="0" collapsed="false">
      <c r="B27" s="41" t="s">
        <v>88</v>
      </c>
      <c r="C27" s="41" t="s">
        <v>63</v>
      </c>
      <c r="D27" s="42" t="n">
        <v>13786727</v>
      </c>
      <c r="E27" s="44" t="n">
        <v>103</v>
      </c>
      <c r="F27" s="44" t="s">
        <v>89</v>
      </c>
    </row>
    <row r="28" customFormat="false" ht="18" hidden="false" customHeight="true" outlineLevel="0" collapsed="false">
      <c r="B28" s="27" t="s">
        <v>90</v>
      </c>
      <c r="C28" s="27" t="s">
        <v>65</v>
      </c>
      <c r="D28" s="28" t="n">
        <v>6039250</v>
      </c>
      <c r="E28" s="29" t="n">
        <v>19</v>
      </c>
      <c r="F28" s="29" t="s">
        <v>91</v>
      </c>
    </row>
    <row r="29" customFormat="false" ht="18" hidden="false" customHeight="true" outlineLevel="0" collapsed="false">
      <c r="B29" s="45" t="s">
        <v>92</v>
      </c>
      <c r="C29" s="45" t="s">
        <v>63</v>
      </c>
      <c r="D29" s="46" t="n">
        <v>5315694</v>
      </c>
      <c r="E29" s="47" t="n">
        <v>-13</v>
      </c>
      <c r="F29" s="47" t="s">
        <v>91</v>
      </c>
    </row>
    <row r="30" customFormat="false" ht="18" hidden="false" customHeight="true" outlineLevel="0" collapsed="false">
      <c r="B30" s="35" t="s">
        <v>90</v>
      </c>
      <c r="C30" s="35" t="s">
        <v>64</v>
      </c>
      <c r="D30" s="36" t="n">
        <v>4789750</v>
      </c>
      <c r="E30" s="48" t="n">
        <v>31</v>
      </c>
      <c r="F30" s="48" t="s">
        <v>93</v>
      </c>
    </row>
    <row r="31" customFormat="false" ht="18" hidden="false" customHeight="true" outlineLevel="0" collapsed="false">
      <c r="B31" s="45" t="s">
        <v>94</v>
      </c>
      <c r="C31" s="45" t="s">
        <v>65</v>
      </c>
      <c r="D31" s="46" t="n">
        <v>4550912</v>
      </c>
      <c r="E31" s="47" t="n">
        <v>-13</v>
      </c>
      <c r="F31" s="47" t="s">
        <v>91</v>
      </c>
    </row>
    <row r="32" customFormat="false" ht="18" hidden="false" customHeight="true" outlineLevel="0" collapsed="false">
      <c r="B32" s="41" t="s">
        <v>95</v>
      </c>
      <c r="C32" s="41" t="s">
        <v>64</v>
      </c>
      <c r="D32" s="42" t="n">
        <v>4194750</v>
      </c>
      <c r="E32" s="44" t="n">
        <v>104</v>
      </c>
      <c r="F32" s="44" t="s">
        <v>89</v>
      </c>
    </row>
    <row r="33" customFormat="false" ht="18" hidden="false" customHeight="true" outlineLevel="0" collapsed="false">
      <c r="B33" s="45" t="s">
        <v>96</v>
      </c>
      <c r="C33" s="45" t="s">
        <v>66</v>
      </c>
      <c r="D33" s="46" t="n">
        <v>2305625</v>
      </c>
      <c r="E33" s="47" t="n">
        <v>1</v>
      </c>
      <c r="F33" s="47" t="s">
        <v>91</v>
      </c>
    </row>
    <row r="34" customFormat="false" ht="18" hidden="false" customHeight="true" outlineLevel="0" collapsed="false">
      <c r="B34" s="27" t="s">
        <v>97</v>
      </c>
      <c r="C34" s="27" t="s">
        <v>64</v>
      </c>
      <c r="D34" s="28" t="n">
        <v>2224485</v>
      </c>
      <c r="E34" s="29" t="n">
        <v>3</v>
      </c>
      <c r="F34" s="29" t="s">
        <v>91</v>
      </c>
    </row>
    <row r="35" customFormat="false" ht="18" hidden="false" customHeight="true" outlineLevel="0" collapsed="false">
      <c r="B35" s="45" t="s">
        <v>98</v>
      </c>
      <c r="C35" s="45" t="s">
        <v>63</v>
      </c>
      <c r="D35" s="46" t="n">
        <v>2195550</v>
      </c>
      <c r="E35" s="47" t="n">
        <v>2</v>
      </c>
      <c r="F35" s="47" t="s">
        <v>91</v>
      </c>
    </row>
    <row r="36" customFormat="false" ht="18" hidden="false" customHeight="true" outlineLevel="0" collapsed="false">
      <c r="B36" s="35" t="s">
        <v>99</v>
      </c>
      <c r="C36" s="35" t="s">
        <v>63</v>
      </c>
      <c r="D36" s="36" t="n">
        <v>2072980</v>
      </c>
      <c r="E36" s="48" t="n">
        <v>44</v>
      </c>
      <c r="F36" s="48" t="s">
        <v>93</v>
      </c>
    </row>
  </sheetData>
  <mergeCells count="5">
    <mergeCell ref="A2:G2"/>
    <mergeCell ref="A3:G3"/>
    <mergeCell ref="B5:F5"/>
    <mergeCell ref="B17:F17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7.5" hidden="false" customHeight="true" outlineLevel="0" collapsed="false"/>
    <row r="2" customFormat="false" ht="30" hidden="false" customHeight="true" outlineLevel="0" collapsed="false">
      <c r="A2" s="49" t="s">
        <v>100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customFormat="false" ht="7.5" hidden="false" customHeight="true" outlineLevel="0" collapsed="false"/>
    <row r="4" customFormat="false" ht="21.75" hidden="false" customHeight="true" outlineLevel="0" collapsed="false">
      <c r="B4" s="26" t="s">
        <v>101</v>
      </c>
      <c r="C4" s="26" t="s">
        <v>58</v>
      </c>
      <c r="D4" s="26" t="s">
        <v>102</v>
      </c>
      <c r="E4" s="26" t="s">
        <v>103</v>
      </c>
      <c r="F4" s="26" t="s">
        <v>104</v>
      </c>
      <c r="G4" s="26" t="s">
        <v>105</v>
      </c>
      <c r="H4" s="26" t="s">
        <v>106</v>
      </c>
      <c r="I4" s="26" t="s">
        <v>74</v>
      </c>
      <c r="J4" s="26" t="s">
        <v>87</v>
      </c>
      <c r="K4" s="26" t="s">
        <v>59</v>
      </c>
    </row>
    <row r="5" customFormat="false" ht="18" hidden="false" customHeight="true" outlineLevel="0" collapsed="false">
      <c r="B5" s="41" t="s">
        <v>95</v>
      </c>
      <c r="C5" s="41" t="s">
        <v>64</v>
      </c>
      <c r="D5" s="44" t="s">
        <v>107</v>
      </c>
      <c r="E5" s="44" t="n">
        <v>104</v>
      </c>
      <c r="F5" s="44" t="s">
        <v>108</v>
      </c>
      <c r="G5" s="44" t="s">
        <v>109</v>
      </c>
      <c r="H5" s="44" t="s">
        <v>110</v>
      </c>
      <c r="I5" s="44" t="s">
        <v>111</v>
      </c>
      <c r="J5" s="44" t="s">
        <v>89</v>
      </c>
      <c r="K5" s="42" t="n">
        <v>4194750</v>
      </c>
    </row>
    <row r="6" customFormat="false" ht="18" hidden="false" customHeight="true" outlineLevel="0" collapsed="false">
      <c r="B6" s="41" t="s">
        <v>88</v>
      </c>
      <c r="C6" s="41" t="s">
        <v>63</v>
      </c>
      <c r="D6" s="44" t="s">
        <v>112</v>
      </c>
      <c r="E6" s="44" t="n">
        <v>103</v>
      </c>
      <c r="F6" s="44" t="s">
        <v>113</v>
      </c>
      <c r="G6" s="44" t="s">
        <v>114</v>
      </c>
      <c r="H6" s="44" t="s">
        <v>110</v>
      </c>
      <c r="I6" s="44" t="s">
        <v>111</v>
      </c>
      <c r="J6" s="44" t="s">
        <v>89</v>
      </c>
      <c r="K6" s="42" t="n">
        <v>2891224</v>
      </c>
    </row>
    <row r="7" customFormat="false" ht="18" hidden="false" customHeight="true" outlineLevel="0" collapsed="false">
      <c r="B7" s="41" t="s">
        <v>88</v>
      </c>
      <c r="C7" s="41" t="s">
        <v>63</v>
      </c>
      <c r="D7" s="44" t="s">
        <v>115</v>
      </c>
      <c r="E7" s="44" t="n">
        <v>97</v>
      </c>
      <c r="F7" s="44" t="s">
        <v>116</v>
      </c>
      <c r="G7" s="44" t="s">
        <v>117</v>
      </c>
      <c r="H7" s="44" t="s">
        <v>110</v>
      </c>
      <c r="I7" s="44" t="s">
        <v>111</v>
      </c>
      <c r="J7" s="44" t="s">
        <v>89</v>
      </c>
      <c r="K7" s="42" t="n">
        <v>863620</v>
      </c>
    </row>
    <row r="8" customFormat="false" ht="18" hidden="false" customHeight="true" outlineLevel="0" collapsed="false">
      <c r="B8" s="41" t="s">
        <v>88</v>
      </c>
      <c r="C8" s="41" t="s">
        <v>63</v>
      </c>
      <c r="D8" s="44" t="s">
        <v>118</v>
      </c>
      <c r="E8" s="44" t="n">
        <v>96</v>
      </c>
      <c r="F8" s="44" t="s">
        <v>119</v>
      </c>
      <c r="G8" s="44" t="s">
        <v>120</v>
      </c>
      <c r="H8" s="44" t="s">
        <v>110</v>
      </c>
      <c r="I8" s="44" t="s">
        <v>111</v>
      </c>
      <c r="J8" s="44" t="s">
        <v>89</v>
      </c>
      <c r="K8" s="42" t="n">
        <v>441093</v>
      </c>
    </row>
    <row r="9" customFormat="false" ht="18" hidden="false" customHeight="true" outlineLevel="0" collapsed="false">
      <c r="B9" s="41" t="s">
        <v>121</v>
      </c>
      <c r="C9" s="41" t="s">
        <v>64</v>
      </c>
      <c r="D9" s="44" t="s">
        <v>122</v>
      </c>
      <c r="E9" s="44" t="n">
        <v>92</v>
      </c>
      <c r="F9" s="44" t="s">
        <v>123</v>
      </c>
      <c r="G9" s="44" t="s">
        <v>124</v>
      </c>
      <c r="H9" s="44" t="s">
        <v>110</v>
      </c>
      <c r="I9" s="44" t="s">
        <v>111</v>
      </c>
      <c r="J9" s="44" t="s">
        <v>89</v>
      </c>
      <c r="K9" s="42" t="n">
        <v>1473696</v>
      </c>
    </row>
    <row r="10" customFormat="false" ht="18" hidden="false" customHeight="true" outlineLevel="0" collapsed="false">
      <c r="B10" s="38" t="s">
        <v>125</v>
      </c>
      <c r="C10" s="38" t="s">
        <v>63</v>
      </c>
      <c r="D10" s="50" t="s">
        <v>126</v>
      </c>
      <c r="E10" s="50" t="n">
        <v>85</v>
      </c>
      <c r="F10" s="50" t="s">
        <v>127</v>
      </c>
      <c r="G10" s="50" t="s">
        <v>128</v>
      </c>
      <c r="H10" s="50" t="s">
        <v>110</v>
      </c>
      <c r="I10" s="50" t="s">
        <v>129</v>
      </c>
      <c r="J10" s="50" t="s">
        <v>130</v>
      </c>
      <c r="K10" s="39" t="n">
        <v>499300</v>
      </c>
    </row>
    <row r="11" customFormat="false" ht="18" hidden="false" customHeight="true" outlineLevel="0" collapsed="false">
      <c r="B11" s="38" t="s">
        <v>125</v>
      </c>
      <c r="C11" s="38" t="s">
        <v>63</v>
      </c>
      <c r="D11" s="50" t="s">
        <v>131</v>
      </c>
      <c r="E11" s="50" t="n">
        <v>85</v>
      </c>
      <c r="F11" s="50" t="s">
        <v>127</v>
      </c>
      <c r="G11" s="50" t="s">
        <v>128</v>
      </c>
      <c r="H11" s="50" t="s">
        <v>110</v>
      </c>
      <c r="I11" s="50" t="s">
        <v>129</v>
      </c>
      <c r="J11" s="50" t="s">
        <v>130</v>
      </c>
      <c r="K11" s="39" t="n">
        <v>111206</v>
      </c>
    </row>
    <row r="12" customFormat="false" ht="18" hidden="false" customHeight="true" outlineLevel="0" collapsed="false">
      <c r="B12" s="38" t="s">
        <v>125</v>
      </c>
      <c r="C12" s="38" t="s">
        <v>63</v>
      </c>
      <c r="D12" s="50" t="s">
        <v>132</v>
      </c>
      <c r="E12" s="50" t="n">
        <v>85</v>
      </c>
      <c r="F12" s="50" t="s">
        <v>127</v>
      </c>
      <c r="G12" s="50" t="s">
        <v>128</v>
      </c>
      <c r="H12" s="50" t="s">
        <v>110</v>
      </c>
      <c r="I12" s="50" t="s">
        <v>129</v>
      </c>
      <c r="J12" s="50" t="s">
        <v>130</v>
      </c>
      <c r="K12" s="39" t="n">
        <v>310709</v>
      </c>
    </row>
    <row r="13" customFormat="false" ht="18" hidden="false" customHeight="true" outlineLevel="0" collapsed="false">
      <c r="B13" s="38" t="s">
        <v>88</v>
      </c>
      <c r="C13" s="38" t="s">
        <v>63</v>
      </c>
      <c r="D13" s="50" t="s">
        <v>112</v>
      </c>
      <c r="E13" s="50" t="n">
        <v>72</v>
      </c>
      <c r="F13" s="50" t="s">
        <v>113</v>
      </c>
      <c r="G13" s="50" t="s">
        <v>133</v>
      </c>
      <c r="H13" s="50" t="s">
        <v>134</v>
      </c>
      <c r="I13" s="50" t="s">
        <v>129</v>
      </c>
      <c r="J13" s="50" t="s">
        <v>130</v>
      </c>
      <c r="K13" s="39" t="n">
        <v>2891224</v>
      </c>
    </row>
    <row r="14" customFormat="false" ht="18" hidden="false" customHeight="true" outlineLevel="0" collapsed="false">
      <c r="B14" s="38" t="s">
        <v>88</v>
      </c>
      <c r="C14" s="38" t="s">
        <v>63</v>
      </c>
      <c r="D14" s="50" t="s">
        <v>115</v>
      </c>
      <c r="E14" s="50" t="n">
        <v>66</v>
      </c>
      <c r="F14" s="50" t="s">
        <v>116</v>
      </c>
      <c r="G14" s="50" t="s">
        <v>135</v>
      </c>
      <c r="H14" s="50" t="s">
        <v>134</v>
      </c>
      <c r="I14" s="50" t="s">
        <v>129</v>
      </c>
      <c r="J14" s="50" t="s">
        <v>130</v>
      </c>
      <c r="K14" s="39" t="n">
        <v>863620</v>
      </c>
    </row>
    <row r="15" customFormat="false" ht="18" hidden="false" customHeight="true" outlineLevel="0" collapsed="false">
      <c r="B15" s="38" t="s">
        <v>88</v>
      </c>
      <c r="C15" s="38" t="s">
        <v>63</v>
      </c>
      <c r="D15" s="50" t="s">
        <v>118</v>
      </c>
      <c r="E15" s="50" t="n">
        <v>65</v>
      </c>
      <c r="F15" s="50" t="s">
        <v>119</v>
      </c>
      <c r="G15" s="50" t="s">
        <v>136</v>
      </c>
      <c r="H15" s="50" t="s">
        <v>134</v>
      </c>
      <c r="I15" s="50" t="s">
        <v>129</v>
      </c>
      <c r="J15" s="50" t="s">
        <v>130</v>
      </c>
      <c r="K15" s="39" t="n">
        <v>441094</v>
      </c>
    </row>
    <row r="16" customFormat="false" ht="18" hidden="false" customHeight="true" outlineLevel="0" collapsed="false">
      <c r="B16" s="38" t="s">
        <v>137</v>
      </c>
      <c r="C16" s="38" t="s">
        <v>64</v>
      </c>
      <c r="D16" s="50" t="s">
        <v>138</v>
      </c>
      <c r="E16" s="50" t="n">
        <v>61</v>
      </c>
      <c r="F16" s="50" t="s">
        <v>139</v>
      </c>
      <c r="G16" s="50" t="s">
        <v>140</v>
      </c>
      <c r="H16" s="50" t="s">
        <v>134</v>
      </c>
      <c r="I16" s="50" t="s">
        <v>129</v>
      </c>
      <c r="J16" s="50" t="s">
        <v>130</v>
      </c>
      <c r="K16" s="39" t="n">
        <v>182047</v>
      </c>
    </row>
    <row r="17" customFormat="false" ht="18" hidden="false" customHeight="true" outlineLevel="0" collapsed="false">
      <c r="B17" s="35" t="s">
        <v>88</v>
      </c>
      <c r="C17" s="35" t="s">
        <v>63</v>
      </c>
      <c r="D17" s="48" t="s">
        <v>112</v>
      </c>
      <c r="E17" s="48" t="n">
        <v>44</v>
      </c>
      <c r="F17" s="48" t="s">
        <v>113</v>
      </c>
      <c r="G17" s="48" t="s">
        <v>141</v>
      </c>
      <c r="H17" s="48" t="s">
        <v>142</v>
      </c>
      <c r="I17" s="48" t="s">
        <v>143</v>
      </c>
      <c r="J17" s="48" t="s">
        <v>93</v>
      </c>
      <c r="K17" s="36" t="n">
        <v>2891224</v>
      </c>
    </row>
    <row r="18" customFormat="false" ht="18" hidden="false" customHeight="true" outlineLevel="0" collapsed="false">
      <c r="B18" s="35" t="s">
        <v>99</v>
      </c>
      <c r="C18" s="35" t="s">
        <v>63</v>
      </c>
      <c r="D18" s="48" t="s">
        <v>144</v>
      </c>
      <c r="E18" s="48" t="n">
        <v>44</v>
      </c>
      <c r="F18" s="48" t="s">
        <v>145</v>
      </c>
      <c r="G18" s="48" t="s">
        <v>141</v>
      </c>
      <c r="H18" s="48" t="s">
        <v>142</v>
      </c>
      <c r="I18" s="48" t="s">
        <v>143</v>
      </c>
      <c r="J18" s="48" t="s">
        <v>93</v>
      </c>
      <c r="K18" s="36" t="n">
        <v>711620</v>
      </c>
    </row>
    <row r="19" customFormat="false" ht="18" hidden="false" customHeight="true" outlineLevel="0" collapsed="false">
      <c r="B19" s="35" t="s">
        <v>88</v>
      </c>
      <c r="C19" s="35" t="s">
        <v>63</v>
      </c>
      <c r="D19" s="48" t="s">
        <v>146</v>
      </c>
      <c r="E19" s="48" t="n">
        <v>42</v>
      </c>
      <c r="F19" s="48" t="s">
        <v>147</v>
      </c>
      <c r="G19" s="48" t="s">
        <v>148</v>
      </c>
      <c r="H19" s="48" t="s">
        <v>142</v>
      </c>
      <c r="I19" s="48" t="s">
        <v>143</v>
      </c>
      <c r="J19" s="48" t="s">
        <v>93</v>
      </c>
      <c r="K19" s="36" t="n">
        <v>820000</v>
      </c>
    </row>
    <row r="20" customFormat="false" ht="18" hidden="false" customHeight="true" outlineLevel="0" collapsed="false">
      <c r="B20" s="35" t="s">
        <v>149</v>
      </c>
      <c r="C20" s="35" t="s">
        <v>66</v>
      </c>
      <c r="D20" s="48" t="s">
        <v>150</v>
      </c>
      <c r="E20" s="48" t="n">
        <v>40</v>
      </c>
      <c r="F20" s="48" t="s">
        <v>151</v>
      </c>
      <c r="G20" s="48" t="s">
        <v>152</v>
      </c>
      <c r="H20" s="48" t="s">
        <v>142</v>
      </c>
      <c r="I20" s="48" t="s">
        <v>143</v>
      </c>
      <c r="J20" s="48" t="s">
        <v>93</v>
      </c>
      <c r="K20" s="36" t="n">
        <v>1190000</v>
      </c>
    </row>
    <row r="21" customFormat="false" ht="18" hidden="false" customHeight="true" outlineLevel="0" collapsed="false">
      <c r="B21" s="35" t="s">
        <v>88</v>
      </c>
      <c r="C21" s="35" t="s">
        <v>63</v>
      </c>
      <c r="D21" s="48" t="s">
        <v>115</v>
      </c>
      <c r="E21" s="48" t="n">
        <v>38</v>
      </c>
      <c r="F21" s="48" t="s">
        <v>116</v>
      </c>
      <c r="G21" s="48" t="s">
        <v>153</v>
      </c>
      <c r="H21" s="48" t="s">
        <v>142</v>
      </c>
      <c r="I21" s="48" t="s">
        <v>143</v>
      </c>
      <c r="J21" s="48" t="s">
        <v>93</v>
      </c>
      <c r="K21" s="36" t="n">
        <v>863628</v>
      </c>
    </row>
    <row r="22" customFormat="false" ht="18" hidden="false" customHeight="true" outlineLevel="0" collapsed="false">
      <c r="B22" s="35" t="s">
        <v>154</v>
      </c>
      <c r="C22" s="35" t="s">
        <v>64</v>
      </c>
      <c r="D22" s="48" t="s">
        <v>155</v>
      </c>
      <c r="E22" s="48" t="n">
        <v>37</v>
      </c>
      <c r="F22" s="48" t="s">
        <v>156</v>
      </c>
      <c r="G22" s="48" t="s">
        <v>156</v>
      </c>
      <c r="H22" s="48" t="s">
        <v>142</v>
      </c>
      <c r="I22" s="48" t="s">
        <v>143</v>
      </c>
      <c r="J22" s="48" t="s">
        <v>93</v>
      </c>
      <c r="K22" s="36" t="n">
        <v>93689</v>
      </c>
    </row>
    <row r="23" customFormat="false" ht="18" hidden="false" customHeight="true" outlineLevel="0" collapsed="false">
      <c r="B23" s="35" t="s">
        <v>157</v>
      </c>
      <c r="C23" s="35" t="s">
        <v>65</v>
      </c>
      <c r="D23" s="48" t="s">
        <v>158</v>
      </c>
      <c r="E23" s="48" t="n">
        <v>36</v>
      </c>
      <c r="F23" s="48" t="s">
        <v>135</v>
      </c>
      <c r="G23" s="48" t="s">
        <v>159</v>
      </c>
      <c r="H23" s="48" t="s">
        <v>142</v>
      </c>
      <c r="I23" s="48" t="s">
        <v>143</v>
      </c>
      <c r="J23" s="48" t="s">
        <v>93</v>
      </c>
      <c r="K23" s="36" t="n">
        <v>170789</v>
      </c>
    </row>
    <row r="24" customFormat="false" ht="18" hidden="false" customHeight="true" outlineLevel="0" collapsed="false">
      <c r="B24" s="35" t="s">
        <v>160</v>
      </c>
      <c r="C24" s="35" t="s">
        <v>63</v>
      </c>
      <c r="D24" s="48" t="s">
        <v>161</v>
      </c>
      <c r="E24" s="48" t="n">
        <v>36</v>
      </c>
      <c r="F24" s="48" t="s">
        <v>135</v>
      </c>
      <c r="G24" s="48" t="s">
        <v>159</v>
      </c>
      <c r="H24" s="48" t="s">
        <v>142</v>
      </c>
      <c r="I24" s="48" t="s">
        <v>143</v>
      </c>
      <c r="J24" s="48" t="s">
        <v>93</v>
      </c>
      <c r="K24" s="36" t="n">
        <v>446250</v>
      </c>
    </row>
    <row r="25" customFormat="false" ht="18" hidden="false" customHeight="true" outlineLevel="0" collapsed="false">
      <c r="B25" s="35" t="s">
        <v>162</v>
      </c>
      <c r="C25" s="35" t="s">
        <v>63</v>
      </c>
      <c r="D25" s="48" t="s">
        <v>163</v>
      </c>
      <c r="E25" s="48" t="n">
        <v>35</v>
      </c>
      <c r="F25" s="48" t="s">
        <v>164</v>
      </c>
      <c r="G25" s="48" t="s">
        <v>164</v>
      </c>
      <c r="H25" s="48" t="s">
        <v>142</v>
      </c>
      <c r="I25" s="48" t="s">
        <v>143</v>
      </c>
      <c r="J25" s="48" t="s">
        <v>93</v>
      </c>
      <c r="K25" s="36" t="n">
        <v>357000</v>
      </c>
    </row>
    <row r="26" customFormat="false" ht="18" hidden="false" customHeight="true" outlineLevel="0" collapsed="false">
      <c r="B26" s="35" t="s">
        <v>90</v>
      </c>
      <c r="C26" s="35" t="s">
        <v>64</v>
      </c>
      <c r="D26" s="48" t="s">
        <v>165</v>
      </c>
      <c r="E26" s="48" t="n">
        <v>31</v>
      </c>
      <c r="F26" s="48" t="s">
        <v>166</v>
      </c>
      <c r="G26" s="48" t="s">
        <v>167</v>
      </c>
      <c r="H26" s="48" t="s">
        <v>142</v>
      </c>
      <c r="I26" s="48" t="s">
        <v>143</v>
      </c>
      <c r="J26" s="48" t="s">
        <v>93</v>
      </c>
      <c r="K26" s="36" t="n">
        <v>2915500</v>
      </c>
    </row>
    <row r="27" customFormat="false" ht="18" hidden="false" customHeight="true" outlineLevel="0" collapsed="false">
      <c r="B27" s="35" t="s">
        <v>168</v>
      </c>
      <c r="C27" s="35" t="s">
        <v>63</v>
      </c>
      <c r="D27" s="48" t="s">
        <v>169</v>
      </c>
      <c r="E27" s="48" t="n">
        <v>31</v>
      </c>
      <c r="F27" s="48" t="s">
        <v>167</v>
      </c>
      <c r="G27" s="48" t="s">
        <v>167</v>
      </c>
      <c r="H27" s="48" t="s">
        <v>142</v>
      </c>
      <c r="I27" s="48" t="s">
        <v>143</v>
      </c>
      <c r="J27" s="48" t="s">
        <v>93</v>
      </c>
      <c r="K27" s="36" t="n">
        <v>198730</v>
      </c>
    </row>
    <row r="28" customFormat="false" ht="18" hidden="false" customHeight="true" outlineLevel="0" collapsed="false">
      <c r="B28" s="27" t="s">
        <v>170</v>
      </c>
      <c r="C28" s="27" t="s">
        <v>65</v>
      </c>
      <c r="D28" s="29" t="s">
        <v>171</v>
      </c>
      <c r="E28" s="29" t="n">
        <v>28</v>
      </c>
      <c r="F28" s="29" t="s">
        <v>172</v>
      </c>
      <c r="G28" s="29" t="s">
        <v>173</v>
      </c>
      <c r="H28" s="29" t="s">
        <v>142</v>
      </c>
      <c r="I28" s="29" t="s">
        <v>174</v>
      </c>
      <c r="J28" s="29" t="s">
        <v>91</v>
      </c>
      <c r="K28" s="28" t="n">
        <v>162316</v>
      </c>
    </row>
    <row r="29" customFormat="false" ht="18" hidden="false" customHeight="true" outlineLevel="0" collapsed="false">
      <c r="B29" s="27" t="s">
        <v>175</v>
      </c>
      <c r="C29" s="27" t="s">
        <v>69</v>
      </c>
      <c r="D29" s="29" t="s">
        <v>176</v>
      </c>
      <c r="E29" s="29" t="n">
        <v>27</v>
      </c>
      <c r="F29" s="29" t="s">
        <v>177</v>
      </c>
      <c r="G29" s="29" t="s">
        <v>178</v>
      </c>
      <c r="H29" s="29" t="s">
        <v>142</v>
      </c>
      <c r="I29" s="29" t="s">
        <v>174</v>
      </c>
      <c r="J29" s="29" t="s">
        <v>91</v>
      </c>
      <c r="K29" s="28" t="n">
        <v>170259</v>
      </c>
    </row>
    <row r="30" customFormat="false" ht="18" hidden="false" customHeight="true" outlineLevel="0" collapsed="false">
      <c r="B30" s="27" t="s">
        <v>179</v>
      </c>
      <c r="C30" s="27" t="s">
        <v>66</v>
      </c>
      <c r="D30" s="29" t="s">
        <v>180</v>
      </c>
      <c r="E30" s="29" t="n">
        <v>21</v>
      </c>
      <c r="F30" s="29" t="s">
        <v>181</v>
      </c>
      <c r="G30" s="29" t="s">
        <v>182</v>
      </c>
      <c r="H30" s="29" t="s">
        <v>142</v>
      </c>
      <c r="I30" s="29" t="s">
        <v>174</v>
      </c>
      <c r="J30" s="29" t="s">
        <v>91</v>
      </c>
      <c r="K30" s="28" t="n">
        <v>314160</v>
      </c>
    </row>
    <row r="31" customFormat="false" ht="18" hidden="false" customHeight="true" outlineLevel="0" collapsed="false">
      <c r="B31" s="27" t="s">
        <v>90</v>
      </c>
      <c r="C31" s="27" t="s">
        <v>65</v>
      </c>
      <c r="D31" s="29" t="s">
        <v>183</v>
      </c>
      <c r="E31" s="29" t="n">
        <v>19</v>
      </c>
      <c r="F31" s="29" t="s">
        <v>166</v>
      </c>
      <c r="G31" s="29" t="s">
        <v>184</v>
      </c>
      <c r="H31" s="29" t="s">
        <v>142</v>
      </c>
      <c r="I31" s="29" t="s">
        <v>174</v>
      </c>
      <c r="J31" s="29" t="s">
        <v>91</v>
      </c>
      <c r="K31" s="28" t="n">
        <v>2707250</v>
      </c>
    </row>
    <row r="32" customFormat="false" ht="18" hidden="false" customHeight="true" outlineLevel="0" collapsed="false">
      <c r="B32" s="27" t="s">
        <v>185</v>
      </c>
      <c r="C32" s="27" t="s">
        <v>67</v>
      </c>
      <c r="D32" s="29" t="s">
        <v>186</v>
      </c>
      <c r="E32" s="29" t="n">
        <v>18</v>
      </c>
      <c r="F32" s="29" t="s">
        <v>187</v>
      </c>
      <c r="G32" s="29" t="s">
        <v>188</v>
      </c>
      <c r="H32" s="29" t="s">
        <v>142</v>
      </c>
      <c r="I32" s="29" t="s">
        <v>174</v>
      </c>
      <c r="J32" s="29" t="s">
        <v>91</v>
      </c>
      <c r="K32" s="28" t="n">
        <v>420001</v>
      </c>
    </row>
    <row r="33" customFormat="false" ht="18" hidden="false" customHeight="true" outlineLevel="0" collapsed="false">
      <c r="B33" s="27" t="s">
        <v>189</v>
      </c>
      <c r="C33" s="27" t="s">
        <v>65</v>
      </c>
      <c r="D33" s="29" t="s">
        <v>190</v>
      </c>
      <c r="E33" s="29" t="n">
        <v>18</v>
      </c>
      <c r="F33" s="29" t="s">
        <v>191</v>
      </c>
      <c r="G33" s="29" t="s">
        <v>188</v>
      </c>
      <c r="H33" s="29" t="s">
        <v>142</v>
      </c>
      <c r="I33" s="29" t="s">
        <v>174</v>
      </c>
      <c r="J33" s="29" t="s">
        <v>91</v>
      </c>
      <c r="K33" s="28" t="n">
        <v>72055</v>
      </c>
    </row>
    <row r="34" customFormat="false" ht="18" hidden="false" customHeight="true" outlineLevel="0" collapsed="false">
      <c r="B34" s="27" t="s">
        <v>185</v>
      </c>
      <c r="C34" s="27" t="s">
        <v>67</v>
      </c>
      <c r="D34" s="29" t="s">
        <v>192</v>
      </c>
      <c r="E34" s="29" t="n">
        <v>18</v>
      </c>
      <c r="F34" s="29" t="s">
        <v>187</v>
      </c>
      <c r="G34" s="29" t="s">
        <v>188</v>
      </c>
      <c r="H34" s="29" t="s">
        <v>142</v>
      </c>
      <c r="I34" s="29" t="s">
        <v>174</v>
      </c>
      <c r="J34" s="29" t="s">
        <v>91</v>
      </c>
      <c r="K34" s="28" t="n">
        <v>368757</v>
      </c>
    </row>
    <row r="35" customFormat="false" ht="18" hidden="false" customHeight="true" outlineLevel="0" collapsed="false">
      <c r="B35" s="27" t="s">
        <v>185</v>
      </c>
      <c r="C35" s="27" t="s">
        <v>67</v>
      </c>
      <c r="D35" s="29" t="s">
        <v>193</v>
      </c>
      <c r="E35" s="29" t="n">
        <v>18</v>
      </c>
      <c r="F35" s="29" t="s">
        <v>187</v>
      </c>
      <c r="G35" s="29" t="s">
        <v>188</v>
      </c>
      <c r="H35" s="29" t="s">
        <v>142</v>
      </c>
      <c r="I35" s="29" t="s">
        <v>174</v>
      </c>
      <c r="J35" s="29" t="s">
        <v>91</v>
      </c>
      <c r="K35" s="28" t="n">
        <v>358285</v>
      </c>
    </row>
    <row r="36" customFormat="false" ht="18" hidden="false" customHeight="true" outlineLevel="0" collapsed="false">
      <c r="B36" s="27" t="s">
        <v>90</v>
      </c>
      <c r="C36" s="27" t="s">
        <v>65</v>
      </c>
      <c r="D36" s="29" t="s">
        <v>194</v>
      </c>
      <c r="E36" s="29" t="n">
        <v>11</v>
      </c>
      <c r="F36" s="29" t="s">
        <v>195</v>
      </c>
      <c r="G36" s="29" t="s">
        <v>196</v>
      </c>
      <c r="H36" s="29" t="s">
        <v>197</v>
      </c>
      <c r="I36" s="29" t="s">
        <v>174</v>
      </c>
      <c r="J36" s="29" t="s">
        <v>91</v>
      </c>
      <c r="K36" s="28" t="n">
        <v>2290750</v>
      </c>
    </row>
    <row r="37" customFormat="false" ht="18" hidden="false" customHeight="true" outlineLevel="0" collapsed="false">
      <c r="B37" s="27" t="s">
        <v>88</v>
      </c>
      <c r="C37" s="27" t="s">
        <v>63</v>
      </c>
      <c r="D37" s="29" t="s">
        <v>146</v>
      </c>
      <c r="E37" s="29" t="n">
        <v>11</v>
      </c>
      <c r="F37" s="29" t="s">
        <v>147</v>
      </c>
      <c r="G37" s="29" t="s">
        <v>196</v>
      </c>
      <c r="H37" s="29" t="s">
        <v>197</v>
      </c>
      <c r="I37" s="29" t="s">
        <v>174</v>
      </c>
      <c r="J37" s="29" t="s">
        <v>91</v>
      </c>
      <c r="K37" s="28" t="n">
        <v>820000</v>
      </c>
    </row>
    <row r="38" customFormat="false" ht="18" hidden="false" customHeight="true" outlineLevel="0" collapsed="false">
      <c r="B38" s="27" t="s">
        <v>90</v>
      </c>
      <c r="C38" s="27" t="s">
        <v>65</v>
      </c>
      <c r="D38" s="29" t="s">
        <v>198</v>
      </c>
      <c r="E38" s="29" t="n">
        <v>9</v>
      </c>
      <c r="F38" s="29" t="s">
        <v>199</v>
      </c>
      <c r="G38" s="29" t="s">
        <v>200</v>
      </c>
      <c r="H38" s="29" t="s">
        <v>197</v>
      </c>
      <c r="I38" s="29" t="s">
        <v>174</v>
      </c>
      <c r="J38" s="29" t="s">
        <v>91</v>
      </c>
      <c r="K38" s="28" t="n">
        <v>1041250</v>
      </c>
    </row>
    <row r="39" customFormat="false" ht="18" hidden="false" customHeight="true" outlineLevel="0" collapsed="false">
      <c r="B39" s="27" t="s">
        <v>90</v>
      </c>
      <c r="C39" s="27" t="s">
        <v>64</v>
      </c>
      <c r="D39" s="29" t="s">
        <v>201</v>
      </c>
      <c r="E39" s="29" t="n">
        <v>8</v>
      </c>
      <c r="F39" s="29" t="s">
        <v>127</v>
      </c>
      <c r="G39" s="29" t="s">
        <v>202</v>
      </c>
      <c r="H39" s="29" t="s">
        <v>197</v>
      </c>
      <c r="I39" s="29" t="s">
        <v>174</v>
      </c>
      <c r="J39" s="29" t="s">
        <v>91</v>
      </c>
      <c r="K39" s="28" t="n">
        <v>1874250</v>
      </c>
    </row>
    <row r="40" customFormat="false" ht="18" hidden="false" customHeight="true" outlineLevel="0" collapsed="false">
      <c r="B40" s="27" t="s">
        <v>203</v>
      </c>
      <c r="C40" s="27" t="s">
        <v>70</v>
      </c>
      <c r="D40" s="29" t="s">
        <v>204</v>
      </c>
      <c r="E40" s="29" t="n">
        <v>7</v>
      </c>
      <c r="F40" s="29" t="s">
        <v>205</v>
      </c>
      <c r="G40" s="29" t="s">
        <v>205</v>
      </c>
      <c r="H40" s="29" t="s">
        <v>197</v>
      </c>
      <c r="I40" s="29" t="s">
        <v>174</v>
      </c>
      <c r="J40" s="29" t="s">
        <v>91</v>
      </c>
      <c r="K40" s="28" t="n">
        <v>39826</v>
      </c>
    </row>
    <row r="41" customFormat="false" ht="18" hidden="false" customHeight="true" outlineLevel="0" collapsed="false">
      <c r="B41" s="27" t="s">
        <v>168</v>
      </c>
      <c r="C41" s="27" t="s">
        <v>63</v>
      </c>
      <c r="D41" s="29" t="s">
        <v>206</v>
      </c>
      <c r="E41" s="29" t="n">
        <v>7</v>
      </c>
      <c r="F41" s="29" t="s">
        <v>205</v>
      </c>
      <c r="G41" s="29" t="s">
        <v>205</v>
      </c>
      <c r="H41" s="29" t="s">
        <v>197</v>
      </c>
      <c r="I41" s="29" t="s">
        <v>174</v>
      </c>
      <c r="J41" s="29" t="s">
        <v>91</v>
      </c>
      <c r="K41" s="28" t="n">
        <v>97580</v>
      </c>
    </row>
    <row r="42" customFormat="false" ht="18" hidden="false" customHeight="true" outlineLevel="0" collapsed="false">
      <c r="B42" s="27" t="s">
        <v>207</v>
      </c>
      <c r="C42" s="27" t="s">
        <v>66</v>
      </c>
      <c r="D42" s="29" t="s">
        <v>208</v>
      </c>
      <c r="E42" s="29" t="n">
        <v>6</v>
      </c>
      <c r="F42" s="29" t="s">
        <v>209</v>
      </c>
      <c r="G42" s="29" t="s">
        <v>210</v>
      </c>
      <c r="H42" s="29" t="s">
        <v>197</v>
      </c>
      <c r="I42" s="29" t="s">
        <v>174</v>
      </c>
      <c r="J42" s="29" t="s">
        <v>91</v>
      </c>
      <c r="K42" s="28" t="n">
        <v>1071000</v>
      </c>
    </row>
    <row r="43" customFormat="false" ht="18" hidden="false" customHeight="true" outlineLevel="0" collapsed="false">
      <c r="B43" s="27" t="s">
        <v>170</v>
      </c>
      <c r="C43" s="27" t="s">
        <v>65</v>
      </c>
      <c r="D43" s="29" t="s">
        <v>211</v>
      </c>
      <c r="E43" s="29" t="n">
        <v>4</v>
      </c>
      <c r="F43" s="29" t="s">
        <v>212</v>
      </c>
      <c r="G43" s="29" t="s">
        <v>213</v>
      </c>
      <c r="H43" s="29" t="s">
        <v>197</v>
      </c>
      <c r="I43" s="29" t="s">
        <v>174</v>
      </c>
      <c r="J43" s="29" t="s">
        <v>91</v>
      </c>
      <c r="K43" s="28" t="n">
        <v>228175</v>
      </c>
    </row>
    <row r="44" customFormat="false" ht="18" hidden="false" customHeight="true" outlineLevel="0" collapsed="false">
      <c r="B44" s="27" t="s">
        <v>170</v>
      </c>
      <c r="C44" s="27" t="s">
        <v>65</v>
      </c>
      <c r="D44" s="29" t="s">
        <v>214</v>
      </c>
      <c r="E44" s="29" t="n">
        <v>4</v>
      </c>
      <c r="F44" s="29" t="s">
        <v>212</v>
      </c>
      <c r="G44" s="29" t="s">
        <v>213</v>
      </c>
      <c r="H44" s="29" t="s">
        <v>197</v>
      </c>
      <c r="I44" s="29" t="s">
        <v>174</v>
      </c>
      <c r="J44" s="29" t="s">
        <v>91</v>
      </c>
      <c r="K44" s="28" t="n">
        <v>533775</v>
      </c>
    </row>
    <row r="45" customFormat="false" ht="18" hidden="false" customHeight="true" outlineLevel="0" collapsed="false">
      <c r="B45" s="27" t="s">
        <v>97</v>
      </c>
      <c r="C45" s="27" t="s">
        <v>64</v>
      </c>
      <c r="D45" s="29" t="s">
        <v>215</v>
      </c>
      <c r="E45" s="29" t="n">
        <v>3</v>
      </c>
      <c r="F45" s="29" t="s">
        <v>216</v>
      </c>
      <c r="G45" s="29" t="s">
        <v>217</v>
      </c>
      <c r="H45" s="29" t="s">
        <v>197</v>
      </c>
      <c r="I45" s="29" t="s">
        <v>174</v>
      </c>
      <c r="J45" s="29" t="s">
        <v>91</v>
      </c>
      <c r="K45" s="28" t="n">
        <v>727709</v>
      </c>
    </row>
    <row r="46" customFormat="false" ht="18" hidden="false" customHeight="true" outlineLevel="0" collapsed="false">
      <c r="B46" s="27" t="s">
        <v>97</v>
      </c>
      <c r="C46" s="27" t="s">
        <v>64</v>
      </c>
      <c r="D46" s="29" t="s">
        <v>218</v>
      </c>
      <c r="E46" s="29" t="n">
        <v>3</v>
      </c>
      <c r="F46" s="29" t="s">
        <v>216</v>
      </c>
      <c r="G46" s="29" t="s">
        <v>217</v>
      </c>
      <c r="H46" s="29" t="s">
        <v>197</v>
      </c>
      <c r="I46" s="29" t="s">
        <v>174</v>
      </c>
      <c r="J46" s="29" t="s">
        <v>91</v>
      </c>
      <c r="K46" s="28" t="n">
        <v>1496776</v>
      </c>
    </row>
    <row r="47" customFormat="false" ht="18" hidden="false" customHeight="true" outlineLevel="0" collapsed="false">
      <c r="B47" s="27" t="s">
        <v>98</v>
      </c>
      <c r="C47" s="27" t="s">
        <v>63</v>
      </c>
      <c r="D47" s="29" t="s">
        <v>219</v>
      </c>
      <c r="E47" s="29" t="n">
        <v>2</v>
      </c>
      <c r="F47" s="29" t="s">
        <v>124</v>
      </c>
      <c r="G47" s="29" t="s">
        <v>220</v>
      </c>
      <c r="H47" s="29" t="s">
        <v>197</v>
      </c>
      <c r="I47" s="29" t="s">
        <v>174</v>
      </c>
      <c r="J47" s="29" t="s">
        <v>91</v>
      </c>
      <c r="K47" s="28" t="n">
        <v>410550</v>
      </c>
    </row>
    <row r="48" customFormat="false" ht="18" hidden="false" customHeight="true" outlineLevel="0" collapsed="false">
      <c r="B48" s="27" t="s">
        <v>98</v>
      </c>
      <c r="C48" s="27" t="s">
        <v>63</v>
      </c>
      <c r="D48" s="29" t="s">
        <v>221</v>
      </c>
      <c r="E48" s="29" t="n">
        <v>2</v>
      </c>
      <c r="F48" s="29" t="s">
        <v>124</v>
      </c>
      <c r="G48" s="29" t="s">
        <v>220</v>
      </c>
      <c r="H48" s="29" t="s">
        <v>197</v>
      </c>
      <c r="I48" s="29" t="s">
        <v>174</v>
      </c>
      <c r="J48" s="29" t="s">
        <v>91</v>
      </c>
      <c r="K48" s="28" t="n">
        <v>1785000</v>
      </c>
    </row>
    <row r="49" customFormat="false" ht="18" hidden="false" customHeight="true" outlineLevel="0" collapsed="false">
      <c r="B49" s="27" t="s">
        <v>96</v>
      </c>
      <c r="C49" s="27" t="s">
        <v>66</v>
      </c>
      <c r="D49" s="29" t="s">
        <v>222</v>
      </c>
      <c r="E49" s="29" t="n">
        <v>1</v>
      </c>
      <c r="F49" s="29" t="s">
        <v>167</v>
      </c>
      <c r="G49" s="29" t="s">
        <v>223</v>
      </c>
      <c r="H49" s="29" t="s">
        <v>197</v>
      </c>
      <c r="I49" s="29" t="s">
        <v>174</v>
      </c>
      <c r="J49" s="29" t="s">
        <v>91</v>
      </c>
      <c r="K49" s="28" t="n">
        <v>2305625</v>
      </c>
    </row>
    <row r="50" customFormat="false" ht="18" hidden="false" customHeight="true" outlineLevel="0" collapsed="false">
      <c r="B50" s="27" t="s">
        <v>224</v>
      </c>
      <c r="C50" s="27" t="s">
        <v>63</v>
      </c>
      <c r="D50" s="29" t="s">
        <v>225</v>
      </c>
      <c r="E50" s="29" t="n">
        <v>-3</v>
      </c>
      <c r="F50" s="29" t="s">
        <v>177</v>
      </c>
      <c r="G50" s="29" t="s">
        <v>226</v>
      </c>
      <c r="H50" s="29" t="s">
        <v>197</v>
      </c>
      <c r="I50" s="29" t="s">
        <v>174</v>
      </c>
      <c r="J50" s="29" t="s">
        <v>91</v>
      </c>
      <c r="K50" s="28" t="n">
        <v>1990870</v>
      </c>
    </row>
    <row r="51" customFormat="false" ht="18" hidden="false" customHeight="true" outlineLevel="0" collapsed="false">
      <c r="B51" s="27" t="s">
        <v>227</v>
      </c>
      <c r="C51" s="27" t="s">
        <v>68</v>
      </c>
      <c r="D51" s="29" t="s">
        <v>228</v>
      </c>
      <c r="E51" s="29" t="n">
        <v>-3</v>
      </c>
      <c r="F51" s="29" t="s">
        <v>229</v>
      </c>
      <c r="G51" s="29" t="s">
        <v>226</v>
      </c>
      <c r="H51" s="29" t="s">
        <v>197</v>
      </c>
      <c r="I51" s="29" t="s">
        <v>174</v>
      </c>
      <c r="J51" s="29" t="s">
        <v>91</v>
      </c>
      <c r="K51" s="28" t="n">
        <v>755326</v>
      </c>
    </row>
    <row r="52" customFormat="false" ht="18" hidden="false" customHeight="true" outlineLevel="0" collapsed="false">
      <c r="B52" s="27" t="s">
        <v>99</v>
      </c>
      <c r="C52" s="27" t="s">
        <v>63</v>
      </c>
      <c r="D52" s="29" t="s">
        <v>230</v>
      </c>
      <c r="E52" s="29" t="n">
        <v>-7</v>
      </c>
      <c r="F52" s="29" t="s">
        <v>231</v>
      </c>
      <c r="G52" s="29" t="s">
        <v>232</v>
      </c>
      <c r="H52" s="29" t="s">
        <v>197</v>
      </c>
      <c r="I52" s="29" t="s">
        <v>174</v>
      </c>
      <c r="J52" s="29" t="s">
        <v>91</v>
      </c>
      <c r="K52" s="28" t="n">
        <v>1361360</v>
      </c>
    </row>
    <row r="53" customFormat="false" ht="18" hidden="false" customHeight="true" outlineLevel="0" collapsed="false">
      <c r="B53" s="27" t="s">
        <v>233</v>
      </c>
      <c r="C53" s="27" t="s">
        <v>65</v>
      </c>
      <c r="D53" s="29" t="s">
        <v>234</v>
      </c>
      <c r="E53" s="29" t="n">
        <v>-9</v>
      </c>
      <c r="F53" s="29" t="s">
        <v>235</v>
      </c>
      <c r="G53" s="29" t="s">
        <v>236</v>
      </c>
      <c r="H53" s="29" t="s">
        <v>197</v>
      </c>
      <c r="I53" s="29" t="s">
        <v>174</v>
      </c>
      <c r="J53" s="29" t="s">
        <v>91</v>
      </c>
      <c r="K53" s="28" t="n">
        <v>451238</v>
      </c>
    </row>
    <row r="54" customFormat="false" ht="18" hidden="false" customHeight="true" outlineLevel="0" collapsed="false">
      <c r="B54" s="27" t="s">
        <v>179</v>
      </c>
      <c r="C54" s="27" t="s">
        <v>66</v>
      </c>
      <c r="D54" s="29" t="s">
        <v>180</v>
      </c>
      <c r="E54" s="29" t="n">
        <v>-10</v>
      </c>
      <c r="F54" s="29" t="s">
        <v>181</v>
      </c>
      <c r="G54" s="29" t="s">
        <v>237</v>
      </c>
      <c r="H54" s="29" t="s">
        <v>197</v>
      </c>
      <c r="I54" s="29" t="s">
        <v>174</v>
      </c>
      <c r="J54" s="29" t="s">
        <v>91</v>
      </c>
      <c r="K54" s="28" t="n">
        <v>314160</v>
      </c>
    </row>
    <row r="55" customFormat="false" ht="18" hidden="false" customHeight="true" outlineLevel="0" collapsed="false">
      <c r="B55" s="27" t="s">
        <v>92</v>
      </c>
      <c r="C55" s="27" t="s">
        <v>63</v>
      </c>
      <c r="D55" s="29" t="s">
        <v>238</v>
      </c>
      <c r="E55" s="29" t="n">
        <v>-13</v>
      </c>
      <c r="F55" s="29" t="s">
        <v>209</v>
      </c>
      <c r="G55" s="29" t="s">
        <v>239</v>
      </c>
      <c r="H55" s="29" t="s">
        <v>197</v>
      </c>
      <c r="I55" s="29" t="s">
        <v>174</v>
      </c>
      <c r="J55" s="29" t="s">
        <v>91</v>
      </c>
      <c r="K55" s="28" t="n">
        <v>618800</v>
      </c>
    </row>
    <row r="56" customFormat="false" ht="18" hidden="false" customHeight="true" outlineLevel="0" collapsed="false">
      <c r="B56" s="27" t="s">
        <v>92</v>
      </c>
      <c r="C56" s="27" t="s">
        <v>63</v>
      </c>
      <c r="D56" s="29" t="s">
        <v>240</v>
      </c>
      <c r="E56" s="29" t="n">
        <v>-13</v>
      </c>
      <c r="F56" s="29" t="s">
        <v>241</v>
      </c>
      <c r="G56" s="29" t="s">
        <v>239</v>
      </c>
      <c r="H56" s="29" t="s">
        <v>197</v>
      </c>
      <c r="I56" s="29" t="s">
        <v>174</v>
      </c>
      <c r="J56" s="29" t="s">
        <v>91</v>
      </c>
      <c r="K56" s="28" t="n">
        <v>1547000</v>
      </c>
    </row>
    <row r="57" customFormat="false" ht="18" hidden="false" customHeight="true" outlineLevel="0" collapsed="false">
      <c r="B57" s="27" t="s">
        <v>92</v>
      </c>
      <c r="C57" s="27" t="s">
        <v>63</v>
      </c>
      <c r="D57" s="29" t="s">
        <v>242</v>
      </c>
      <c r="E57" s="29" t="n">
        <v>-13</v>
      </c>
      <c r="F57" s="29" t="s">
        <v>243</v>
      </c>
      <c r="G57" s="29" t="s">
        <v>239</v>
      </c>
      <c r="H57" s="29" t="s">
        <v>197</v>
      </c>
      <c r="I57" s="29" t="s">
        <v>174</v>
      </c>
      <c r="J57" s="29" t="s">
        <v>91</v>
      </c>
      <c r="K57" s="28" t="n">
        <v>569379</v>
      </c>
    </row>
    <row r="58" customFormat="false" ht="18" hidden="false" customHeight="true" outlineLevel="0" collapsed="false">
      <c r="B58" s="27" t="s">
        <v>189</v>
      </c>
      <c r="C58" s="27" t="s">
        <v>65</v>
      </c>
      <c r="D58" s="29" t="s">
        <v>244</v>
      </c>
      <c r="E58" s="29" t="n">
        <v>-13</v>
      </c>
      <c r="F58" s="29" t="s">
        <v>191</v>
      </c>
      <c r="G58" s="29" t="s">
        <v>239</v>
      </c>
      <c r="H58" s="29" t="s">
        <v>197</v>
      </c>
      <c r="I58" s="29" t="s">
        <v>174</v>
      </c>
      <c r="J58" s="29" t="s">
        <v>91</v>
      </c>
      <c r="K58" s="28" t="n">
        <v>495944</v>
      </c>
    </row>
    <row r="59" customFormat="false" ht="18" hidden="false" customHeight="true" outlineLevel="0" collapsed="false">
      <c r="B59" s="27" t="s">
        <v>92</v>
      </c>
      <c r="C59" s="27" t="s">
        <v>63</v>
      </c>
      <c r="D59" s="29" t="s">
        <v>245</v>
      </c>
      <c r="E59" s="29" t="n">
        <v>-13</v>
      </c>
      <c r="F59" s="29" t="s">
        <v>243</v>
      </c>
      <c r="G59" s="29" t="s">
        <v>239</v>
      </c>
      <c r="H59" s="29" t="s">
        <v>197</v>
      </c>
      <c r="I59" s="29" t="s">
        <v>174</v>
      </c>
      <c r="J59" s="29" t="s">
        <v>91</v>
      </c>
      <c r="K59" s="28" t="n">
        <v>369495</v>
      </c>
    </row>
    <row r="60" customFormat="false" ht="18" hidden="false" customHeight="true" outlineLevel="0" collapsed="false">
      <c r="B60" s="27" t="s">
        <v>92</v>
      </c>
      <c r="C60" s="27" t="s">
        <v>63</v>
      </c>
      <c r="D60" s="29" t="s">
        <v>246</v>
      </c>
      <c r="E60" s="29" t="n">
        <v>-13</v>
      </c>
      <c r="F60" s="29" t="s">
        <v>243</v>
      </c>
      <c r="G60" s="29" t="s">
        <v>239</v>
      </c>
      <c r="H60" s="29" t="s">
        <v>197</v>
      </c>
      <c r="I60" s="29" t="s">
        <v>174</v>
      </c>
      <c r="J60" s="29" t="s">
        <v>91</v>
      </c>
      <c r="K60" s="28" t="n">
        <v>437920</v>
      </c>
    </row>
    <row r="61" customFormat="false" ht="18" hidden="false" customHeight="true" outlineLevel="0" collapsed="false">
      <c r="B61" s="27" t="s">
        <v>92</v>
      </c>
      <c r="C61" s="27" t="s">
        <v>63</v>
      </c>
      <c r="D61" s="29" t="s">
        <v>247</v>
      </c>
      <c r="E61" s="29" t="n">
        <v>-13</v>
      </c>
      <c r="F61" s="29" t="s">
        <v>248</v>
      </c>
      <c r="G61" s="29" t="s">
        <v>239</v>
      </c>
      <c r="H61" s="29" t="s">
        <v>197</v>
      </c>
      <c r="I61" s="29" t="s">
        <v>174</v>
      </c>
      <c r="J61" s="29" t="s">
        <v>91</v>
      </c>
      <c r="K61" s="28" t="n">
        <v>618800</v>
      </c>
    </row>
    <row r="62" customFormat="false" ht="18" hidden="false" customHeight="true" outlineLevel="0" collapsed="false">
      <c r="B62" s="27" t="s">
        <v>92</v>
      </c>
      <c r="C62" s="27" t="s">
        <v>63</v>
      </c>
      <c r="D62" s="29" t="s">
        <v>249</v>
      </c>
      <c r="E62" s="29" t="n">
        <v>-13</v>
      </c>
      <c r="F62" s="29" t="s">
        <v>145</v>
      </c>
      <c r="G62" s="29" t="s">
        <v>239</v>
      </c>
      <c r="H62" s="29" t="s">
        <v>197</v>
      </c>
      <c r="I62" s="29" t="s">
        <v>174</v>
      </c>
      <c r="J62" s="29" t="s">
        <v>91</v>
      </c>
      <c r="K62" s="28" t="n">
        <v>380800</v>
      </c>
    </row>
    <row r="63" customFormat="false" ht="18" hidden="false" customHeight="true" outlineLevel="0" collapsed="false">
      <c r="B63" s="27" t="s">
        <v>94</v>
      </c>
      <c r="C63" s="27" t="s">
        <v>65</v>
      </c>
      <c r="D63" s="29" t="s">
        <v>250</v>
      </c>
      <c r="E63" s="29" t="n">
        <v>-13</v>
      </c>
      <c r="F63" s="29" t="s">
        <v>251</v>
      </c>
      <c r="G63" s="29" t="s">
        <v>239</v>
      </c>
      <c r="H63" s="29" t="s">
        <v>197</v>
      </c>
      <c r="I63" s="29" t="s">
        <v>174</v>
      </c>
      <c r="J63" s="29" t="s">
        <v>91</v>
      </c>
      <c r="K63" s="28" t="n">
        <v>2812833</v>
      </c>
    </row>
    <row r="64" customFormat="false" ht="18" hidden="false" customHeight="true" outlineLevel="0" collapsed="false">
      <c r="B64" s="27" t="s">
        <v>94</v>
      </c>
      <c r="C64" s="27" t="s">
        <v>65</v>
      </c>
      <c r="D64" s="29" t="s">
        <v>252</v>
      </c>
      <c r="E64" s="29" t="n">
        <v>-13</v>
      </c>
      <c r="F64" s="29" t="s">
        <v>251</v>
      </c>
      <c r="G64" s="29" t="s">
        <v>239</v>
      </c>
      <c r="H64" s="29" t="s">
        <v>197</v>
      </c>
      <c r="I64" s="29" t="s">
        <v>174</v>
      </c>
      <c r="J64" s="29" t="s">
        <v>91</v>
      </c>
      <c r="K64" s="28" t="n">
        <v>1373528</v>
      </c>
    </row>
    <row r="65" customFormat="false" ht="18" hidden="false" customHeight="true" outlineLevel="0" collapsed="false">
      <c r="B65" s="27" t="s">
        <v>94</v>
      </c>
      <c r="C65" s="27" t="s">
        <v>65</v>
      </c>
      <c r="D65" s="29" t="s">
        <v>253</v>
      </c>
      <c r="E65" s="29" t="n">
        <v>-13</v>
      </c>
      <c r="F65" s="29" t="s">
        <v>251</v>
      </c>
      <c r="G65" s="29" t="s">
        <v>239</v>
      </c>
      <c r="H65" s="29" t="s">
        <v>197</v>
      </c>
      <c r="I65" s="29" t="s">
        <v>174</v>
      </c>
      <c r="J65" s="29" t="s">
        <v>91</v>
      </c>
      <c r="K65" s="28" t="n">
        <v>364551</v>
      </c>
    </row>
    <row r="66" customFormat="false" ht="18" hidden="false" customHeight="true" outlineLevel="0" collapsed="false">
      <c r="B66" s="27" t="s">
        <v>92</v>
      </c>
      <c r="C66" s="27" t="s">
        <v>63</v>
      </c>
      <c r="D66" s="29" t="s">
        <v>254</v>
      </c>
      <c r="E66" s="29" t="n">
        <v>-13</v>
      </c>
      <c r="F66" s="29" t="s">
        <v>209</v>
      </c>
      <c r="G66" s="29" t="s">
        <v>239</v>
      </c>
      <c r="H66" s="29" t="s">
        <v>197</v>
      </c>
      <c r="I66" s="29" t="s">
        <v>174</v>
      </c>
      <c r="J66" s="29" t="s">
        <v>91</v>
      </c>
      <c r="K66" s="28" t="n">
        <v>773500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4000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A2" s="51" t="s">
        <v>255</v>
      </c>
      <c r="B2" s="51"/>
      <c r="C2" s="51"/>
      <c r="D2" s="51"/>
      <c r="E2" s="51"/>
      <c r="F2" s="51"/>
    </row>
    <row r="3" customFormat="false" ht="18" hidden="false" customHeight="true" outlineLevel="0" collapsed="false">
      <c r="A3" s="24" t="s">
        <v>256</v>
      </c>
      <c r="B3" s="24"/>
      <c r="C3" s="24"/>
      <c r="D3" s="24"/>
      <c r="E3" s="24"/>
      <c r="F3" s="24"/>
    </row>
    <row r="5" customFormat="false" ht="21.75" hidden="false" customHeight="true" outlineLevel="0" collapsed="false">
      <c r="B5" s="25" t="s">
        <v>57</v>
      </c>
      <c r="C5" s="25"/>
      <c r="D5" s="25"/>
      <c r="E5" s="25"/>
    </row>
    <row r="6" customFormat="false" ht="21.75" hidden="false" customHeight="true" outlineLevel="0" collapsed="false">
      <c r="B6" s="26" t="s">
        <v>58</v>
      </c>
      <c r="C6" s="26" t="s">
        <v>257</v>
      </c>
      <c r="D6" s="26" t="s">
        <v>60</v>
      </c>
      <c r="E6" s="26" t="s">
        <v>62</v>
      </c>
    </row>
    <row r="7" customFormat="false" ht="18" hidden="false" customHeight="true" outlineLevel="0" collapsed="false">
      <c r="B7" s="27" t="s">
        <v>258</v>
      </c>
      <c r="C7" s="52" t="n">
        <v>36457.62</v>
      </c>
      <c r="D7" s="29" t="n">
        <v>18</v>
      </c>
      <c r="E7" s="30" t="n">
        <v>0.33476931134853</v>
      </c>
    </row>
    <row r="8" customFormat="false" ht="18" hidden="false" customHeight="true" outlineLevel="0" collapsed="false">
      <c r="B8" s="45" t="s">
        <v>259</v>
      </c>
      <c r="C8" s="53" t="n">
        <v>28153.05</v>
      </c>
      <c r="D8" s="47" t="n">
        <v>12</v>
      </c>
      <c r="E8" s="54" t="n">
        <v>0.258513231551065</v>
      </c>
    </row>
    <row r="9" customFormat="false" ht="18" hidden="false" customHeight="true" outlineLevel="0" collapsed="false">
      <c r="B9" s="27" t="s">
        <v>260</v>
      </c>
      <c r="C9" s="52" t="n">
        <v>15343.44</v>
      </c>
      <c r="D9" s="29" t="n">
        <v>2</v>
      </c>
      <c r="E9" s="30" t="n">
        <v>0.140889966007586</v>
      </c>
    </row>
    <row r="10" customFormat="false" ht="18" hidden="false" customHeight="true" outlineLevel="0" collapsed="false">
      <c r="B10" s="45" t="s">
        <v>261</v>
      </c>
      <c r="C10" s="53" t="n">
        <v>10874.4</v>
      </c>
      <c r="D10" s="47" t="n">
        <v>4</v>
      </c>
      <c r="E10" s="54" t="n">
        <v>0.0998533475122198</v>
      </c>
    </row>
    <row r="11" customFormat="false" ht="18" hidden="false" customHeight="true" outlineLevel="0" collapsed="false">
      <c r="B11" s="27" t="s">
        <v>262</v>
      </c>
      <c r="C11" s="52" t="n">
        <v>9445.2</v>
      </c>
      <c r="D11" s="29" t="n">
        <v>5</v>
      </c>
      <c r="E11" s="30" t="n">
        <v>0.0867298276615186</v>
      </c>
    </row>
    <row r="12" customFormat="false" ht="18" hidden="false" customHeight="true" outlineLevel="0" collapsed="false">
      <c r="B12" s="45" t="s">
        <v>263</v>
      </c>
      <c r="C12" s="53" t="n">
        <v>5980</v>
      </c>
      <c r="D12" s="47" t="n">
        <v>2</v>
      </c>
      <c r="E12" s="54" t="n">
        <v>0.0549108933019821</v>
      </c>
    </row>
    <row r="13" customFormat="false" ht="18" hidden="false" customHeight="true" outlineLevel="0" collapsed="false">
      <c r="B13" s="27" t="s">
        <v>264</v>
      </c>
      <c r="C13" s="52" t="n">
        <v>1050</v>
      </c>
      <c r="D13" s="29" t="n">
        <v>1</v>
      </c>
      <c r="E13" s="30" t="n">
        <v>0.0096415448105487</v>
      </c>
    </row>
    <row r="14" customFormat="false" ht="18" hidden="false" customHeight="true" outlineLevel="0" collapsed="false">
      <c r="B14" s="45" t="s">
        <v>265</v>
      </c>
      <c r="C14" s="53" t="n">
        <v>1000</v>
      </c>
      <c r="D14" s="47" t="n">
        <v>3</v>
      </c>
      <c r="E14" s="54" t="n">
        <v>0.009182423629094</v>
      </c>
    </row>
    <row r="15" customFormat="false" ht="18" hidden="false" customHeight="true" outlineLevel="0" collapsed="false">
      <c r="B15" s="27" t="s">
        <v>266</v>
      </c>
      <c r="C15" s="52" t="n">
        <v>600</v>
      </c>
      <c r="D15" s="29" t="n">
        <v>1</v>
      </c>
      <c r="E15" s="30" t="n">
        <v>0.0055094541774564</v>
      </c>
    </row>
    <row r="16" customFormat="false" ht="18" hidden="false" customHeight="true" outlineLevel="0" collapsed="false">
      <c r="B16" s="55" t="s">
        <v>71</v>
      </c>
      <c r="C16" s="56" t="n">
        <f aca="false">SUM(C7:C15)</f>
        <v>108903.71</v>
      </c>
      <c r="D16" s="57"/>
      <c r="E16" s="57"/>
    </row>
    <row r="18" customFormat="false" ht="21.75" hidden="false" customHeight="true" outlineLevel="0" collapsed="false">
      <c r="B18" s="25" t="s">
        <v>267</v>
      </c>
      <c r="C18" s="25"/>
      <c r="D18" s="25"/>
      <c r="E18" s="25"/>
    </row>
    <row r="19" customFormat="false" ht="21.75" hidden="false" customHeight="true" outlineLevel="0" collapsed="false">
      <c r="B19" s="26" t="s">
        <v>85</v>
      </c>
      <c r="C19" s="26" t="s">
        <v>257</v>
      </c>
      <c r="D19" s="26" t="s">
        <v>60</v>
      </c>
      <c r="E19" s="26" t="s">
        <v>62</v>
      </c>
    </row>
    <row r="20" customFormat="false" ht="18" hidden="false" customHeight="true" outlineLevel="0" collapsed="false">
      <c r="B20" s="27" t="s">
        <v>268</v>
      </c>
      <c r="C20" s="52" t="n">
        <v>16634.46</v>
      </c>
      <c r="D20" s="29" t="n">
        <v>2</v>
      </c>
      <c r="E20" s="30" t="n">
        <v>0.152744658561219</v>
      </c>
    </row>
    <row r="21" customFormat="false" ht="18" hidden="false" customHeight="true" outlineLevel="0" collapsed="false">
      <c r="B21" s="45" t="s">
        <v>269</v>
      </c>
      <c r="C21" s="53" t="n">
        <v>14537</v>
      </c>
      <c r="D21" s="47" t="n">
        <v>3</v>
      </c>
      <c r="E21" s="54" t="n">
        <v>0.133484892296139</v>
      </c>
    </row>
    <row r="22" customFormat="false" ht="18" hidden="false" customHeight="true" outlineLevel="0" collapsed="false">
      <c r="B22" s="41" t="s">
        <v>270</v>
      </c>
      <c r="C22" s="58" t="n">
        <v>10874.4</v>
      </c>
      <c r="D22" s="44" t="n">
        <v>4</v>
      </c>
      <c r="E22" s="43" t="n">
        <v>0.0998533475122198</v>
      </c>
    </row>
    <row r="23" customFormat="false" ht="18" hidden="false" customHeight="true" outlineLevel="0" collapsed="false">
      <c r="B23" s="45" t="s">
        <v>271</v>
      </c>
      <c r="C23" s="53" t="n">
        <v>9493</v>
      </c>
      <c r="D23" s="47" t="n">
        <v>1</v>
      </c>
      <c r="E23" s="54" t="n">
        <v>0.0871687475109893</v>
      </c>
    </row>
    <row r="24" customFormat="false" ht="18" hidden="false" customHeight="true" outlineLevel="0" collapsed="false">
      <c r="B24" s="27" t="s">
        <v>272</v>
      </c>
      <c r="C24" s="52" t="n">
        <v>7196</v>
      </c>
      <c r="D24" s="29" t="n">
        <v>2</v>
      </c>
      <c r="E24" s="30" t="n">
        <v>0.0660767204349604</v>
      </c>
    </row>
    <row r="25" customFormat="false" ht="18" hidden="false" customHeight="true" outlineLevel="0" collapsed="false">
      <c r="B25" s="45" t="s">
        <v>273</v>
      </c>
      <c r="C25" s="53" t="n">
        <v>7180.96</v>
      </c>
      <c r="D25" s="47" t="n">
        <v>5</v>
      </c>
      <c r="E25" s="54" t="n">
        <v>0.0659386167835788</v>
      </c>
    </row>
    <row r="26" customFormat="false" ht="18" hidden="false" customHeight="true" outlineLevel="0" collapsed="false">
      <c r="B26" s="27" t="s">
        <v>274</v>
      </c>
      <c r="C26" s="52" t="n">
        <v>7030</v>
      </c>
      <c r="D26" s="29" t="n">
        <v>3</v>
      </c>
      <c r="E26" s="30" t="n">
        <v>0.0645524381125308</v>
      </c>
    </row>
    <row r="27" customFormat="false" ht="18" hidden="false" customHeight="true" outlineLevel="0" collapsed="false">
      <c r="B27" s="45" t="s">
        <v>275</v>
      </c>
      <c r="C27" s="53" t="n">
        <v>5850.44</v>
      </c>
      <c r="D27" s="47" t="n">
        <v>1</v>
      </c>
      <c r="E27" s="54" t="n">
        <v>0.0537212184965967</v>
      </c>
    </row>
    <row r="28" customFormat="false" ht="18" hidden="false" customHeight="true" outlineLevel="0" collapsed="false">
      <c r="B28" s="27" t="s">
        <v>276</v>
      </c>
      <c r="C28" s="52" t="n">
        <v>5141</v>
      </c>
      <c r="D28" s="29" t="n">
        <v>6</v>
      </c>
      <c r="E28" s="30" t="n">
        <v>0.0472068398771722</v>
      </c>
    </row>
    <row r="29" customFormat="false" ht="18" hidden="false" customHeight="true" outlineLevel="0" collapsed="false">
      <c r="B29" s="45" t="s">
        <v>277</v>
      </c>
      <c r="C29" s="53" t="n">
        <v>5101.2</v>
      </c>
      <c r="D29" s="47" t="n">
        <v>3</v>
      </c>
      <c r="E29" s="54" t="n">
        <v>0.0468413794167343</v>
      </c>
    </row>
    <row r="30" customFormat="false" ht="18" hidden="false" customHeight="true" outlineLevel="0" collapsed="false">
      <c r="B30" s="27" t="s">
        <v>278</v>
      </c>
      <c r="C30" s="52" t="n">
        <v>4144</v>
      </c>
      <c r="D30" s="29" t="n">
        <v>1</v>
      </c>
      <c r="E30" s="30" t="n">
        <v>0.0380519635189655</v>
      </c>
    </row>
    <row r="31" customFormat="false" ht="18" hidden="false" customHeight="true" outlineLevel="0" collapsed="false">
      <c r="B31" s="45" t="s">
        <v>279</v>
      </c>
      <c r="C31" s="53" t="n">
        <v>3150</v>
      </c>
      <c r="D31" s="47" t="n">
        <v>1</v>
      </c>
      <c r="E31" s="54" t="n">
        <v>0.0289246344316461</v>
      </c>
    </row>
    <row r="32" customFormat="false" ht="18" hidden="false" customHeight="true" outlineLevel="0" collapsed="false">
      <c r="B32" s="27" t="s">
        <v>280</v>
      </c>
      <c r="C32" s="52" t="n">
        <v>3149</v>
      </c>
      <c r="D32" s="29" t="n">
        <v>1</v>
      </c>
      <c r="E32" s="30" t="n">
        <v>0.028915452008017</v>
      </c>
    </row>
    <row r="33" customFormat="false" ht="18" hidden="false" customHeight="true" outlineLevel="0" collapsed="false">
      <c r="B33" s="45" t="s">
        <v>281</v>
      </c>
      <c r="C33" s="53" t="n">
        <v>2871.05</v>
      </c>
      <c r="D33" s="47" t="n">
        <v>3</v>
      </c>
      <c r="E33" s="54" t="n">
        <v>0.0263631973603103</v>
      </c>
    </row>
    <row r="34" customFormat="false" ht="18" hidden="false" customHeight="true" outlineLevel="0" collapsed="false">
      <c r="B34" s="27" t="s">
        <v>282</v>
      </c>
      <c r="C34" s="52" t="n">
        <v>2000</v>
      </c>
      <c r="D34" s="29" t="n">
        <v>1</v>
      </c>
      <c r="E34" s="30" t="n">
        <v>0.018364847258188</v>
      </c>
    </row>
  </sheetData>
  <mergeCells count="4">
    <mergeCell ref="A2:F2"/>
    <mergeCell ref="A3:F3"/>
    <mergeCell ref="B5:E5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7000"/>
    <pageSetUpPr fitToPage="fals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30" hidden="false" customHeight="true" outlineLevel="0" collapsed="false">
      <c r="A2" s="59" t="s">
        <v>283</v>
      </c>
      <c r="B2" s="59"/>
      <c r="C2" s="59"/>
      <c r="D2" s="59"/>
      <c r="E2" s="59"/>
      <c r="F2" s="59"/>
      <c r="G2" s="59"/>
    </row>
    <row r="3" customFormat="false" ht="7.5" hidden="false" customHeight="true" outlineLevel="0" collapsed="false"/>
    <row r="4" customFormat="false" ht="21.75" hidden="false" customHeight="true" outlineLevel="0" collapsed="false">
      <c r="B4" s="60" t="s">
        <v>284</v>
      </c>
      <c r="C4" s="60"/>
      <c r="D4" s="60"/>
      <c r="E4" s="60"/>
      <c r="F4" s="60"/>
    </row>
    <row r="5" customFormat="false" ht="21.75" hidden="false" customHeight="true" outlineLevel="0" collapsed="false">
      <c r="B5" s="26" t="s">
        <v>85</v>
      </c>
      <c r="C5" s="26" t="s">
        <v>58</v>
      </c>
      <c r="D5" s="26" t="s">
        <v>102</v>
      </c>
      <c r="E5" s="26" t="s">
        <v>105</v>
      </c>
      <c r="F5" s="26" t="s">
        <v>285</v>
      </c>
    </row>
    <row r="6" customFormat="false" ht="18" hidden="false" customHeight="true" outlineLevel="0" collapsed="false">
      <c r="B6" s="27" t="s">
        <v>269</v>
      </c>
      <c r="C6" s="27" t="s">
        <v>259</v>
      </c>
      <c r="D6" s="29" t="s">
        <v>286</v>
      </c>
      <c r="E6" s="29" t="s">
        <v>287</v>
      </c>
      <c r="F6" s="52" t="n">
        <v>11248</v>
      </c>
    </row>
    <row r="7" customFormat="false" ht="18" hidden="false" customHeight="true" outlineLevel="0" collapsed="false">
      <c r="B7" s="45" t="s">
        <v>288</v>
      </c>
      <c r="C7" s="45" t="s">
        <v>258</v>
      </c>
      <c r="D7" s="47" t="s">
        <v>289</v>
      </c>
      <c r="E7" s="47" t="s">
        <v>287</v>
      </c>
      <c r="F7" s="53" t="n">
        <v>10522.06</v>
      </c>
    </row>
    <row r="8" customFormat="false" ht="18" hidden="false" customHeight="true" outlineLevel="0" collapsed="false">
      <c r="B8" s="38" t="s">
        <v>271</v>
      </c>
      <c r="C8" s="38" t="s">
        <v>260</v>
      </c>
      <c r="D8" s="50" t="s">
        <v>290</v>
      </c>
      <c r="E8" s="50" t="s">
        <v>291</v>
      </c>
      <c r="F8" s="61" t="n">
        <v>9493</v>
      </c>
    </row>
    <row r="9" customFormat="false" ht="18" hidden="false" customHeight="true" outlineLevel="0" collapsed="false">
      <c r="B9" s="45" t="s">
        <v>288</v>
      </c>
      <c r="C9" s="45" t="s">
        <v>258</v>
      </c>
      <c r="D9" s="47" t="s">
        <v>292</v>
      </c>
      <c r="E9" s="47" t="s">
        <v>293</v>
      </c>
      <c r="F9" s="53" t="n">
        <v>6112.4</v>
      </c>
    </row>
    <row r="10" customFormat="false" ht="18" hidden="false" customHeight="true" outlineLevel="0" collapsed="false">
      <c r="B10" s="27" t="s">
        <v>275</v>
      </c>
      <c r="C10" s="27" t="s">
        <v>260</v>
      </c>
      <c r="D10" s="29" t="s">
        <v>294</v>
      </c>
      <c r="E10" s="29" t="s">
        <v>293</v>
      </c>
      <c r="F10" s="52" t="n">
        <v>5850.44</v>
      </c>
    </row>
    <row r="11" customFormat="false" ht="18" hidden="false" customHeight="true" outlineLevel="0" collapsed="false">
      <c r="B11" s="45" t="s">
        <v>278</v>
      </c>
      <c r="C11" s="45" t="s">
        <v>262</v>
      </c>
      <c r="D11" s="47" t="s">
        <v>295</v>
      </c>
      <c r="E11" s="47" t="s">
        <v>296</v>
      </c>
      <c r="F11" s="53" t="n">
        <v>4144</v>
      </c>
    </row>
    <row r="12" customFormat="false" ht="18" hidden="false" customHeight="true" outlineLevel="0" collapsed="false">
      <c r="B12" s="41" t="s">
        <v>270</v>
      </c>
      <c r="C12" s="41" t="s">
        <v>261</v>
      </c>
      <c r="D12" s="44" t="s">
        <v>297</v>
      </c>
      <c r="E12" s="44" t="s">
        <v>298</v>
      </c>
      <c r="F12" s="58" t="n">
        <v>4077.9</v>
      </c>
    </row>
    <row r="13" customFormat="false" ht="18" hidden="false" customHeight="true" outlineLevel="0" collapsed="false">
      <c r="B13" s="45" t="s">
        <v>299</v>
      </c>
      <c r="C13" s="45" t="s">
        <v>263</v>
      </c>
      <c r="D13" s="47" t="s">
        <v>300</v>
      </c>
      <c r="E13" s="47" t="s">
        <v>296</v>
      </c>
      <c r="F13" s="53" t="n">
        <v>3780</v>
      </c>
    </row>
    <row r="14" customFormat="false" ht="18" hidden="false" customHeight="true" outlineLevel="0" collapsed="false">
      <c r="B14" s="27" t="s">
        <v>272</v>
      </c>
      <c r="C14" s="27" t="s">
        <v>259</v>
      </c>
      <c r="D14" s="29" t="s">
        <v>301</v>
      </c>
      <c r="E14" s="29" t="s">
        <v>296</v>
      </c>
      <c r="F14" s="52" t="n">
        <v>3640</v>
      </c>
    </row>
    <row r="15" customFormat="false" ht="18" hidden="false" customHeight="true" outlineLevel="0" collapsed="false">
      <c r="B15" s="45" t="s">
        <v>272</v>
      </c>
      <c r="C15" s="45" t="s">
        <v>262</v>
      </c>
      <c r="D15" s="47" t="s">
        <v>302</v>
      </c>
      <c r="E15" s="47" t="s">
        <v>296</v>
      </c>
      <c r="F15" s="53" t="n">
        <v>3556</v>
      </c>
    </row>
    <row r="16" customFormat="false" ht="18" hidden="false" customHeight="true" outlineLevel="0" collapsed="false">
      <c r="B16" s="41" t="s">
        <v>270</v>
      </c>
      <c r="C16" s="41" t="s">
        <v>261</v>
      </c>
      <c r="D16" s="44" t="s">
        <v>303</v>
      </c>
      <c r="E16" s="44" t="s">
        <v>304</v>
      </c>
      <c r="F16" s="58" t="n">
        <v>3546</v>
      </c>
    </row>
    <row r="17" customFormat="false" ht="18" hidden="false" customHeight="true" outlineLevel="0" collapsed="false">
      <c r="B17" s="45" t="s">
        <v>279</v>
      </c>
      <c r="C17" s="45" t="s">
        <v>259</v>
      </c>
      <c r="D17" s="47" t="s">
        <v>305</v>
      </c>
      <c r="E17" s="47" t="s">
        <v>296</v>
      </c>
      <c r="F17" s="53" t="n">
        <v>3150</v>
      </c>
    </row>
    <row r="18" customFormat="false" ht="18" hidden="false" customHeight="true" outlineLevel="0" collapsed="false">
      <c r="B18" s="38" t="s">
        <v>306</v>
      </c>
      <c r="C18" s="38" t="s">
        <v>259</v>
      </c>
      <c r="D18" s="50" t="s">
        <v>307</v>
      </c>
      <c r="E18" s="50" t="s">
        <v>308</v>
      </c>
      <c r="F18" s="61" t="n">
        <v>3149</v>
      </c>
    </row>
    <row r="19" customFormat="false" ht="18" hidden="false" customHeight="true" outlineLevel="0" collapsed="false">
      <c r="B19" s="45" t="s">
        <v>273</v>
      </c>
      <c r="C19" s="45" t="s">
        <v>258</v>
      </c>
      <c r="D19" s="47" t="s">
        <v>309</v>
      </c>
      <c r="E19" s="47" t="s">
        <v>310</v>
      </c>
      <c r="F19" s="53" t="n">
        <v>2800</v>
      </c>
    </row>
    <row r="20" customFormat="false" ht="18" hidden="false" customHeight="true" outlineLevel="0" collapsed="false">
      <c r="B20" s="27" t="s">
        <v>277</v>
      </c>
      <c r="C20" s="27" t="s">
        <v>258</v>
      </c>
      <c r="D20" s="29" t="s">
        <v>311</v>
      </c>
      <c r="E20" s="29" t="s">
        <v>287</v>
      </c>
      <c r="F20" s="52" t="n">
        <v>2761.2</v>
      </c>
    </row>
    <row r="21" customFormat="false" ht="18" hidden="false" customHeight="true" outlineLevel="0" collapsed="false">
      <c r="B21" s="45" t="s">
        <v>276</v>
      </c>
      <c r="C21" s="45" t="s">
        <v>258</v>
      </c>
      <c r="D21" s="47" t="s">
        <v>312</v>
      </c>
      <c r="E21" s="47" t="s">
        <v>293</v>
      </c>
      <c r="F21" s="53" t="n">
        <v>2646</v>
      </c>
    </row>
    <row r="22" customFormat="false" ht="18" hidden="false" customHeight="true" outlineLevel="0" collapsed="false">
      <c r="B22" s="27" t="s">
        <v>269</v>
      </c>
      <c r="C22" s="27" t="s">
        <v>259</v>
      </c>
      <c r="D22" s="29" t="s">
        <v>313</v>
      </c>
      <c r="E22" s="29" t="s">
        <v>296</v>
      </c>
      <c r="F22" s="52" t="n">
        <v>2624</v>
      </c>
    </row>
    <row r="23" customFormat="false" ht="18" hidden="false" customHeight="true" outlineLevel="0" collapsed="false">
      <c r="B23" s="45" t="s">
        <v>273</v>
      </c>
      <c r="C23" s="45" t="s">
        <v>258</v>
      </c>
      <c r="D23" s="47" t="s">
        <v>314</v>
      </c>
      <c r="E23" s="47" t="s">
        <v>293</v>
      </c>
      <c r="F23" s="53" t="n">
        <v>2208.96</v>
      </c>
    </row>
    <row r="24" customFormat="false" ht="18" hidden="false" customHeight="true" outlineLevel="0" collapsed="false">
      <c r="B24" s="27" t="s">
        <v>299</v>
      </c>
      <c r="C24" s="27" t="s">
        <v>263</v>
      </c>
      <c r="D24" s="29" t="s">
        <v>315</v>
      </c>
      <c r="E24" s="29" t="s">
        <v>296</v>
      </c>
      <c r="F24" s="52" t="n">
        <v>2200</v>
      </c>
    </row>
    <row r="25" customFormat="false" ht="18" hidden="false" customHeight="true" outlineLevel="0" collapsed="false">
      <c r="B25" s="45" t="s">
        <v>282</v>
      </c>
      <c r="C25" s="45" t="s">
        <v>258</v>
      </c>
      <c r="D25" s="47" t="s">
        <v>316</v>
      </c>
      <c r="E25" s="47" t="s">
        <v>287</v>
      </c>
      <c r="F25" s="53" t="n">
        <v>2000</v>
      </c>
    </row>
    <row r="26" customFormat="false" ht="18" hidden="false" customHeight="true" outlineLevel="0" collapsed="false">
      <c r="B26" s="41" t="s">
        <v>270</v>
      </c>
      <c r="C26" s="41" t="s">
        <v>261</v>
      </c>
      <c r="D26" s="44" t="s">
        <v>317</v>
      </c>
      <c r="E26" s="44" t="s">
        <v>304</v>
      </c>
      <c r="F26" s="58" t="n">
        <v>1773</v>
      </c>
    </row>
    <row r="27" customFormat="false" ht="18" hidden="false" customHeight="true" outlineLevel="0" collapsed="false">
      <c r="B27" s="41" t="s">
        <v>270</v>
      </c>
      <c r="C27" s="41" t="s">
        <v>261</v>
      </c>
      <c r="D27" s="44" t="s">
        <v>176</v>
      </c>
      <c r="E27" s="44" t="s">
        <v>318</v>
      </c>
      <c r="F27" s="58" t="n">
        <v>1477.5</v>
      </c>
    </row>
    <row r="28" customFormat="false" ht="18" hidden="false" customHeight="true" outlineLevel="0" collapsed="false">
      <c r="B28" s="27" t="s">
        <v>277</v>
      </c>
      <c r="C28" s="27" t="s">
        <v>258</v>
      </c>
      <c r="D28" s="29" t="s">
        <v>319</v>
      </c>
      <c r="E28" s="29" t="s">
        <v>287</v>
      </c>
      <c r="F28" s="52" t="n">
        <v>1404</v>
      </c>
    </row>
    <row r="29" customFormat="false" ht="18" hidden="false" customHeight="true" outlineLevel="0" collapsed="false">
      <c r="B29" s="45" t="s">
        <v>276</v>
      </c>
      <c r="C29" s="45" t="s">
        <v>258</v>
      </c>
      <c r="D29" s="47" t="s">
        <v>320</v>
      </c>
      <c r="E29" s="47" t="s">
        <v>296</v>
      </c>
      <c r="F29" s="53" t="n">
        <v>1365</v>
      </c>
    </row>
    <row r="30" customFormat="false" ht="18" hidden="false" customHeight="true" outlineLevel="0" collapsed="false">
      <c r="B30" s="38" t="s">
        <v>281</v>
      </c>
      <c r="C30" s="38" t="s">
        <v>259</v>
      </c>
      <c r="D30" s="50" t="s">
        <v>321</v>
      </c>
      <c r="E30" s="50" t="s">
        <v>322</v>
      </c>
      <c r="F30" s="61" t="n">
        <v>1344</v>
      </c>
    </row>
    <row r="31" customFormat="false" ht="18" hidden="false" customHeight="true" outlineLevel="0" collapsed="false">
      <c r="B31" s="38" t="s">
        <v>299</v>
      </c>
      <c r="C31" s="38" t="s">
        <v>264</v>
      </c>
      <c r="D31" s="50" t="s">
        <v>323</v>
      </c>
      <c r="E31" s="50" t="s">
        <v>322</v>
      </c>
      <c r="F31" s="61" t="n">
        <v>1050</v>
      </c>
    </row>
    <row r="32" customFormat="false" ht="18" hidden="false" customHeight="true" outlineLevel="0" collapsed="false">
      <c r="B32" s="38" t="s">
        <v>281</v>
      </c>
      <c r="C32" s="38" t="s">
        <v>259</v>
      </c>
      <c r="D32" s="50" t="s">
        <v>324</v>
      </c>
      <c r="E32" s="50" t="s">
        <v>325</v>
      </c>
      <c r="F32" s="61" t="n">
        <v>1005.05</v>
      </c>
    </row>
    <row r="33" customFormat="false" ht="18" hidden="false" customHeight="true" outlineLevel="0" collapsed="false">
      <c r="B33" s="45" t="s">
        <v>273</v>
      </c>
      <c r="C33" s="45" t="s">
        <v>258</v>
      </c>
      <c r="D33" s="47" t="s">
        <v>326</v>
      </c>
      <c r="E33" s="47" t="s">
        <v>310</v>
      </c>
      <c r="F33" s="53" t="n">
        <v>936</v>
      </c>
    </row>
    <row r="34" customFormat="false" ht="18" hidden="false" customHeight="true" outlineLevel="0" collapsed="false">
      <c r="B34" s="27" t="s">
        <v>273</v>
      </c>
      <c r="C34" s="27" t="s">
        <v>258</v>
      </c>
      <c r="D34" s="29" t="s">
        <v>327</v>
      </c>
      <c r="E34" s="29" t="s">
        <v>310</v>
      </c>
      <c r="F34" s="52" t="n">
        <v>936</v>
      </c>
    </row>
    <row r="35" customFormat="false" ht="18" hidden="false" customHeight="true" outlineLevel="0" collapsed="false">
      <c r="B35" s="45" t="s">
        <v>277</v>
      </c>
      <c r="C35" s="45" t="s">
        <v>258</v>
      </c>
      <c r="D35" s="47" t="s">
        <v>328</v>
      </c>
      <c r="E35" s="47" t="s">
        <v>287</v>
      </c>
      <c r="F35" s="53" t="n">
        <v>936</v>
      </c>
    </row>
    <row r="36" customFormat="false" ht="18" hidden="false" customHeight="true" outlineLevel="0" collapsed="false">
      <c r="B36" s="38" t="s">
        <v>329</v>
      </c>
      <c r="C36" s="38" t="s">
        <v>262</v>
      </c>
      <c r="D36" s="50" t="s">
        <v>330</v>
      </c>
      <c r="E36" s="50" t="s">
        <v>322</v>
      </c>
      <c r="F36" s="61" t="n">
        <v>896.8</v>
      </c>
    </row>
    <row r="37" customFormat="false" ht="18" hidden="false" customHeight="true" outlineLevel="0" collapsed="false">
      <c r="B37" s="45" t="s">
        <v>269</v>
      </c>
      <c r="C37" s="45" t="s">
        <v>259</v>
      </c>
      <c r="D37" s="47" t="s">
        <v>331</v>
      </c>
      <c r="E37" s="47" t="s">
        <v>293</v>
      </c>
      <c r="F37" s="53" t="n">
        <v>665</v>
      </c>
    </row>
    <row r="38" customFormat="false" ht="18" hidden="false" customHeight="true" outlineLevel="0" collapsed="false">
      <c r="B38" s="38" t="s">
        <v>332</v>
      </c>
      <c r="C38" s="38" t="s">
        <v>266</v>
      </c>
      <c r="D38" s="50" t="s">
        <v>333</v>
      </c>
      <c r="E38" s="50" t="s">
        <v>334</v>
      </c>
      <c r="F38" s="61" t="n">
        <v>600</v>
      </c>
    </row>
    <row r="39" customFormat="false" ht="18" hidden="false" customHeight="true" outlineLevel="0" collapsed="false">
      <c r="B39" s="45" t="s">
        <v>281</v>
      </c>
      <c r="C39" s="45" t="s">
        <v>259</v>
      </c>
      <c r="D39" s="47" t="s">
        <v>335</v>
      </c>
      <c r="E39" s="47" t="s">
        <v>287</v>
      </c>
      <c r="F39" s="53" t="n">
        <v>522</v>
      </c>
    </row>
    <row r="40" customFormat="false" ht="18" hidden="false" customHeight="true" outlineLevel="0" collapsed="false">
      <c r="B40" s="38" t="s">
        <v>329</v>
      </c>
      <c r="C40" s="38" t="s">
        <v>262</v>
      </c>
      <c r="D40" s="50" t="s">
        <v>336</v>
      </c>
      <c r="E40" s="50" t="s">
        <v>322</v>
      </c>
      <c r="F40" s="61" t="n">
        <v>448.4</v>
      </c>
    </row>
    <row r="41" customFormat="false" ht="18" hidden="false" customHeight="true" outlineLevel="0" collapsed="false">
      <c r="B41" s="45" t="s">
        <v>337</v>
      </c>
      <c r="C41" s="45" t="s">
        <v>262</v>
      </c>
      <c r="D41" s="47" t="s">
        <v>338</v>
      </c>
      <c r="E41" s="47" t="s">
        <v>296</v>
      </c>
      <c r="F41" s="53" t="n">
        <v>400</v>
      </c>
    </row>
    <row r="42" customFormat="false" ht="18" hidden="false" customHeight="true" outlineLevel="0" collapsed="false">
      <c r="B42" s="27" t="s">
        <v>337</v>
      </c>
      <c r="C42" s="27" t="s">
        <v>258</v>
      </c>
      <c r="D42" s="29" t="s">
        <v>339</v>
      </c>
      <c r="E42" s="29" t="s">
        <v>293</v>
      </c>
      <c r="F42" s="52" t="n">
        <v>400</v>
      </c>
    </row>
    <row r="43" customFormat="false" ht="18" hidden="false" customHeight="true" outlineLevel="0" collapsed="false">
      <c r="B43" s="45" t="s">
        <v>340</v>
      </c>
      <c r="C43" s="45" t="s">
        <v>265</v>
      </c>
      <c r="D43" s="47" t="s">
        <v>341</v>
      </c>
      <c r="E43" s="47" t="s">
        <v>293</v>
      </c>
      <c r="F43" s="53" t="n">
        <v>400</v>
      </c>
    </row>
    <row r="44" customFormat="false" ht="18" hidden="false" customHeight="true" outlineLevel="0" collapsed="false">
      <c r="B44" s="27" t="s">
        <v>340</v>
      </c>
      <c r="C44" s="27" t="s">
        <v>265</v>
      </c>
      <c r="D44" s="29" t="s">
        <v>342</v>
      </c>
      <c r="E44" s="29" t="s">
        <v>293</v>
      </c>
      <c r="F44" s="52" t="n">
        <v>400</v>
      </c>
    </row>
    <row r="45" customFormat="false" ht="18" hidden="false" customHeight="true" outlineLevel="0" collapsed="false">
      <c r="B45" s="45" t="s">
        <v>343</v>
      </c>
      <c r="C45" s="45" t="s">
        <v>259</v>
      </c>
      <c r="D45" s="47" t="s">
        <v>344</v>
      </c>
      <c r="E45" s="47" t="s">
        <v>287</v>
      </c>
      <c r="F45" s="53" t="n">
        <v>304</v>
      </c>
    </row>
    <row r="46" customFormat="false" ht="18" hidden="false" customHeight="true" outlineLevel="0" collapsed="false">
      <c r="B46" s="27" t="s">
        <v>273</v>
      </c>
      <c r="C46" s="27" t="s">
        <v>258</v>
      </c>
      <c r="D46" s="29" t="s">
        <v>345</v>
      </c>
      <c r="E46" s="29" t="s">
        <v>287</v>
      </c>
      <c r="F46" s="52" t="n">
        <v>300</v>
      </c>
    </row>
    <row r="47" customFormat="false" ht="18" hidden="false" customHeight="true" outlineLevel="0" collapsed="false">
      <c r="B47" s="45" t="s">
        <v>276</v>
      </c>
      <c r="C47" s="45" t="s">
        <v>258</v>
      </c>
      <c r="D47" s="47" t="s">
        <v>346</v>
      </c>
      <c r="E47" s="47" t="s">
        <v>287</v>
      </c>
      <c r="F47" s="53" t="n">
        <v>300</v>
      </c>
    </row>
    <row r="48" customFormat="false" ht="18" hidden="false" customHeight="true" outlineLevel="0" collapsed="false">
      <c r="B48" s="27" t="s">
        <v>276</v>
      </c>
      <c r="C48" s="27" t="s">
        <v>258</v>
      </c>
      <c r="D48" s="29" t="s">
        <v>347</v>
      </c>
      <c r="E48" s="29" t="s">
        <v>287</v>
      </c>
      <c r="F48" s="52" t="n">
        <v>300</v>
      </c>
    </row>
    <row r="49" customFormat="false" ht="18" hidden="false" customHeight="true" outlineLevel="0" collapsed="false">
      <c r="B49" s="45" t="s">
        <v>276</v>
      </c>
      <c r="C49" s="45" t="s">
        <v>258</v>
      </c>
      <c r="D49" s="47" t="s">
        <v>348</v>
      </c>
      <c r="E49" s="47" t="s">
        <v>293</v>
      </c>
      <c r="F49" s="53" t="n">
        <v>280</v>
      </c>
    </row>
    <row r="50" customFormat="false" ht="18" hidden="false" customHeight="true" outlineLevel="0" collapsed="false">
      <c r="B50" s="27" t="s">
        <v>343</v>
      </c>
      <c r="C50" s="27" t="s">
        <v>259</v>
      </c>
      <c r="D50" s="29" t="s">
        <v>349</v>
      </c>
      <c r="E50" s="29" t="s">
        <v>350</v>
      </c>
      <c r="F50" s="52" t="n">
        <v>280</v>
      </c>
    </row>
    <row r="51" customFormat="false" ht="18" hidden="false" customHeight="true" outlineLevel="0" collapsed="false">
      <c r="B51" s="45" t="s">
        <v>276</v>
      </c>
      <c r="C51" s="45" t="s">
        <v>258</v>
      </c>
      <c r="D51" s="47" t="s">
        <v>351</v>
      </c>
      <c r="E51" s="47" t="s">
        <v>293</v>
      </c>
      <c r="F51" s="53" t="n">
        <v>250</v>
      </c>
    </row>
    <row r="52" customFormat="false" ht="18" hidden="false" customHeight="true" outlineLevel="0" collapsed="false">
      <c r="B52" s="27" t="s">
        <v>343</v>
      </c>
      <c r="C52" s="27" t="s">
        <v>259</v>
      </c>
      <c r="D52" s="29" t="s">
        <v>352</v>
      </c>
      <c r="E52" s="29" t="s">
        <v>287</v>
      </c>
      <c r="F52" s="52" t="n">
        <v>222</v>
      </c>
    </row>
    <row r="53" customFormat="false" ht="18" hidden="false" customHeight="true" outlineLevel="0" collapsed="false">
      <c r="B53" s="45" t="s">
        <v>340</v>
      </c>
      <c r="C53" s="45" t="s">
        <v>265</v>
      </c>
      <c r="D53" s="47" t="s">
        <v>353</v>
      </c>
      <c r="E53" s="47" t="s">
        <v>296</v>
      </c>
      <c r="F53" s="53" t="n">
        <v>200</v>
      </c>
    </row>
    <row r="55" customFormat="false" ht="21.75" hidden="false" customHeight="true" outlineLevel="0" collapsed="false">
      <c r="B55" s="6" t="s">
        <v>354</v>
      </c>
      <c r="C55" s="6"/>
      <c r="D55" s="6"/>
      <c r="E55" s="6"/>
      <c r="F55" s="6"/>
    </row>
    <row r="56" customFormat="false" ht="21.75" hidden="false" customHeight="true" outlineLevel="0" collapsed="false">
      <c r="B56" s="26" t="s">
        <v>85</v>
      </c>
      <c r="C56" s="26" t="s">
        <v>58</v>
      </c>
      <c r="D56" s="26" t="s">
        <v>102</v>
      </c>
      <c r="E56" s="26" t="s">
        <v>105</v>
      </c>
      <c r="F56" s="26" t="s">
        <v>285</v>
      </c>
    </row>
    <row r="57" customFormat="false" ht="18" hidden="false" customHeight="true" outlineLevel="0" collapsed="false">
      <c r="B57" s="62" t="s">
        <v>355</v>
      </c>
      <c r="C57" s="62" t="s">
        <v>356</v>
      </c>
      <c r="D57" s="63" t="s">
        <v>234</v>
      </c>
      <c r="E57" s="63" t="s">
        <v>357</v>
      </c>
      <c r="F57" s="64" t="n">
        <v>11760</v>
      </c>
    </row>
    <row r="58" customFormat="false" ht="18" hidden="false" customHeight="true" outlineLevel="0" collapsed="false">
      <c r="B58" s="62" t="s">
        <v>358</v>
      </c>
      <c r="C58" s="62" t="s">
        <v>356</v>
      </c>
      <c r="D58" s="63" t="s">
        <v>253</v>
      </c>
      <c r="E58" s="63" t="s">
        <v>359</v>
      </c>
      <c r="F58" s="64" t="n">
        <v>14657</v>
      </c>
    </row>
    <row r="59" customFormat="false" ht="18" hidden="false" customHeight="true" outlineLevel="0" collapsed="false">
      <c r="B59" s="62" t="s">
        <v>358</v>
      </c>
      <c r="C59" s="62" t="s">
        <v>356</v>
      </c>
      <c r="D59" s="63" t="s">
        <v>360</v>
      </c>
      <c r="E59" s="63" t="s">
        <v>361</v>
      </c>
      <c r="F59" s="64" t="n">
        <v>27451.5</v>
      </c>
    </row>
    <row r="60" customFormat="false" ht="18" hidden="false" customHeight="true" outlineLevel="0" collapsed="false">
      <c r="B60" s="62" t="s">
        <v>358</v>
      </c>
      <c r="C60" s="62" t="s">
        <v>356</v>
      </c>
      <c r="D60" s="63" t="s">
        <v>362</v>
      </c>
      <c r="E60" s="63" t="s">
        <v>361</v>
      </c>
      <c r="F60" s="64" t="n">
        <v>19714.5</v>
      </c>
    </row>
    <row r="61" customFormat="false" ht="18" hidden="false" customHeight="true" outlineLevel="0" collapsed="false">
      <c r="B61" s="62" t="s">
        <v>358</v>
      </c>
      <c r="C61" s="62" t="s">
        <v>356</v>
      </c>
      <c r="D61" s="63" t="s">
        <v>158</v>
      </c>
      <c r="E61" s="63" t="s">
        <v>361</v>
      </c>
      <c r="F61" s="64" t="n">
        <v>23224</v>
      </c>
    </row>
    <row r="62" customFormat="false" ht="18" hidden="false" customHeight="true" outlineLevel="0" collapsed="false">
      <c r="B62" s="62" t="s">
        <v>358</v>
      </c>
      <c r="C62" s="62" t="s">
        <v>356</v>
      </c>
      <c r="D62" s="63" t="s">
        <v>363</v>
      </c>
      <c r="E62" s="63" t="s">
        <v>364</v>
      </c>
      <c r="F62" s="64" t="n">
        <v>14424</v>
      </c>
    </row>
    <row r="63" customFormat="false" ht="18" hidden="false" customHeight="true" outlineLevel="0" collapsed="false">
      <c r="B63" s="62" t="s">
        <v>358</v>
      </c>
      <c r="C63" s="62" t="s">
        <v>356</v>
      </c>
      <c r="D63" s="63" t="s">
        <v>365</v>
      </c>
      <c r="E63" s="63" t="s">
        <v>364</v>
      </c>
      <c r="F63" s="64" t="n">
        <v>4200</v>
      </c>
    </row>
    <row r="64" customFormat="false" ht="18" hidden="false" customHeight="true" outlineLevel="0" collapsed="false">
      <c r="B64" s="62" t="s">
        <v>358</v>
      </c>
      <c r="C64" s="62" t="s">
        <v>356</v>
      </c>
      <c r="D64" s="63" t="s">
        <v>366</v>
      </c>
      <c r="E64" s="63" t="s">
        <v>364</v>
      </c>
      <c r="F64" s="64" t="n">
        <v>35370</v>
      </c>
    </row>
    <row r="65" customFormat="false" ht="18" hidden="false" customHeight="true" outlineLevel="0" collapsed="false">
      <c r="B65" s="62" t="s">
        <v>358</v>
      </c>
      <c r="C65" s="62" t="s">
        <v>356</v>
      </c>
      <c r="D65" s="63" t="s">
        <v>367</v>
      </c>
      <c r="E65" s="63" t="s">
        <v>368</v>
      </c>
      <c r="F65" s="64" t="n">
        <v>11700</v>
      </c>
    </row>
    <row r="66" customFormat="false" ht="18" hidden="false" customHeight="true" outlineLevel="0" collapsed="false">
      <c r="B66" s="62" t="s">
        <v>358</v>
      </c>
      <c r="C66" s="62" t="s">
        <v>356</v>
      </c>
      <c r="D66" s="63" t="s">
        <v>155</v>
      </c>
      <c r="E66" s="63" t="s">
        <v>368</v>
      </c>
      <c r="F66" s="64" t="n">
        <v>6048</v>
      </c>
    </row>
    <row r="67" customFormat="false" ht="18" hidden="false" customHeight="true" outlineLevel="0" collapsed="false">
      <c r="B67" s="62" t="s">
        <v>358</v>
      </c>
      <c r="C67" s="62" t="s">
        <v>356</v>
      </c>
      <c r="D67" s="63" t="s">
        <v>369</v>
      </c>
      <c r="E67" s="63" t="s">
        <v>368</v>
      </c>
      <c r="F67" s="64" t="n">
        <v>4335</v>
      </c>
    </row>
    <row r="68" customFormat="false" ht="18" hidden="false" customHeight="true" outlineLevel="0" collapsed="false">
      <c r="B68" s="62" t="s">
        <v>358</v>
      </c>
      <c r="C68" s="62" t="s">
        <v>356</v>
      </c>
      <c r="D68" s="63" t="s">
        <v>163</v>
      </c>
      <c r="E68" s="63" t="s">
        <v>368</v>
      </c>
      <c r="F68" s="64" t="n">
        <v>604.5</v>
      </c>
    </row>
    <row r="69" customFormat="false" ht="18" hidden="false" customHeight="true" outlineLevel="0" collapsed="false">
      <c r="B69" s="62" t="s">
        <v>358</v>
      </c>
      <c r="C69" s="62" t="s">
        <v>356</v>
      </c>
      <c r="D69" s="63" t="s">
        <v>370</v>
      </c>
      <c r="E69" s="63" t="s">
        <v>368</v>
      </c>
      <c r="F69" s="64" t="n">
        <v>4074</v>
      </c>
    </row>
    <row r="70" customFormat="false" ht="18" hidden="false" customHeight="true" outlineLevel="0" collapsed="false">
      <c r="B70" s="62" t="s">
        <v>358</v>
      </c>
      <c r="C70" s="62" t="s">
        <v>356</v>
      </c>
      <c r="D70" s="63" t="s">
        <v>193</v>
      </c>
      <c r="E70" s="63" t="s">
        <v>368</v>
      </c>
      <c r="F70" s="64" t="n">
        <v>8400</v>
      </c>
    </row>
    <row r="71" customFormat="false" ht="18" hidden="false" customHeight="true" outlineLevel="0" collapsed="false">
      <c r="B71" s="62" t="s">
        <v>358</v>
      </c>
      <c r="C71" s="62" t="s">
        <v>356</v>
      </c>
      <c r="D71" s="63" t="s">
        <v>169</v>
      </c>
      <c r="E71" s="63" t="s">
        <v>368</v>
      </c>
      <c r="F71" s="64" t="n">
        <v>2044</v>
      </c>
    </row>
    <row r="72" customFormat="false" ht="18" hidden="false" customHeight="true" outlineLevel="0" collapsed="false">
      <c r="B72" s="62" t="s">
        <v>358</v>
      </c>
      <c r="C72" s="62" t="s">
        <v>356</v>
      </c>
      <c r="D72" s="63" t="s">
        <v>186</v>
      </c>
      <c r="E72" s="63" t="s">
        <v>368</v>
      </c>
      <c r="F72" s="64" t="n">
        <v>8834</v>
      </c>
    </row>
  </sheetData>
  <mergeCells count="3">
    <mergeCell ref="A2:G2"/>
    <mergeCell ref="B4:F4"/>
    <mergeCell ref="B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33.75" hidden="false" customHeight="true" outlineLevel="0" collapsed="false">
      <c r="A2" s="65" t="s">
        <v>371</v>
      </c>
      <c r="B2" s="65"/>
      <c r="C2" s="65"/>
      <c r="D2" s="65"/>
      <c r="E2" s="65"/>
      <c r="F2" s="65"/>
      <c r="G2" s="65"/>
    </row>
    <row r="3" customFormat="false" ht="7.5" hidden="false" customHeight="true" outlineLevel="0" collapsed="false"/>
    <row r="4" customFormat="false" ht="21.75" hidden="false" customHeight="true" outlineLevel="0" collapsed="false">
      <c r="B4" s="15" t="s">
        <v>372</v>
      </c>
      <c r="C4" s="15"/>
      <c r="D4" s="15"/>
      <c r="E4" s="15"/>
      <c r="F4" s="15"/>
    </row>
    <row r="5" customFormat="false" ht="21.75" hidden="false" customHeight="true" outlineLevel="0" collapsed="false">
      <c r="B5" s="26" t="s">
        <v>85</v>
      </c>
      <c r="C5" s="26" t="s">
        <v>58</v>
      </c>
      <c r="D5" s="26" t="s">
        <v>373</v>
      </c>
      <c r="E5" s="26" t="s">
        <v>374</v>
      </c>
      <c r="F5" s="26" t="s">
        <v>375</v>
      </c>
    </row>
    <row r="6" customFormat="false" ht="18" hidden="false" customHeight="true" outlineLevel="0" collapsed="false">
      <c r="B6" s="41" t="s">
        <v>376</v>
      </c>
      <c r="C6" s="41" t="s">
        <v>63</v>
      </c>
      <c r="D6" s="42" t="n">
        <v>13786727</v>
      </c>
      <c r="E6" s="44" t="n">
        <v>103</v>
      </c>
      <c r="F6" s="41" t="s">
        <v>377</v>
      </c>
    </row>
    <row r="7" customFormat="false" ht="18" hidden="false" customHeight="true" outlineLevel="0" collapsed="false">
      <c r="B7" s="41" t="s">
        <v>95</v>
      </c>
      <c r="C7" s="41" t="s">
        <v>64</v>
      </c>
      <c r="D7" s="42" t="n">
        <v>4194750</v>
      </c>
      <c r="E7" s="44" t="n">
        <v>104</v>
      </c>
      <c r="F7" s="41" t="s">
        <v>378</v>
      </c>
    </row>
    <row r="8" customFormat="false" ht="18" hidden="false" customHeight="true" outlineLevel="0" collapsed="false">
      <c r="B8" s="41" t="s">
        <v>121</v>
      </c>
      <c r="C8" s="41" t="s">
        <v>64</v>
      </c>
      <c r="D8" s="42" t="n">
        <v>1473696</v>
      </c>
      <c r="E8" s="44" t="n">
        <v>92</v>
      </c>
      <c r="F8" s="41" t="s">
        <v>379</v>
      </c>
    </row>
    <row r="9" customFormat="false" ht="18" hidden="false" customHeight="true" outlineLevel="0" collapsed="false">
      <c r="B9" s="38" t="s">
        <v>125</v>
      </c>
      <c r="C9" s="38" t="s">
        <v>63</v>
      </c>
      <c r="D9" s="39" t="n">
        <v>921215</v>
      </c>
      <c r="E9" s="50" t="n">
        <v>85</v>
      </c>
      <c r="F9" s="38" t="s">
        <v>380</v>
      </c>
    </row>
    <row r="10" customFormat="false" ht="18" hidden="false" customHeight="true" outlineLevel="0" collapsed="false">
      <c r="B10" s="38" t="s">
        <v>137</v>
      </c>
      <c r="C10" s="38" t="s">
        <v>64</v>
      </c>
      <c r="D10" s="39" t="n">
        <v>182047</v>
      </c>
      <c r="E10" s="50" t="n">
        <v>61</v>
      </c>
      <c r="F10" s="38" t="s">
        <v>381</v>
      </c>
    </row>
    <row r="12" customFormat="false" ht="21.75" hidden="false" customHeight="true" outlineLevel="0" collapsed="false">
      <c r="B12" s="15" t="s">
        <v>382</v>
      </c>
      <c r="C12" s="15"/>
      <c r="D12" s="15"/>
      <c r="E12" s="15"/>
      <c r="F12" s="15"/>
    </row>
    <row r="14" customFormat="false" ht="21.75" hidden="false" customHeight="true" outlineLevel="0" collapsed="false">
      <c r="B14" s="60" t="s">
        <v>383</v>
      </c>
      <c r="C14" s="60"/>
      <c r="D14" s="60"/>
      <c r="E14" s="60"/>
      <c r="F14" s="60"/>
    </row>
    <row r="15" customFormat="false" ht="21.75" hidden="false" customHeight="true" outlineLevel="0" collapsed="false">
      <c r="B15" s="26" t="s">
        <v>85</v>
      </c>
      <c r="C15" s="26" t="s">
        <v>58</v>
      </c>
      <c r="D15" s="26" t="s">
        <v>285</v>
      </c>
      <c r="E15" s="26" t="s">
        <v>105</v>
      </c>
      <c r="F15" s="26" t="s">
        <v>375</v>
      </c>
    </row>
    <row r="16" customFormat="false" ht="18" hidden="false" customHeight="true" outlineLevel="0" collapsed="false">
      <c r="B16" s="38" t="s">
        <v>271</v>
      </c>
      <c r="C16" s="38" t="s">
        <v>260</v>
      </c>
      <c r="D16" s="61" t="n">
        <v>9493</v>
      </c>
      <c r="E16" s="50" t="s">
        <v>291</v>
      </c>
      <c r="F16" s="38" t="s">
        <v>384</v>
      </c>
    </row>
    <row r="17" customFormat="false" ht="18" hidden="false" customHeight="true" outlineLevel="0" collapsed="false">
      <c r="B17" s="38" t="s">
        <v>270</v>
      </c>
      <c r="C17" s="38" t="s">
        <v>261</v>
      </c>
      <c r="D17" s="61" t="n">
        <v>4077.9</v>
      </c>
      <c r="E17" s="50" t="s">
        <v>298</v>
      </c>
      <c r="F17" s="38" t="s">
        <v>384</v>
      </c>
    </row>
    <row r="18" customFormat="false" ht="18" hidden="false" customHeight="true" outlineLevel="0" collapsed="false">
      <c r="B18" s="41" t="s">
        <v>270</v>
      </c>
      <c r="C18" s="41" t="s">
        <v>261</v>
      </c>
      <c r="D18" s="58" t="n">
        <v>3546</v>
      </c>
      <c r="E18" s="44" t="s">
        <v>304</v>
      </c>
      <c r="F18" s="41" t="s">
        <v>385</v>
      </c>
    </row>
    <row r="19" customFormat="false" ht="18" hidden="false" customHeight="true" outlineLevel="0" collapsed="false">
      <c r="B19" s="35" t="s">
        <v>280</v>
      </c>
      <c r="C19" s="35" t="s">
        <v>259</v>
      </c>
      <c r="D19" s="66" t="n">
        <v>3149</v>
      </c>
      <c r="E19" s="48" t="s">
        <v>308</v>
      </c>
      <c r="F19" s="35" t="s">
        <v>386</v>
      </c>
    </row>
    <row r="20" customFormat="false" ht="18" hidden="false" customHeight="true" outlineLevel="0" collapsed="false">
      <c r="B20" s="41" t="s">
        <v>270</v>
      </c>
      <c r="C20" s="41" t="s">
        <v>261</v>
      </c>
      <c r="D20" s="58" t="n">
        <v>1773</v>
      </c>
      <c r="E20" s="44" t="s">
        <v>304</v>
      </c>
      <c r="F20" s="41" t="s">
        <v>385</v>
      </c>
    </row>
    <row r="21" customFormat="false" ht="18" hidden="false" customHeight="true" outlineLevel="0" collapsed="false">
      <c r="B21" s="41" t="s">
        <v>270</v>
      </c>
      <c r="C21" s="41" t="s">
        <v>261</v>
      </c>
      <c r="D21" s="58" t="n">
        <v>1477.5</v>
      </c>
      <c r="E21" s="44" t="s">
        <v>318</v>
      </c>
      <c r="F21" s="41" t="s">
        <v>385</v>
      </c>
    </row>
    <row r="22" customFormat="false" ht="18" hidden="false" customHeight="true" outlineLevel="0" collapsed="false">
      <c r="B22" s="38" t="s">
        <v>281</v>
      </c>
      <c r="C22" s="38" t="s">
        <v>259</v>
      </c>
      <c r="D22" s="61" t="n">
        <v>1344</v>
      </c>
      <c r="E22" s="50" t="s">
        <v>322</v>
      </c>
      <c r="F22" s="38" t="s">
        <v>384</v>
      </c>
    </row>
    <row r="23" customFormat="false" ht="18" hidden="false" customHeight="true" outlineLevel="0" collapsed="false">
      <c r="B23" s="38" t="s">
        <v>274</v>
      </c>
      <c r="C23" s="38" t="s">
        <v>264</v>
      </c>
      <c r="D23" s="61" t="n">
        <v>1050</v>
      </c>
      <c r="E23" s="50" t="s">
        <v>322</v>
      </c>
      <c r="F23" s="38" t="s">
        <v>384</v>
      </c>
    </row>
    <row r="24" customFormat="false" ht="18" hidden="false" customHeight="true" outlineLevel="0" collapsed="false">
      <c r="B24" s="38" t="s">
        <v>281</v>
      </c>
      <c r="C24" s="38" t="s">
        <v>259</v>
      </c>
      <c r="D24" s="61" t="n">
        <v>1005.05</v>
      </c>
      <c r="E24" s="50" t="s">
        <v>325</v>
      </c>
      <c r="F24" s="38" t="s">
        <v>384</v>
      </c>
    </row>
    <row r="25" customFormat="false" ht="18" hidden="false" customHeight="true" outlineLevel="0" collapsed="false">
      <c r="B25" s="38" t="s">
        <v>329</v>
      </c>
      <c r="C25" s="38" t="s">
        <v>262</v>
      </c>
      <c r="D25" s="61" t="n">
        <v>896.8</v>
      </c>
      <c r="E25" s="50" t="s">
        <v>322</v>
      </c>
      <c r="F25" s="38" t="s">
        <v>384</v>
      </c>
    </row>
    <row r="26" customFormat="false" ht="18" hidden="false" customHeight="true" outlineLevel="0" collapsed="false">
      <c r="B26" s="38" t="s">
        <v>332</v>
      </c>
      <c r="C26" s="38" t="s">
        <v>266</v>
      </c>
      <c r="D26" s="61" t="n">
        <v>600</v>
      </c>
      <c r="E26" s="50" t="s">
        <v>334</v>
      </c>
      <c r="F26" s="38" t="s">
        <v>384</v>
      </c>
    </row>
    <row r="27" customFormat="false" ht="18" hidden="false" customHeight="true" outlineLevel="0" collapsed="false">
      <c r="B27" s="38" t="s">
        <v>329</v>
      </c>
      <c r="C27" s="38" t="s">
        <v>262</v>
      </c>
      <c r="D27" s="61" t="n">
        <v>448.4</v>
      </c>
      <c r="E27" s="50" t="s">
        <v>322</v>
      </c>
      <c r="F27" s="38" t="s">
        <v>384</v>
      </c>
    </row>
    <row r="29" customFormat="false" ht="21.75" hidden="false" customHeight="true" outlineLevel="0" collapsed="false">
      <c r="B29" s="60" t="s">
        <v>387</v>
      </c>
      <c r="C29" s="60"/>
      <c r="D29" s="60"/>
      <c r="E29" s="60"/>
      <c r="F29" s="60"/>
    </row>
  </sheetData>
  <mergeCells count="5">
    <mergeCell ref="A2:G2"/>
    <mergeCell ref="B4:F4"/>
    <mergeCell ref="B12:F12"/>
    <mergeCell ref="B14:F14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2026-04-17T20:27:18Z</dcterms:created>
  <dc:creator>openpyxl</dc:creator>
  <dc:description/>
  <dc:language>en-US</dc:language>
  <cp:lastModifiedBy/>
  <dcterms:modified xsi:type="dcterms:W3CDTF">2026-04-17T20:27:18Z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