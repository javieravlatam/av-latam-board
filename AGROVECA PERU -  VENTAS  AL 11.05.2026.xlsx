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B482DE45-190E-466C-B000-9C737AE02CAB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MAYO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3" hidden="1">'VENTAS ACUMULADAS 2026'!$B$6:$K$97</definedName>
    <definedName name="_xlnm._FilterDatabase" localSheetId="2" hidden="1">'VENTAS MAYO'!$A$6:$K$6</definedName>
    <definedName name="_xlnm.Print_Titles" localSheetId="2">'VENTAS MAYO'!$2:$6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0" i="7" l="1"/>
  <c r="I15" i="5"/>
</calcChain>
</file>

<file path=xl/sharedStrings.xml><?xml version="1.0" encoding="utf-8"?>
<sst xmlns="http://schemas.openxmlformats.org/spreadsheetml/2006/main" count="837" uniqueCount="267">
  <si>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</si>
  <si>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</si>
  <si>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</si>
  <si>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</si>
  <si>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</si>
  <si>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</si>
  <si>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</si>
  <si>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</si>
  <si>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</si>
  <si>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</si>
  <si>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</si>
  <si>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</si>
  <si>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</si>
  <si>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</si>
  <si>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</si>
  <si>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</si>
  <si>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</si>
  <si>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</si>
  <si>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</si>
  <si>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</si>
  <si>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</si>
  <si>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</si>
  <si>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</si>
  <si>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</si>
  <si>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</si>
  <si>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</si>
  <si>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</si>
  <si>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</si>
  <si>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</si>
  <si>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</si>
  <si>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</si>
  <si>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</si>
  <si>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</si>
  <si>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</si>
  <si>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</si>
  <si>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</si>
  <si>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</si>
  <si>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</si>
  <si>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</si>
  <si>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</si>
  <si>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</si>
  <si>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</si>
  <si>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</si>
  <si>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</si>
  <si>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</si>
  <si>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</si>
  <si>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</si>
  <si>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</si>
  <si>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</si>
  <si>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</si>
  <si>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</si>
  <si>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</si>
  <si>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</si>
  <si>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</si>
  <si>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</si>
  <si>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</si>
  <si>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</si>
  <si>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</si>
  <si>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</si>
  <si>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</si>
  <si>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</si>
  <si>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</si>
  <si>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</si>
  <si>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</si>
  <si>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</si>
  <si>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</si>
  <si>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</si>
  <si>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</si>
  <si>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</si>
  <si>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</si>
  <si>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</si>
  <si>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</si>
  <si>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</si>
  <si>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</si>
  <si>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</si>
  <si>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</si>
  <si>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</si>
  <si>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</si>
  <si>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</si>
  <si>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</si>
  <si>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</si>
  <si>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</si>
  <si>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</si>
  <si>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</si>
  <si>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</si>
  <si>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</si>
  <si>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</si>
  <si>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</si>
  <si>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</si>
  <si>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</si>
  <si>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</si>
  <si>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</si>
  <si>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</si>
  <si>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</si>
  <si>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</si>
  <si>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</si>
  <si>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</si>
  <si>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</si>
  <si>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</si>
  <si>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</si>
  <si>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</si>
  <si>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</si>
  <si>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</si>
  <si>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</si>
  <si>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</si>
  <si>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</si>
  <si>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</si>
  <si>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</si>
  <si>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</si>
  <si>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</si>
  <si>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</si>
  <si>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</si>
  <si>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</si>
  <si>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</si>
  <si>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</si>
  <si>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</si>
  <si>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</si>
  <si>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</si>
  <si>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</si>
  <si>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</si>
  <si>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</si>
  <si>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</si>
  <si>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</si>
  <si>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</si>
  <si>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</si>
  <si>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</si>
  <si>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</si>
  <si>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</si>
  <si>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</si>
  <si>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</si>
  <si>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</si>
  <si>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</si>
  <si>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</si>
  <si>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</si>
  <si>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</si>
  <si>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</si>
  <si>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</si>
  <si>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</si>
  <si>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</si>
  <si>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</si>
  <si>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</si>
  <si>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</si>
  <si>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</si>
  <si>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</si>
  <si>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</si>
  <si>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</si>
  <si>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</si>
  <si>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</si>
  <si>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</si>
  <si>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</si>
  <si>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</si>
  <si>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</si>
  <si>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</si>
  <si>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</si>
  <si>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</si>
  <si>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</si>
  <si>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</si>
  <si>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</si>
  <si>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</si>
  <si>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</si>
  <si>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</si>
  <si>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</si>
  <si>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</si>
  <si>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</si>
  <si>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</si>
  <si>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</si>
  <si>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</si>
  <si>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</si>
  <si>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</si>
  <si>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</si>
  <si>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</si>
  <si>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</si>
  <si>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</si>
  <si>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</si>
  <si>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</si>
  <si>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</si>
  <si>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</si>
  <si>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</si>
  <si>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</si>
  <si>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</si>
  <si>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</si>
  <si>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</si>
  <si>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</si>
  <si>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</si>
  <si>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</si>
  <si>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</si>
  <si>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</si>
  <si>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</si>
  <si>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</si>
  <si>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</si>
  <si>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</si>
  <si>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</si>
  <si>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</si>
  <si>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</si>
  <si>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</si>
  <si>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</si>
  <si>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</si>
  <si>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</si>
  <si>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</si>
  <si>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</si>
  <si>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</si>
  <si>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</si>
  <si>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</si>
  <si>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</si>
  <si>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</si>
  <si>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</si>
  <si>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</si>
  <si>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</si>
  <si>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</si>
  <si>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</si>
  <si>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</si>
  <si>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</si>
  <si>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</si>
  <si>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</si>
  <si>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</si>
  <si>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</si>
  <si>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</si>
  <si>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</si>
  <si>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</si>
  <si>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</si>
  <si>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</si>
  <si>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</si>
  <si>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</si>
  <si>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</si>
  <si>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</si>
  <si>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</si>
  <si>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</si>
  <si>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</si>
  <si>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</si>
  <si>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</si>
  <si>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</si>
  <si>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</si>
  <si>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</si>
  <si>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</si>
  <si>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</si>
  <si>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</si>
  <si>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</si>
  <si>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</si>
  <si>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</si>
  <si>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</si>
  <si>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</si>
  <si>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</si>
  <si>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05. MAYO 2026</t>
  </si>
  <si>
    <t>140 LTS REGALIA MAX</t>
  </si>
  <si>
    <t>04/05/2026</t>
  </si>
  <si>
    <t>200 LTS BIOSOLARIS</t>
  </si>
  <si>
    <t>01/09/2026</t>
  </si>
  <si>
    <t>AGRICOLA CAMPO NOBLE SOCIEDAD ANONIMA CERRADA.</t>
  </si>
  <si>
    <t>05/05/2026</t>
  </si>
  <si>
    <t>VIVEROS EL TAMBO S.A.C.</t>
  </si>
  <si>
    <t>80 LTS AV PLUS HIERRO</t>
  </si>
  <si>
    <t>04/07/2026</t>
  </si>
  <si>
    <t>04/06/2026</t>
  </si>
  <si>
    <t>REITER PERUVIAN BERRY S.A.</t>
  </si>
  <si>
    <t>206 LTS REGALIA MAXX</t>
  </si>
  <si>
    <t>03/08/2026</t>
  </si>
  <si>
    <t>AMFRESH PERU AGRISIL S.R.L.</t>
  </si>
  <si>
    <t>448 LTS VECA ROOT MAX</t>
  </si>
  <si>
    <t>600 LTS REGALIA MAXX</t>
  </si>
  <si>
    <t>PERIODO :  MAYO 2026</t>
  </si>
  <si>
    <t>08/06/2026</t>
  </si>
  <si>
    <t>27/05/2026</t>
  </si>
  <si>
    <t>07/05/2026</t>
  </si>
  <si>
    <t>04/09/2026</t>
  </si>
  <si>
    <t xml:space="preserve">UVICA S.A.C. </t>
  </si>
  <si>
    <t>PERIODO :  01.01.2026 AL 11.05.2026</t>
  </si>
  <si>
    <t>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</si>
</sst>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###,##0.00"/>
    <numFmt numFmtId="165" formatCode="###,##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  <xf numFmtId="165" fontId="2" fillId="2" borderId="0" xfId="0" applyNumberFormat="1" applyFont="1" applyFill="1"/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3.714623148146" createdVersion="8" refreshedVersion="8" minRefreshableVersion="3" recordCount="92" xr:uid="{EC69F3F4-36A9-4F08-9BBE-504521F9FBC7}">
  <cacheSource type="worksheet">
    <worksheetSource ref="B6:K98" sheet="VENTAS ACUMULADAS 2026"/>
  </cacheSource>
  <cacheFields count="10">
    <cacheField name="PERIODO" numFmtId="43">
      <sharedItems count="5">
        <s v="01 ENERO 2026"/>
        <s v="02. FEBRERO 2026"/>
        <s v="03. MARZO 2026"/>
        <s v="04. ABRIL 2026"/>
        <s v="05. MAYO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10-25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44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  <s v="AGROINDUSTRIAL P &amp; L S.A.C. "/>
        <s v="AGRICOLA ALAYA SOCIEDAD ANONIMA"/>
        <s v="AGROVISION PERU S.A.C. "/>
        <s v="SUR NATURAL S.A.C. "/>
        <s v="AGRICOLA CAMPO NOBLE SOCIEDAD ANONIMA CERRADA."/>
        <s v="VIVEROS EL TAMBO S.A.C."/>
        <s v="REITER PERUVIAN BERRY S.A."/>
        <s v="AMFRESH PERU AGRISIL S.R.L."/>
        <s v="UVICA S.A.C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760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80"/>
    <s v="2 LTS REGALIA MAX"/>
    <x v="1"/>
  </r>
  <r>
    <x v="0"/>
    <s v="26/01/2026"/>
    <s v="25/02/2026"/>
    <s v="E001"/>
    <n v="921"/>
    <n v="20480514212"/>
    <x v="13"/>
    <n v="1056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6320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1872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6"/>
    <s v="E001"/>
    <n v="958"/>
    <n v="20614560011"/>
    <x v="11"/>
    <n v="665"/>
    <s v="95 LTS VECA AMIN"/>
    <x v="1"/>
  </r>
  <r>
    <x v="1"/>
    <s v="26/02/2026"/>
    <s v="27/05/2026"/>
    <s v="E001"/>
    <n v="960"/>
    <n v="20563196387"/>
    <x v="24"/>
    <n v="4958"/>
    <s v="134 LTS REGALIA MAX"/>
    <x v="2"/>
  </r>
  <r>
    <x v="2"/>
    <s v="02/03/2026"/>
    <s v="31/05/2026"/>
    <s v="E001"/>
    <n v="965"/>
    <n v="20608328409"/>
    <x v="25"/>
    <n v="5180"/>
    <s v="140 LTS REGAL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340"/>
    <s v="60 TLS REGALIA MAXX"/>
    <x v="4"/>
  </r>
  <r>
    <x v="2"/>
    <s v="04/03/2026"/>
    <s v="02/06/2026"/>
    <s v="E001"/>
    <n v="970"/>
    <n v="20608328409"/>
    <x v="25"/>
    <n v="8917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6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3840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7"/>
    <n v="33"/>
    <s v="2 LTS AV AMIN SUGAR, 2 LTS AV PLUS MACRO FRUIT"/>
    <x v="4"/>
  </r>
  <r>
    <x v="3"/>
    <s v="27/04/2026"/>
    <s v="25/08/2026"/>
    <s v="E001"/>
    <n v="1020"/>
    <n v="20600750276"/>
    <x v="38"/>
    <n v="6300"/>
    <s v="420 AV BIOSOLARIS"/>
    <x v="6"/>
  </r>
  <r>
    <x v="3"/>
    <s v="27/04/2026"/>
    <d v="2026-10-24T00:00:00"/>
    <s v="E001"/>
    <n v="1022"/>
    <n v="20554556192"/>
    <x v="39"/>
    <n v="6600"/>
    <s v="220 LTS REGALIA MAX"/>
    <x v="2"/>
  </r>
  <r>
    <x v="3"/>
    <s v="27/04/2026"/>
    <s v="27/04/2026"/>
    <s v="E001"/>
    <n v="1023"/>
    <n v="20609962331"/>
    <x v="40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170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4"/>
    <s v="04/05/2026"/>
    <s v="01/09/2026"/>
    <s v="E001"/>
    <n v="1035"/>
    <n v="20600720679"/>
    <x v="41"/>
    <n v="2600"/>
    <s v="200 LTS BIOSOLARIS"/>
    <x v="6"/>
  </r>
  <r>
    <x v="4"/>
    <s v="05/05/2026"/>
    <s v="04/06/2026"/>
    <s v="E001"/>
    <n v="1038"/>
    <n v="20530296637"/>
    <x v="42"/>
    <n v="600"/>
    <s v="80 LTS AV PLUS HIERRO"/>
    <x v="5"/>
  </r>
  <r>
    <x v="4"/>
    <s v="05/05/2026"/>
    <s v="04/07/2026"/>
    <s v="E001"/>
    <n v="1039"/>
    <n v="20610390341"/>
    <x v="43"/>
    <n v="7725"/>
    <s v="206 LTS REGALIA MAXX"/>
    <x v="4"/>
  </r>
  <r>
    <x v="4"/>
    <s v="05/05/2026"/>
    <s v="03/08/2026"/>
    <s v="E001"/>
    <n v="1040"/>
    <n v="20100032709"/>
    <x v="33"/>
    <n v="7920"/>
    <s v="600 LTS VECASIL FORTE"/>
    <x v="1"/>
  </r>
  <r>
    <x v="4"/>
    <s v="05/05/2026"/>
    <s v="03/08/2026"/>
    <s v="E001"/>
    <n v="1041"/>
    <n v="20614560011"/>
    <x v="44"/>
    <n v="5376"/>
    <s v="448 LTS VECA ROOT MAX"/>
    <x v="1"/>
  </r>
  <r>
    <x v="4"/>
    <s v="05/05/2026"/>
    <s v="03/08/2026"/>
    <s v="E001"/>
    <n v="1042"/>
    <n v="20606133139"/>
    <x v="0"/>
    <n v="19800"/>
    <s v="600 LTS REGALIA MAXX"/>
    <x v="4"/>
  </r>
  <r>
    <x v="4"/>
    <s v="07/05/2026"/>
    <s v="04/09/2026"/>
    <s v="E001"/>
    <n v="1043"/>
    <n v="20600697511"/>
    <x v="45"/>
    <n v="1170"/>
    <s v="30 LTS REGALIA MAX"/>
    <x v="4"/>
  </r>
  <r>
    <x v="4"/>
    <s v="11/05/2026"/>
    <s v="08/09/2026"/>
    <s v="E001"/>
    <n v="1044"/>
    <n v="20606133139"/>
    <x v="0"/>
    <n v="19800"/>
    <s v="600 LTS REGALIA MAXX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DAE87-37C1-4333-B8EB-297CDE079F82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H20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9" count="0" selected="0"/>
        </references>
      </pivotArea>
    </format>
    <format dxfId="4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6DCE0-1B5A-4281-B7D7-DC29DBBB4F42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H76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37"/>
        <item x="38"/>
        <item x="39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6" count="0" selected="0"/>
        </references>
      </pivotArea>
    </format>
    <format dxfId="6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76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54" sqref="G5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7" width="17.5546875" style="15" bestFit="1" customWidth="1"/>
    <col min="8" max="8" width="12.44140625" style="15" bestFit="1" customWidth="1"/>
    <col min="9" max="13" width="20.44140625" style="15" bestFit="1" customWidth="1"/>
    <col min="14" max="14" width="12.44140625" style="15" bestFit="1" customWidth="1"/>
    <col min="15" max="16384" width="11.5546875" style="15"/>
  </cols>
  <sheetData>
    <row r="1" spans="1:8" ht="4.8" customHeight="1" x14ac:dyDescent="0.3"/>
    <row r="2" spans="1:8" ht="15.6" x14ac:dyDescent="0.3">
      <c r="B2" s="2" t="s">
        <v>0</v>
      </c>
    </row>
    <row r="3" spans="1:8" x14ac:dyDescent="0.3">
      <c r="B3" s="20" t="s">
        <v>13</v>
      </c>
    </row>
    <row r="4" spans="1:8" x14ac:dyDescent="0.3">
      <c r="B4" s="20" t="s">
        <v>23</v>
      </c>
    </row>
    <row r="5" spans="1:8" ht="9" customHeight="1" x14ac:dyDescent="0.3">
      <c r="B5" s="4"/>
    </row>
    <row r="6" spans="1:8" ht="9" customHeight="1" x14ac:dyDescent="0.3">
      <c r="B6" s="4"/>
    </row>
    <row r="7" spans="1:8" x14ac:dyDescent="0.3">
      <c r="A7" s="21">
        <v>2</v>
      </c>
      <c r="B7" s="21" t="s">
        <v>19</v>
      </c>
    </row>
    <row r="8" spans="1:8" ht="4.2" customHeight="1" x14ac:dyDescent="0.3">
      <c r="A8" s="21"/>
      <c r="B8" s="21"/>
    </row>
    <row r="9" spans="1:8" x14ac:dyDescent="0.3">
      <c r="A9" s="21"/>
      <c r="B9" s="13" t="s">
        <v>2</v>
      </c>
      <c r="C9" t="s">
        <v>20</v>
      </c>
    </row>
    <row r="11" spans="1:8" x14ac:dyDescent="0.3">
      <c r="B11" s="13" t="s">
        <v>15</v>
      </c>
      <c r="C11" s="13" t="s">
        <v>8</v>
      </c>
      <c r="D11"/>
      <c r="E11"/>
      <c r="F11"/>
      <c r="G11"/>
      <c r="H11"/>
    </row>
    <row r="12" spans="1:8" x14ac:dyDescent="0.3">
      <c r="B12" s="13" t="s">
        <v>16</v>
      </c>
      <c r="C12" t="s">
        <v>24</v>
      </c>
      <c r="D12" t="s">
        <v>85</v>
      </c>
      <c r="E12" t="s">
        <v>131</v>
      </c>
      <c r="F12" t="s">
        <v>198</v>
      </c>
      <c r="G12" t="s">
        <v>242</v>
      </c>
      <c r="H12" t="s">
        <v>14</v>
      </c>
    </row>
    <row r="13" spans="1:8" x14ac:dyDescent="0.3">
      <c r="B13" s="15" t="s">
        <v>17</v>
      </c>
      <c r="C13" s="18">
        <v>16511.400000000001</v>
      </c>
      <c r="D13" s="18">
        <v>16187.6</v>
      </c>
      <c r="E13" s="18">
        <v>38189.5</v>
      </c>
      <c r="F13" s="18">
        <v>36887</v>
      </c>
      <c r="G13" s="18">
        <v>13296</v>
      </c>
      <c r="H13" s="18">
        <v>121071.5</v>
      </c>
    </row>
    <row r="14" spans="1:8" x14ac:dyDescent="0.3">
      <c r="B14" s="15" t="s">
        <v>22</v>
      </c>
      <c r="C14" s="18">
        <v>23240</v>
      </c>
      <c r="D14" s="18">
        <v>7700</v>
      </c>
      <c r="E14" s="18"/>
      <c r="F14" s="18"/>
      <c r="G14" s="18"/>
      <c r="H14" s="18">
        <v>30940</v>
      </c>
    </row>
    <row r="15" spans="1:8" x14ac:dyDescent="0.3">
      <c r="B15" s="15" t="s">
        <v>42</v>
      </c>
      <c r="C15" s="18">
        <v>29881</v>
      </c>
      <c r="D15" s="18">
        <v>8108</v>
      </c>
      <c r="E15" s="18">
        <v>20000</v>
      </c>
      <c r="F15" s="18">
        <v>6600</v>
      </c>
      <c r="G15" s="18"/>
      <c r="H15" s="18">
        <v>64589</v>
      </c>
    </row>
    <row r="16" spans="1:8" ht="15" customHeight="1" x14ac:dyDescent="0.3">
      <c r="B16" s="15" t="s">
        <v>69</v>
      </c>
      <c r="C16" s="18">
        <v>600</v>
      </c>
      <c r="D16" s="18"/>
      <c r="E16" s="18">
        <v>96</v>
      </c>
      <c r="F16" s="18"/>
      <c r="G16" s="18"/>
      <c r="H16" s="18">
        <v>696</v>
      </c>
    </row>
    <row r="17" spans="1:12" x14ac:dyDescent="0.3">
      <c r="B17" s="15" t="s">
        <v>98</v>
      </c>
      <c r="C17" s="18"/>
      <c r="D17" s="18">
        <v>6184.4</v>
      </c>
      <c r="E17" s="18">
        <v>28681</v>
      </c>
      <c r="F17" s="18">
        <v>13747</v>
      </c>
      <c r="G17" s="18">
        <v>48495</v>
      </c>
      <c r="H17" s="18">
        <v>97107.4</v>
      </c>
    </row>
    <row r="18" spans="1:12" x14ac:dyDescent="0.3">
      <c r="B18" s="15" t="s">
        <v>152</v>
      </c>
      <c r="C18" s="18"/>
      <c r="D18" s="18"/>
      <c r="E18" s="18">
        <v>1000</v>
      </c>
      <c r="F18" s="18">
        <v>200</v>
      </c>
      <c r="G18" s="18">
        <v>600</v>
      </c>
      <c r="H18" s="18">
        <v>1800</v>
      </c>
    </row>
    <row r="19" spans="1:12" x14ac:dyDescent="0.3">
      <c r="B19" s="15" t="s">
        <v>230</v>
      </c>
      <c r="C19" s="18"/>
      <c r="D19" s="18"/>
      <c r="E19" s="18"/>
      <c r="F19" s="18">
        <v>6300</v>
      </c>
      <c r="G19" s="18">
        <v>2600</v>
      </c>
      <c r="H19" s="18">
        <v>8900</v>
      </c>
    </row>
    <row r="20" spans="1:12" ht="13.2" customHeight="1" x14ac:dyDescent="0.3">
      <c r="B20" t="s">
        <v>14</v>
      </c>
      <c r="C20" s="14">
        <v>70232.399999999994</v>
      </c>
      <c r="D20" s="14">
        <v>38180</v>
      </c>
      <c r="E20" s="14">
        <v>87966.5</v>
      </c>
      <c r="F20" s="14">
        <v>63734</v>
      </c>
      <c r="G20" s="14">
        <v>64991</v>
      </c>
      <c r="H20" s="14">
        <v>325103.90000000002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  <c r="H28"/>
    </row>
    <row r="29" spans="1:12" x14ac:dyDescent="0.3">
      <c r="B29" s="13" t="s">
        <v>2</v>
      </c>
      <c r="C29" t="s">
        <v>24</v>
      </c>
      <c r="D29" t="s">
        <v>85</v>
      </c>
      <c r="E29" t="s">
        <v>131</v>
      </c>
      <c r="F29" t="s">
        <v>198</v>
      </c>
      <c r="G29" t="s">
        <v>242</v>
      </c>
      <c r="H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39600</v>
      </c>
      <c r="H30" s="18">
        <v>49932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/>
      <c r="H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/>
      <c r="H32" s="18">
        <v>160</v>
      </c>
    </row>
    <row r="33" spans="2:8" x14ac:dyDescent="0.3">
      <c r="B33" s="15" t="s">
        <v>40</v>
      </c>
      <c r="C33" s="18">
        <v>3149</v>
      </c>
      <c r="D33" s="18"/>
      <c r="E33" s="18"/>
      <c r="F33" s="18"/>
      <c r="G33" s="18"/>
      <c r="H33" s="18">
        <v>3149</v>
      </c>
    </row>
    <row r="34" spans="2:8" x14ac:dyDescent="0.3">
      <c r="B34" s="15" t="s">
        <v>46</v>
      </c>
      <c r="C34" s="18">
        <v>760</v>
      </c>
      <c r="D34" s="18"/>
      <c r="E34" s="18"/>
      <c r="F34" s="18"/>
      <c r="G34" s="18"/>
      <c r="H34" s="18">
        <v>760</v>
      </c>
    </row>
    <row r="35" spans="2:8" x14ac:dyDescent="0.3">
      <c r="B35" s="15" t="s">
        <v>49</v>
      </c>
      <c r="C35" s="18">
        <v>1400</v>
      </c>
      <c r="D35" s="18"/>
      <c r="E35" s="18"/>
      <c r="F35" s="18"/>
      <c r="G35" s="18"/>
      <c r="H35" s="18">
        <v>1400</v>
      </c>
    </row>
    <row r="36" spans="2:8" x14ac:dyDescent="0.3">
      <c r="B36" s="15" t="s">
        <v>54</v>
      </c>
      <c r="C36" s="18">
        <v>240</v>
      </c>
      <c r="D36" s="18">
        <v>240</v>
      </c>
      <c r="E36" s="18"/>
      <c r="F36" s="18"/>
      <c r="G36" s="18"/>
      <c r="H36" s="18">
        <v>480</v>
      </c>
    </row>
    <row r="37" spans="2:8" x14ac:dyDescent="0.3">
      <c r="B37" s="15" t="s">
        <v>59</v>
      </c>
      <c r="C37" s="18">
        <v>24500</v>
      </c>
      <c r="D37" s="18"/>
      <c r="E37" s="18">
        <v>20000</v>
      </c>
      <c r="F37" s="18"/>
      <c r="G37" s="18"/>
      <c r="H37" s="18">
        <v>44500</v>
      </c>
    </row>
    <row r="38" spans="2:8" x14ac:dyDescent="0.3">
      <c r="B38" s="15" t="s">
        <v>63</v>
      </c>
      <c r="C38" s="18">
        <v>400</v>
      </c>
      <c r="D38" s="18">
        <v>400</v>
      </c>
      <c r="E38" s="18"/>
      <c r="F38" s="18">
        <v>2000</v>
      </c>
      <c r="G38" s="18"/>
      <c r="H38" s="18">
        <v>2800</v>
      </c>
    </row>
    <row r="39" spans="2:8" x14ac:dyDescent="0.3">
      <c r="B39" s="15" t="s">
        <v>65</v>
      </c>
      <c r="C39" s="18">
        <v>600</v>
      </c>
      <c r="D39" s="18"/>
      <c r="E39" s="18"/>
      <c r="F39" s="18"/>
      <c r="G39" s="18"/>
      <c r="H39" s="18">
        <v>600</v>
      </c>
    </row>
    <row r="40" spans="2:8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/>
      <c r="H40" s="18">
        <v>14537</v>
      </c>
    </row>
    <row r="41" spans="2:8" x14ac:dyDescent="0.3">
      <c r="B41" s="15" t="s">
        <v>70</v>
      </c>
      <c r="C41" s="18">
        <v>80</v>
      </c>
      <c r="D41" s="18"/>
      <c r="E41" s="18"/>
      <c r="F41" s="18"/>
      <c r="G41" s="18"/>
      <c r="H41" s="18">
        <v>80</v>
      </c>
    </row>
    <row r="42" spans="2:8" x14ac:dyDescent="0.3">
      <c r="B42" s="15" t="s">
        <v>73</v>
      </c>
      <c r="C42" s="18">
        <v>1601</v>
      </c>
      <c r="D42" s="18"/>
      <c r="E42" s="18"/>
      <c r="F42" s="18"/>
      <c r="G42" s="18"/>
      <c r="H42" s="18">
        <v>1601</v>
      </c>
    </row>
    <row r="43" spans="2:8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/>
      <c r="H43" s="18">
        <v>6751.4</v>
      </c>
    </row>
    <row r="44" spans="2:8" x14ac:dyDescent="0.3">
      <c r="B44" s="15" t="s">
        <v>83</v>
      </c>
      <c r="C44" s="18">
        <v>16320</v>
      </c>
      <c r="D44" s="18"/>
      <c r="E44" s="18"/>
      <c r="F44" s="18"/>
      <c r="G44" s="18"/>
      <c r="H44" s="18">
        <v>16320</v>
      </c>
    </row>
    <row r="45" spans="2:8" x14ac:dyDescent="0.3">
      <c r="B45" s="15" t="s">
        <v>87</v>
      </c>
      <c r="C45" s="18"/>
      <c r="D45" s="18">
        <v>4144</v>
      </c>
      <c r="E45" s="18"/>
      <c r="F45" s="18"/>
      <c r="G45" s="18"/>
      <c r="H45" s="18">
        <v>4144</v>
      </c>
    </row>
    <row r="46" spans="2:8" x14ac:dyDescent="0.3">
      <c r="B46" s="15" t="s">
        <v>90</v>
      </c>
      <c r="C46" s="18"/>
      <c r="D46" s="18">
        <v>7196</v>
      </c>
      <c r="E46" s="18"/>
      <c r="F46" s="18"/>
      <c r="G46" s="18"/>
      <c r="H46" s="18">
        <v>7196</v>
      </c>
    </row>
    <row r="47" spans="2:8" x14ac:dyDescent="0.3">
      <c r="B47" s="15" t="s">
        <v>95</v>
      </c>
      <c r="C47" s="18">
        <v>3780</v>
      </c>
      <c r="D47" s="18">
        <v>3150</v>
      </c>
      <c r="E47" s="18"/>
      <c r="F47" s="18"/>
      <c r="G47" s="18"/>
      <c r="H47" s="18">
        <v>6930</v>
      </c>
    </row>
    <row r="48" spans="2:8" x14ac:dyDescent="0.3">
      <c r="B48" s="15" t="s">
        <v>102</v>
      </c>
      <c r="C48" s="18"/>
      <c r="D48" s="18">
        <v>3276</v>
      </c>
      <c r="E48" s="18">
        <v>3276</v>
      </c>
      <c r="F48" s="18">
        <v>10814</v>
      </c>
      <c r="G48" s="18"/>
      <c r="H48" s="18">
        <v>17366</v>
      </c>
    </row>
    <row r="49" spans="2:8" x14ac:dyDescent="0.3">
      <c r="B49" s="15" t="s">
        <v>106</v>
      </c>
      <c r="C49" s="18"/>
      <c r="D49" s="18">
        <v>10250.4</v>
      </c>
      <c r="E49" s="18">
        <v>5477.5</v>
      </c>
      <c r="F49" s="18"/>
      <c r="G49" s="18"/>
      <c r="H49" s="18">
        <v>15727.9</v>
      </c>
    </row>
    <row r="50" spans="2:8" x14ac:dyDescent="0.3">
      <c r="B50" s="15" t="s">
        <v>109</v>
      </c>
      <c r="C50" s="18"/>
      <c r="D50" s="18">
        <v>866.2</v>
      </c>
      <c r="E50" s="18"/>
      <c r="F50" s="18"/>
      <c r="G50" s="18"/>
      <c r="H50" s="18">
        <v>866.2</v>
      </c>
    </row>
    <row r="51" spans="2:8" x14ac:dyDescent="0.3">
      <c r="B51" s="15" t="s">
        <v>112</v>
      </c>
      <c r="C51" s="18"/>
      <c r="D51" s="18">
        <v>526</v>
      </c>
      <c r="E51" s="18">
        <v>280</v>
      </c>
      <c r="F51" s="18"/>
      <c r="G51" s="18"/>
      <c r="H51" s="18">
        <v>806</v>
      </c>
    </row>
    <row r="52" spans="2:8" x14ac:dyDescent="0.3">
      <c r="B52" s="15" t="s">
        <v>115</v>
      </c>
      <c r="C52" s="18"/>
      <c r="D52" s="18">
        <v>17</v>
      </c>
      <c r="E52" s="18"/>
      <c r="F52" s="18"/>
      <c r="G52" s="18"/>
      <c r="H52" s="18">
        <v>17</v>
      </c>
    </row>
    <row r="53" spans="2:8" x14ac:dyDescent="0.3">
      <c r="B53" s="15" t="s">
        <v>116</v>
      </c>
      <c r="C53" s="18"/>
      <c r="D53" s="18">
        <v>1126.4000000000001</v>
      </c>
      <c r="E53" s="18"/>
      <c r="F53" s="18"/>
      <c r="G53" s="18"/>
      <c r="H53" s="18">
        <v>1126.4000000000001</v>
      </c>
    </row>
    <row r="54" spans="2:8" x14ac:dyDescent="0.3">
      <c r="B54" s="15" t="s">
        <v>127</v>
      </c>
      <c r="C54" s="18"/>
      <c r="D54" s="18">
        <v>4958</v>
      </c>
      <c r="E54" s="18"/>
      <c r="F54" s="18"/>
      <c r="G54" s="18"/>
      <c r="H54" s="18">
        <v>4958</v>
      </c>
    </row>
    <row r="55" spans="2:8" x14ac:dyDescent="0.3">
      <c r="B55" s="15" t="s">
        <v>134</v>
      </c>
      <c r="C55" s="18"/>
      <c r="D55" s="18"/>
      <c r="E55" s="18">
        <v>14097</v>
      </c>
      <c r="F55" s="18"/>
      <c r="G55" s="18"/>
      <c r="H55" s="18">
        <v>14097</v>
      </c>
    </row>
    <row r="56" spans="2:8" x14ac:dyDescent="0.3">
      <c r="B56" s="15" t="s">
        <v>143</v>
      </c>
      <c r="C56" s="18"/>
      <c r="D56" s="18"/>
      <c r="E56" s="18">
        <v>1232</v>
      </c>
      <c r="F56" s="18"/>
      <c r="G56" s="18"/>
      <c r="H56" s="18">
        <v>1232</v>
      </c>
    </row>
    <row r="57" spans="2:8" x14ac:dyDescent="0.3">
      <c r="B57" s="15" t="s">
        <v>146</v>
      </c>
      <c r="C57" s="18"/>
      <c r="D57" s="18"/>
      <c r="E57" s="18">
        <v>320</v>
      </c>
      <c r="F57" s="18"/>
      <c r="G57" s="18"/>
      <c r="H57" s="18">
        <v>320</v>
      </c>
    </row>
    <row r="58" spans="2:8" x14ac:dyDescent="0.3">
      <c r="B58" s="15" t="s">
        <v>150</v>
      </c>
      <c r="C58" s="18"/>
      <c r="D58" s="18"/>
      <c r="E58" s="18">
        <v>600</v>
      </c>
      <c r="F58" s="18"/>
      <c r="G58" s="18"/>
      <c r="H58" s="18">
        <v>600</v>
      </c>
    </row>
    <row r="59" spans="2:8" x14ac:dyDescent="0.3">
      <c r="B59" s="15" t="s">
        <v>156</v>
      </c>
      <c r="C59" s="18"/>
      <c r="D59" s="18"/>
      <c r="E59" s="18">
        <v>96</v>
      </c>
      <c r="F59" s="18"/>
      <c r="G59" s="18"/>
      <c r="H59" s="18">
        <v>96</v>
      </c>
    </row>
    <row r="60" spans="2:8" x14ac:dyDescent="0.3">
      <c r="B60" s="15" t="s">
        <v>162</v>
      </c>
      <c r="C60" s="18"/>
      <c r="D60" s="18"/>
      <c r="E60" s="18">
        <v>3840</v>
      </c>
      <c r="F60" s="18"/>
      <c r="G60" s="18"/>
      <c r="H60" s="18">
        <v>3840</v>
      </c>
    </row>
    <row r="61" spans="2:8" x14ac:dyDescent="0.3">
      <c r="B61" s="15" t="s">
        <v>168</v>
      </c>
      <c r="C61" s="18"/>
      <c r="D61" s="18"/>
      <c r="E61" s="18">
        <v>522</v>
      </c>
      <c r="F61" s="18"/>
      <c r="G61" s="18"/>
      <c r="H61" s="18">
        <v>522</v>
      </c>
    </row>
    <row r="62" spans="2:8" x14ac:dyDescent="0.3">
      <c r="B62" s="15" t="s">
        <v>173</v>
      </c>
      <c r="C62" s="18"/>
      <c r="D62" s="18"/>
      <c r="E62" s="18">
        <v>3150</v>
      </c>
      <c r="F62" s="18"/>
      <c r="G62" s="18"/>
      <c r="H62" s="18">
        <v>3150</v>
      </c>
    </row>
    <row r="63" spans="2:8" x14ac:dyDescent="0.3">
      <c r="B63" s="15" t="s">
        <v>186</v>
      </c>
      <c r="C63" s="18"/>
      <c r="D63" s="18"/>
      <c r="E63" s="18">
        <v>12120</v>
      </c>
      <c r="F63" s="18">
        <v>36407</v>
      </c>
      <c r="G63" s="18">
        <v>7920</v>
      </c>
      <c r="H63" s="18">
        <v>56447</v>
      </c>
    </row>
    <row r="64" spans="2:8" x14ac:dyDescent="0.3">
      <c r="B64" s="15" t="s">
        <v>191</v>
      </c>
      <c r="C64" s="18"/>
      <c r="D64" s="18"/>
      <c r="E64" s="18">
        <v>2000</v>
      </c>
      <c r="F64" s="18"/>
      <c r="G64" s="18"/>
      <c r="H64" s="18">
        <v>2000</v>
      </c>
    </row>
    <row r="65" spans="2:8" x14ac:dyDescent="0.3">
      <c r="B65" s="15" t="s">
        <v>197</v>
      </c>
      <c r="C65" s="18"/>
      <c r="D65" s="18"/>
      <c r="E65" s="18">
        <v>400</v>
      </c>
      <c r="F65" s="18"/>
      <c r="G65" s="18"/>
      <c r="H65" s="18">
        <v>400</v>
      </c>
    </row>
    <row r="66" spans="2:8" x14ac:dyDescent="0.3">
      <c r="B66" s="15" t="s">
        <v>219</v>
      </c>
      <c r="C66" s="18"/>
      <c r="D66" s="18"/>
      <c r="E66" s="18"/>
      <c r="F66" s="18">
        <v>200</v>
      </c>
      <c r="G66" s="18"/>
      <c r="H66" s="18">
        <v>200</v>
      </c>
    </row>
    <row r="67" spans="2:8" x14ac:dyDescent="0.3">
      <c r="B67" s="15" t="s">
        <v>222</v>
      </c>
      <c r="C67" s="18"/>
      <c r="D67" s="18"/>
      <c r="E67" s="18"/>
      <c r="F67" s="18">
        <v>480</v>
      </c>
      <c r="G67" s="18"/>
      <c r="H67" s="18">
        <v>480</v>
      </c>
    </row>
    <row r="68" spans="2:8" x14ac:dyDescent="0.3">
      <c r="B68" s="15" t="s">
        <v>224</v>
      </c>
      <c r="C68" s="18"/>
      <c r="D68" s="18"/>
      <c r="E68" s="18"/>
      <c r="F68" s="18">
        <v>33</v>
      </c>
      <c r="G68" s="18"/>
      <c r="H68" s="18">
        <v>33</v>
      </c>
    </row>
    <row r="69" spans="2:8" x14ac:dyDescent="0.3">
      <c r="B69" s="15" t="s">
        <v>228</v>
      </c>
      <c r="C69" s="18"/>
      <c r="D69" s="18"/>
      <c r="E69" s="18"/>
      <c r="F69" s="18">
        <v>6300</v>
      </c>
      <c r="G69" s="18"/>
      <c r="H69" s="18">
        <v>6300</v>
      </c>
    </row>
    <row r="70" spans="2:8" x14ac:dyDescent="0.3">
      <c r="B70" s="15" t="s">
        <v>231</v>
      </c>
      <c r="C70" s="18"/>
      <c r="D70" s="18"/>
      <c r="E70" s="18"/>
      <c r="F70" s="18">
        <v>6600</v>
      </c>
      <c r="G70" s="18"/>
      <c r="H70" s="18">
        <v>6600</v>
      </c>
    </row>
    <row r="71" spans="2:8" x14ac:dyDescent="0.3">
      <c r="B71" s="15" t="s">
        <v>247</v>
      </c>
      <c r="C71" s="18"/>
      <c r="D71" s="18"/>
      <c r="E71" s="18"/>
      <c r="F71" s="18"/>
      <c r="G71" s="18">
        <v>2600</v>
      </c>
      <c r="H71" s="18">
        <v>2600</v>
      </c>
    </row>
    <row r="72" spans="2:8" x14ac:dyDescent="0.3">
      <c r="B72" s="15" t="s">
        <v>249</v>
      </c>
      <c r="C72" s="18"/>
      <c r="D72" s="18"/>
      <c r="E72" s="18"/>
      <c r="F72" s="18"/>
      <c r="G72" s="18">
        <v>600</v>
      </c>
      <c r="H72" s="18">
        <v>600</v>
      </c>
    </row>
    <row r="73" spans="2:8" x14ac:dyDescent="0.3">
      <c r="B73" s="15" t="s">
        <v>253</v>
      </c>
      <c r="C73" s="18"/>
      <c r="D73" s="18"/>
      <c r="E73" s="18"/>
      <c r="F73" s="18"/>
      <c r="G73" s="18">
        <v>7725</v>
      </c>
      <c r="H73" s="18">
        <v>7725</v>
      </c>
    </row>
    <row r="74" spans="2:8" x14ac:dyDescent="0.3">
      <c r="B74" s="15" t="s">
        <v>256</v>
      </c>
      <c r="C74" s="18"/>
      <c r="D74" s="18"/>
      <c r="E74" s="18"/>
      <c r="F74" s="18"/>
      <c r="G74" s="18">
        <v>5376</v>
      </c>
      <c r="H74" s="18">
        <v>5376</v>
      </c>
    </row>
    <row r="75" spans="2:8" x14ac:dyDescent="0.3">
      <c r="B75" s="15" t="s">
        <v>264</v>
      </c>
      <c r="C75" s="18"/>
      <c r="D75" s="18"/>
      <c r="E75" s="18"/>
      <c r="F75" s="18"/>
      <c r="G75" s="18">
        <v>1170</v>
      </c>
      <c r="H75" s="18">
        <v>1170</v>
      </c>
    </row>
    <row r="76" spans="2:8" x14ac:dyDescent="0.3">
      <c r="B76" t="s">
        <v>14</v>
      </c>
      <c r="C76" s="14">
        <v>70232.399999999994</v>
      </c>
      <c r="D76" s="14">
        <v>38180</v>
      </c>
      <c r="E76" s="14">
        <v>87966.5</v>
      </c>
      <c r="F76" s="14">
        <v>63734</v>
      </c>
      <c r="G76" s="14">
        <v>64991</v>
      </c>
      <c r="H76" s="14">
        <v>325103.90000000002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164</v>
      </c>
    </row>
    <row r="5" spans="3:3" x14ac:dyDescent="0.3">
      <c r="C5" s="15" t="s">
        <v>150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127</v>
      </c>
    </row>
    <row r="19" spans="3:3" x14ac:dyDescent="0.3">
      <c r="C19" s="15" t="s">
        <v>63</v>
      </c>
    </row>
    <row r="20" spans="3:3" x14ac:dyDescent="0.3">
      <c r="C20" s="15" t="s">
        <v>134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143</v>
      </c>
    </row>
    <row r="24" spans="3:3" x14ac:dyDescent="0.3">
      <c r="C24" s="15" t="s">
        <v>162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146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156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18"/>
  <sheetViews>
    <sheetView zoomScaleNormal="100" workbookViewId="0">
      <selection activeCell="E23" sqref="E23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259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242</v>
      </c>
      <c r="C7" s="6" t="s">
        <v>244</v>
      </c>
      <c r="D7" s="26" t="s">
        <v>246</v>
      </c>
      <c r="E7" s="6" t="s">
        <v>6</v>
      </c>
      <c r="F7" s="16">
        <v>1035</v>
      </c>
      <c r="G7" s="16">
        <v>20600720679</v>
      </c>
      <c r="H7" s="1" t="s">
        <v>247</v>
      </c>
      <c r="I7" s="8">
        <v>2600</v>
      </c>
      <c r="J7" s="22" t="s">
        <v>245</v>
      </c>
      <c r="K7" s="19" t="s">
        <v>230</v>
      </c>
    </row>
    <row r="8" spans="2:11" x14ac:dyDescent="0.2">
      <c r="B8" s="24" t="s">
        <v>242</v>
      </c>
      <c r="C8" s="6" t="s">
        <v>248</v>
      </c>
      <c r="D8" s="26" t="s">
        <v>252</v>
      </c>
      <c r="E8" s="6" t="s">
        <v>6</v>
      </c>
      <c r="F8" s="16">
        <v>1038</v>
      </c>
      <c r="G8" s="16">
        <v>20530296637</v>
      </c>
      <c r="H8" s="1" t="s">
        <v>249</v>
      </c>
      <c r="I8" s="8">
        <v>600</v>
      </c>
      <c r="J8" s="22" t="s">
        <v>250</v>
      </c>
      <c r="K8" s="19" t="s">
        <v>152</v>
      </c>
    </row>
    <row r="9" spans="2:11" x14ac:dyDescent="0.2">
      <c r="B9" s="24" t="s">
        <v>242</v>
      </c>
      <c r="C9" s="6" t="s">
        <v>248</v>
      </c>
      <c r="D9" s="26" t="s">
        <v>251</v>
      </c>
      <c r="E9" s="6" t="s">
        <v>6</v>
      </c>
      <c r="F9" s="16">
        <v>1039</v>
      </c>
      <c r="G9" s="16">
        <v>20610390341</v>
      </c>
      <c r="H9" s="1" t="s">
        <v>253</v>
      </c>
      <c r="I9" s="8">
        <v>7725</v>
      </c>
      <c r="J9" s="22" t="s">
        <v>254</v>
      </c>
      <c r="K9" s="19" t="s">
        <v>98</v>
      </c>
    </row>
    <row r="10" spans="2:11" x14ac:dyDescent="0.2">
      <c r="B10" s="24" t="s">
        <v>242</v>
      </c>
      <c r="C10" s="6" t="s">
        <v>248</v>
      </c>
      <c r="D10" s="26" t="s">
        <v>255</v>
      </c>
      <c r="E10" s="6" t="s">
        <v>6</v>
      </c>
      <c r="F10" s="16">
        <v>1040</v>
      </c>
      <c r="G10" s="16">
        <v>20100032709</v>
      </c>
      <c r="H10" s="1" t="s">
        <v>186</v>
      </c>
      <c r="I10" s="8">
        <v>7920</v>
      </c>
      <c r="J10" s="22" t="s">
        <v>190</v>
      </c>
      <c r="K10" s="19" t="s">
        <v>17</v>
      </c>
    </row>
    <row r="11" spans="2:11" x14ac:dyDescent="0.2">
      <c r="B11" s="24" t="s">
        <v>242</v>
      </c>
      <c r="C11" s="6" t="s">
        <v>248</v>
      </c>
      <c r="D11" s="26" t="s">
        <v>255</v>
      </c>
      <c r="E11" s="6" t="s">
        <v>6</v>
      </c>
      <c r="F11" s="16">
        <v>1041</v>
      </c>
      <c r="G11" s="16">
        <v>20614560011</v>
      </c>
      <c r="H11" s="1" t="s">
        <v>256</v>
      </c>
      <c r="I11" s="8">
        <v>5376</v>
      </c>
      <c r="J11" s="22" t="s">
        <v>257</v>
      </c>
      <c r="K11" s="19" t="s">
        <v>17</v>
      </c>
    </row>
    <row r="12" spans="2:11" ht="12" customHeight="1" x14ac:dyDescent="0.2">
      <c r="B12" s="24" t="s">
        <v>242</v>
      </c>
      <c r="C12" s="6" t="s">
        <v>248</v>
      </c>
      <c r="D12" s="6" t="s">
        <v>255</v>
      </c>
      <c r="E12" s="6" t="s">
        <v>6</v>
      </c>
      <c r="F12" s="16">
        <v>1042</v>
      </c>
      <c r="G12" s="16">
        <v>20606133139</v>
      </c>
      <c r="H12" s="1" t="s">
        <v>7</v>
      </c>
      <c r="I12" s="8">
        <v>19800</v>
      </c>
      <c r="J12" s="1" t="s">
        <v>258</v>
      </c>
      <c r="K12" s="19" t="s">
        <v>98</v>
      </c>
    </row>
    <row r="13" spans="2:11" ht="12" customHeight="1" x14ac:dyDescent="0.2">
      <c r="B13" s="24" t="s">
        <v>242</v>
      </c>
      <c r="C13" s="6" t="s">
        <v>262</v>
      </c>
      <c r="D13" s="6" t="s">
        <v>263</v>
      </c>
      <c r="E13" s="6" t="s">
        <v>6</v>
      </c>
      <c r="F13" s="16">
        <v>1043</v>
      </c>
      <c r="G13" s="16">
        <v>20600697511</v>
      </c>
      <c r="H13" s="1" t="s">
        <v>264</v>
      </c>
      <c r="I13" s="8">
        <v>1170</v>
      </c>
      <c r="J13" s="22" t="s">
        <v>238</v>
      </c>
      <c r="K13" s="19" t="s">
        <v>98</v>
      </c>
    </row>
    <row r="14" spans="2:11" ht="12" customHeight="1" x14ac:dyDescent="0.2">
      <c r="B14" s="24" t="s">
        <v>242</v>
      </c>
      <c r="C14" s="6" t="s">
        <v>159</v>
      </c>
      <c r="D14" s="6" t="s">
        <v>266</v>
      </c>
      <c r="E14" s="6" t="s">
        <v>6</v>
      </c>
      <c r="F14" s="16">
        <v>1044</v>
      </c>
      <c r="G14" s="16">
        <v>20606133139</v>
      </c>
      <c r="H14" s="1" t="s">
        <v>7</v>
      </c>
      <c r="I14" s="8">
        <v>19800</v>
      </c>
      <c r="J14" s="22" t="s">
        <v>258</v>
      </c>
      <c r="K14" s="19" t="s">
        <v>98</v>
      </c>
    </row>
    <row r="15" spans="2:11" ht="12" customHeight="1" thickBot="1" x14ac:dyDescent="0.25">
      <c r="H15" s="7" t="s">
        <v>3</v>
      </c>
      <c r="I15" s="9">
        <f>SUM(I7:I14)</f>
        <v>64991</v>
      </c>
    </row>
    <row r="16" spans="2:11" ht="10.8" thickTop="1" x14ac:dyDescent="0.2"/>
    <row r="18" spans="11:11" x14ac:dyDescent="0.2">
      <c r="K18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L122"/>
  <sheetViews>
    <sheetView workbookViewId="0">
      <selection activeCell="H62" sqref="H62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2" ht="13.2" customHeight="1" x14ac:dyDescent="0.3">
      <c r="B2" s="2" t="s">
        <v>0</v>
      </c>
      <c r="C2" s="2"/>
    </row>
    <row r="3" spans="2:12" ht="13.2" customHeight="1" x14ac:dyDescent="0.2">
      <c r="B3" s="4" t="s">
        <v>13</v>
      </c>
      <c r="C3" s="4"/>
    </row>
    <row r="4" spans="2:12" ht="13.2" customHeight="1" x14ac:dyDescent="0.2">
      <c r="B4" s="4" t="s">
        <v>265</v>
      </c>
      <c r="C4" s="4"/>
    </row>
    <row r="5" spans="2:12" ht="7.2" customHeight="1" x14ac:dyDescent="0.2">
      <c r="B5" s="4" t="s">
        <v>21</v>
      </c>
      <c r="C5" s="4"/>
    </row>
    <row r="6" spans="2:12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2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2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2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2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2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2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2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760</v>
      </c>
      <c r="J13" s="22" t="s">
        <v>45</v>
      </c>
      <c r="K13" s="19" t="s">
        <v>22</v>
      </c>
      <c r="L13" s="8"/>
    </row>
    <row r="14" spans="2:12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2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2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2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2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2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2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2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2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80</v>
      </c>
      <c r="J22" s="22" t="s">
        <v>72</v>
      </c>
      <c r="K22" s="19" t="s">
        <v>17</v>
      </c>
      <c r="L22" s="8"/>
    </row>
    <row r="23" spans="2:12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1056</v>
      </c>
      <c r="J23" s="22" t="s">
        <v>75</v>
      </c>
      <c r="K23" s="19" t="s">
        <v>42</v>
      </c>
      <c r="L23" s="8"/>
    </row>
    <row r="24" spans="2:12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2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2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16320</v>
      </c>
      <c r="J26" s="22" t="s">
        <v>84</v>
      </c>
      <c r="K26" s="19" t="s">
        <v>22</v>
      </c>
      <c r="L26" s="8"/>
    </row>
    <row r="27" spans="2:12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2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2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2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2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2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1872</v>
      </c>
      <c r="J32" s="22" t="s">
        <v>103</v>
      </c>
      <c r="K32" s="19" t="s">
        <v>98</v>
      </c>
      <c r="L32" s="8"/>
    </row>
    <row r="33" spans="2:12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2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2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2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2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2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/>
    </row>
    <row r="39" spans="2:12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2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2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2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2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130</v>
      </c>
      <c r="K43" s="19" t="s">
        <v>17</v>
      </c>
    </row>
    <row r="44" spans="2:12" x14ac:dyDescent="0.2">
      <c r="B44" s="24" t="s">
        <v>85</v>
      </c>
      <c r="C44" s="6" t="s">
        <v>125</v>
      </c>
      <c r="D44" s="6" t="s">
        <v>261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129</v>
      </c>
      <c r="K44" s="19" t="s">
        <v>17</v>
      </c>
    </row>
    <row r="45" spans="2:12" x14ac:dyDescent="0.2">
      <c r="B45" s="24" t="s">
        <v>85</v>
      </c>
      <c r="C45" s="6" t="s">
        <v>125</v>
      </c>
      <c r="D45" s="6" t="s">
        <v>261</v>
      </c>
      <c r="E45" s="6" t="s">
        <v>6</v>
      </c>
      <c r="F45" s="16">
        <v>960</v>
      </c>
      <c r="G45" s="16">
        <v>20563196387</v>
      </c>
      <c r="H45" s="1" t="s">
        <v>127</v>
      </c>
      <c r="I45" s="8">
        <v>4958</v>
      </c>
      <c r="J45" s="22" t="s">
        <v>128</v>
      </c>
      <c r="K45" s="19" t="s">
        <v>42</v>
      </c>
      <c r="L45" s="8"/>
    </row>
    <row r="46" spans="2:12" x14ac:dyDescent="0.2">
      <c r="B46" s="24" t="s">
        <v>131</v>
      </c>
      <c r="C46" s="6" t="s">
        <v>132</v>
      </c>
      <c r="D46" s="6" t="s">
        <v>135</v>
      </c>
      <c r="E46" s="6" t="s">
        <v>6</v>
      </c>
      <c r="F46" s="16">
        <v>965</v>
      </c>
      <c r="G46" s="16">
        <v>20608328409</v>
      </c>
      <c r="H46" s="1" t="s">
        <v>134</v>
      </c>
      <c r="I46" s="8">
        <v>5180</v>
      </c>
      <c r="J46" s="22" t="s">
        <v>243</v>
      </c>
      <c r="K46" s="19" t="s">
        <v>98</v>
      </c>
      <c r="L46" s="8"/>
    </row>
    <row r="47" spans="2:12" x14ac:dyDescent="0.2">
      <c r="B47" s="24" t="s">
        <v>131</v>
      </c>
      <c r="C47" s="6" t="s">
        <v>132</v>
      </c>
      <c r="D47" s="6" t="s">
        <v>135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136</v>
      </c>
      <c r="K47" s="19" t="s">
        <v>42</v>
      </c>
    </row>
    <row r="48" spans="2:12" x14ac:dyDescent="0.2">
      <c r="B48" s="24" t="s">
        <v>131</v>
      </c>
      <c r="C48" s="6" t="s">
        <v>133</v>
      </c>
      <c r="D48" s="6" t="s">
        <v>137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138</v>
      </c>
      <c r="K48" s="19" t="s">
        <v>98</v>
      </c>
    </row>
    <row r="49" spans="2:12" x14ac:dyDescent="0.2">
      <c r="B49" s="24" t="s">
        <v>131</v>
      </c>
      <c r="C49" s="6" t="s">
        <v>139</v>
      </c>
      <c r="D49" s="6" t="s">
        <v>144</v>
      </c>
      <c r="E49" s="6" t="s">
        <v>6</v>
      </c>
      <c r="F49" s="16">
        <v>968</v>
      </c>
      <c r="G49" s="16">
        <v>20565586247</v>
      </c>
      <c r="H49" s="1" t="s">
        <v>143</v>
      </c>
      <c r="I49" s="8">
        <v>1232</v>
      </c>
      <c r="J49" s="22" t="s">
        <v>145</v>
      </c>
      <c r="K49" s="19" t="s">
        <v>17</v>
      </c>
    </row>
    <row r="50" spans="2:12" x14ac:dyDescent="0.2">
      <c r="B50" s="24" t="s">
        <v>131</v>
      </c>
      <c r="C50" s="6" t="s">
        <v>139</v>
      </c>
      <c r="D50" s="6" t="s">
        <v>140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2340</v>
      </c>
      <c r="J50" s="22" t="s">
        <v>141</v>
      </c>
      <c r="K50" s="19" t="s">
        <v>98</v>
      </c>
      <c r="L50" s="8"/>
    </row>
    <row r="51" spans="2:12" x14ac:dyDescent="0.2">
      <c r="B51" s="24" t="s">
        <v>131</v>
      </c>
      <c r="C51" s="6" t="s">
        <v>139</v>
      </c>
      <c r="D51" s="6" t="s">
        <v>140</v>
      </c>
      <c r="E51" s="6" t="s">
        <v>6</v>
      </c>
      <c r="F51" s="16">
        <v>970</v>
      </c>
      <c r="G51" s="16">
        <v>20608328409</v>
      </c>
      <c r="H51" s="1" t="s">
        <v>134</v>
      </c>
      <c r="I51" s="8">
        <v>8917</v>
      </c>
      <c r="J51" s="22" t="s">
        <v>142</v>
      </c>
      <c r="K51" s="19" t="s">
        <v>98</v>
      </c>
      <c r="L51" s="8"/>
    </row>
    <row r="52" spans="2:12" x14ac:dyDescent="0.2">
      <c r="B52" s="24" t="s">
        <v>131</v>
      </c>
      <c r="C52" s="6" t="s">
        <v>139</v>
      </c>
      <c r="D52" s="6" t="s">
        <v>147</v>
      </c>
      <c r="E52" s="6" t="s">
        <v>6</v>
      </c>
      <c r="F52" s="16">
        <v>971</v>
      </c>
      <c r="G52" s="16">
        <v>10237050008</v>
      </c>
      <c r="H52" s="1" t="s">
        <v>146</v>
      </c>
      <c r="I52" s="8">
        <v>320</v>
      </c>
      <c r="J52" s="22" t="s">
        <v>148</v>
      </c>
      <c r="K52" s="19" t="s">
        <v>17</v>
      </c>
    </row>
    <row r="53" spans="2:12" x14ac:dyDescent="0.2">
      <c r="B53" s="24" t="s">
        <v>131</v>
      </c>
      <c r="C53" s="6" t="s">
        <v>149</v>
      </c>
      <c r="D53" s="6" t="s">
        <v>165</v>
      </c>
      <c r="E53" s="6" t="s">
        <v>6</v>
      </c>
      <c r="F53" s="16">
        <v>972</v>
      </c>
      <c r="G53" s="16">
        <v>20601438586</v>
      </c>
      <c r="H53" s="1" t="s">
        <v>150</v>
      </c>
      <c r="I53" s="8">
        <v>200</v>
      </c>
      <c r="J53" s="22" t="s">
        <v>151</v>
      </c>
      <c r="K53" s="19" t="s">
        <v>152</v>
      </c>
    </row>
    <row r="54" spans="2:12" x14ac:dyDescent="0.2">
      <c r="B54" s="24" t="s">
        <v>131</v>
      </c>
      <c r="C54" s="6" t="s">
        <v>153</v>
      </c>
      <c r="D54" s="6" t="s">
        <v>153</v>
      </c>
      <c r="E54" s="6" t="s">
        <v>6</v>
      </c>
      <c r="F54" s="16">
        <v>975</v>
      </c>
      <c r="G54" s="16">
        <v>20613808893</v>
      </c>
      <c r="H54" s="1" t="s">
        <v>156</v>
      </c>
      <c r="I54" s="8">
        <v>96</v>
      </c>
      <c r="J54" s="22" t="s">
        <v>155</v>
      </c>
      <c r="K54" s="19" t="s">
        <v>69</v>
      </c>
    </row>
    <row r="55" spans="2:12" x14ac:dyDescent="0.2">
      <c r="B55" s="24" t="s">
        <v>131</v>
      </c>
      <c r="C55" s="6" t="s">
        <v>154</v>
      </c>
      <c r="D55" s="6" t="s">
        <v>260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136</v>
      </c>
      <c r="K55" s="19" t="s">
        <v>42</v>
      </c>
    </row>
    <row r="56" spans="2:12" x14ac:dyDescent="0.2">
      <c r="B56" s="24" t="s">
        <v>131</v>
      </c>
      <c r="C56" s="6" t="s">
        <v>157</v>
      </c>
      <c r="D56" s="6" t="s">
        <v>159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160</v>
      </c>
      <c r="K56" s="19" t="s">
        <v>98</v>
      </c>
      <c r="L56" s="8"/>
    </row>
    <row r="57" spans="2:12" x14ac:dyDescent="0.2">
      <c r="B57" s="24" t="s">
        <v>131</v>
      </c>
      <c r="C57" s="6" t="s">
        <v>158</v>
      </c>
      <c r="D57" s="6" t="s">
        <v>163</v>
      </c>
      <c r="E57" s="6" t="s">
        <v>6</v>
      </c>
      <c r="F57" s="16">
        <v>978</v>
      </c>
      <c r="G57" s="16">
        <v>20602691439</v>
      </c>
      <c r="H57" s="1" t="s">
        <v>162</v>
      </c>
      <c r="I57" s="8">
        <v>3840</v>
      </c>
      <c r="J57" s="22" t="s">
        <v>161</v>
      </c>
      <c r="K57" s="19" t="s">
        <v>17</v>
      </c>
      <c r="L57" s="8"/>
    </row>
    <row r="58" spans="2:12" x14ac:dyDescent="0.2">
      <c r="B58" s="24" t="s">
        <v>131</v>
      </c>
      <c r="C58" s="6" t="s">
        <v>166</v>
      </c>
      <c r="D58" s="6" t="s">
        <v>167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179</v>
      </c>
      <c r="K58" s="19" t="s">
        <v>98</v>
      </c>
    </row>
    <row r="59" spans="2:12" x14ac:dyDescent="0.2">
      <c r="B59" s="24" t="s">
        <v>131</v>
      </c>
      <c r="C59" s="6" t="s">
        <v>166</v>
      </c>
      <c r="D59" s="6" t="s">
        <v>167</v>
      </c>
      <c r="E59" s="6" t="s">
        <v>6</v>
      </c>
      <c r="F59" s="16">
        <v>981</v>
      </c>
      <c r="G59" s="16">
        <v>10724616572</v>
      </c>
      <c r="H59" s="1" t="s">
        <v>168</v>
      </c>
      <c r="I59" s="8">
        <v>522</v>
      </c>
      <c r="J59" s="22" t="s">
        <v>169</v>
      </c>
      <c r="K59" s="19" t="s">
        <v>17</v>
      </c>
    </row>
    <row r="60" spans="2:12" x14ac:dyDescent="0.2">
      <c r="B60" s="24" t="s">
        <v>131</v>
      </c>
      <c r="C60" s="6" t="s">
        <v>170</v>
      </c>
      <c r="D60" s="6" t="s">
        <v>171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172</v>
      </c>
      <c r="K60" s="19" t="s">
        <v>98</v>
      </c>
      <c r="L60" s="8"/>
    </row>
    <row r="61" spans="2:12" x14ac:dyDescent="0.2">
      <c r="B61" s="24" t="s">
        <v>131</v>
      </c>
      <c r="C61" s="6" t="s">
        <v>174</v>
      </c>
      <c r="D61" s="6" t="s">
        <v>175</v>
      </c>
      <c r="E61" s="6" t="s">
        <v>6</v>
      </c>
      <c r="F61" s="16">
        <v>983</v>
      </c>
      <c r="G61" s="16">
        <v>20411051782</v>
      </c>
      <c r="H61" s="1" t="s">
        <v>173</v>
      </c>
      <c r="I61" s="8">
        <v>3150</v>
      </c>
      <c r="J61" s="22" t="s">
        <v>176</v>
      </c>
      <c r="K61" s="19" t="s">
        <v>17</v>
      </c>
    </row>
    <row r="62" spans="2:12" x14ac:dyDescent="0.2">
      <c r="B62" s="24" t="s">
        <v>131</v>
      </c>
      <c r="C62" s="6" t="s">
        <v>174</v>
      </c>
      <c r="D62" s="6" t="s">
        <v>177</v>
      </c>
      <c r="E62" s="6" t="s">
        <v>6</v>
      </c>
      <c r="F62" s="16">
        <v>984</v>
      </c>
      <c r="G62" s="16">
        <v>20601438586</v>
      </c>
      <c r="H62" s="1" t="s">
        <v>150</v>
      </c>
      <c r="I62" s="8">
        <v>400</v>
      </c>
      <c r="J62" s="22" t="s">
        <v>178</v>
      </c>
      <c r="K62" s="19" t="s">
        <v>152</v>
      </c>
    </row>
    <row r="63" spans="2:12" x14ac:dyDescent="0.2">
      <c r="B63" s="24" t="s">
        <v>131</v>
      </c>
      <c r="C63" s="6" t="s">
        <v>180</v>
      </c>
      <c r="D63" s="6" t="s">
        <v>181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182</v>
      </c>
      <c r="K63" s="19" t="s">
        <v>17</v>
      </c>
    </row>
    <row r="64" spans="2:12" x14ac:dyDescent="0.2">
      <c r="B64" s="24" t="s">
        <v>131</v>
      </c>
      <c r="C64" s="6" t="s">
        <v>180</v>
      </c>
      <c r="D64" s="6" t="s">
        <v>181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183</v>
      </c>
      <c r="K64" s="19" t="s">
        <v>17</v>
      </c>
    </row>
    <row r="65" spans="2:12" x14ac:dyDescent="0.2">
      <c r="B65" s="24" t="s">
        <v>131</v>
      </c>
      <c r="C65" s="26">
        <v>46107</v>
      </c>
      <c r="D65" s="28" t="s">
        <v>185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184</v>
      </c>
      <c r="K65" s="19" t="s">
        <v>98</v>
      </c>
      <c r="L65" s="8"/>
    </row>
    <row r="66" spans="2:12" x14ac:dyDescent="0.2">
      <c r="B66" s="24" t="s">
        <v>131</v>
      </c>
      <c r="C66" s="26" t="s">
        <v>187</v>
      </c>
      <c r="D66" s="28" t="s">
        <v>188</v>
      </c>
      <c r="E66" s="6" t="s">
        <v>6</v>
      </c>
      <c r="F66" s="16">
        <v>990</v>
      </c>
      <c r="G66" s="16">
        <v>20100032709</v>
      </c>
      <c r="H66" s="1" t="s">
        <v>186</v>
      </c>
      <c r="I66" s="8">
        <v>4200</v>
      </c>
      <c r="J66" s="22" t="s">
        <v>189</v>
      </c>
      <c r="K66" s="19" t="s">
        <v>17</v>
      </c>
    </row>
    <row r="67" spans="2:12" x14ac:dyDescent="0.2">
      <c r="B67" s="24" t="s">
        <v>131</v>
      </c>
      <c r="C67" s="26" t="s">
        <v>187</v>
      </c>
      <c r="D67" s="28" t="s">
        <v>188</v>
      </c>
      <c r="E67" s="6" t="s">
        <v>6</v>
      </c>
      <c r="F67" s="16">
        <v>991</v>
      </c>
      <c r="G67" s="16">
        <v>20100032709</v>
      </c>
      <c r="H67" s="1" t="s">
        <v>186</v>
      </c>
      <c r="I67" s="8">
        <v>7920</v>
      </c>
      <c r="J67" s="22" t="s">
        <v>190</v>
      </c>
      <c r="K67" s="19" t="s">
        <v>17</v>
      </c>
    </row>
    <row r="68" spans="2:12" x14ac:dyDescent="0.2">
      <c r="B68" s="24" t="s">
        <v>131</v>
      </c>
      <c r="C68" s="26">
        <v>46111</v>
      </c>
      <c r="D68" s="28" t="s">
        <v>192</v>
      </c>
      <c r="E68" s="6" t="s">
        <v>6</v>
      </c>
      <c r="F68" s="16">
        <v>992</v>
      </c>
      <c r="G68" s="16">
        <v>20176770474</v>
      </c>
      <c r="H68" s="1" t="s">
        <v>191</v>
      </c>
      <c r="I68" s="8">
        <v>2000</v>
      </c>
      <c r="J68" s="22" t="s">
        <v>193</v>
      </c>
      <c r="K68" s="19" t="s">
        <v>98</v>
      </c>
    </row>
    <row r="69" spans="2:12" x14ac:dyDescent="0.2">
      <c r="B69" s="24" t="s">
        <v>131</v>
      </c>
      <c r="C69" s="26">
        <v>46112</v>
      </c>
      <c r="D69" s="26" t="s">
        <v>194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195</v>
      </c>
      <c r="K69" s="19" t="s">
        <v>17</v>
      </c>
    </row>
    <row r="70" spans="2:12" x14ac:dyDescent="0.2">
      <c r="B70" s="24" t="s">
        <v>131</v>
      </c>
      <c r="C70" s="26">
        <v>46112</v>
      </c>
      <c r="D70" s="28" t="s">
        <v>196</v>
      </c>
      <c r="E70" s="6" t="s">
        <v>6</v>
      </c>
      <c r="F70" s="16">
        <v>998</v>
      </c>
      <c r="G70" s="16">
        <v>20601438586</v>
      </c>
      <c r="H70" s="1" t="s">
        <v>197</v>
      </c>
      <c r="I70" s="8">
        <v>400</v>
      </c>
      <c r="J70" s="22" t="s">
        <v>178</v>
      </c>
      <c r="K70" s="19" t="s">
        <v>152</v>
      </c>
    </row>
    <row r="71" spans="2:12" x14ac:dyDescent="0.2">
      <c r="B71" s="24" t="s">
        <v>198</v>
      </c>
      <c r="C71" s="26" t="s">
        <v>28</v>
      </c>
      <c r="D71" s="28" t="s">
        <v>200</v>
      </c>
      <c r="E71" s="6" t="s">
        <v>6</v>
      </c>
      <c r="F71" s="16">
        <v>1001</v>
      </c>
      <c r="G71" s="16">
        <v>20100032709</v>
      </c>
      <c r="H71" s="1" t="s">
        <v>186</v>
      </c>
      <c r="I71" s="8">
        <v>8100</v>
      </c>
      <c r="J71" s="22" t="s">
        <v>199</v>
      </c>
      <c r="K71" s="19" t="s">
        <v>17</v>
      </c>
    </row>
    <row r="72" spans="2:12" x14ac:dyDescent="0.2">
      <c r="B72" s="24" t="s">
        <v>198</v>
      </c>
      <c r="C72" s="26" t="s">
        <v>201</v>
      </c>
      <c r="D72" s="28" t="s">
        <v>203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205</v>
      </c>
      <c r="K72" s="19" t="s">
        <v>98</v>
      </c>
    </row>
    <row r="73" spans="2:12" x14ac:dyDescent="0.2">
      <c r="B73" s="24" t="s">
        <v>198</v>
      </c>
      <c r="C73" s="26" t="s">
        <v>201</v>
      </c>
      <c r="D73" s="28" t="s">
        <v>203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205</v>
      </c>
      <c r="K73" s="19" t="s">
        <v>98</v>
      </c>
    </row>
    <row r="74" spans="2:12" x14ac:dyDescent="0.2">
      <c r="B74" s="24" t="s">
        <v>198</v>
      </c>
      <c r="C74" s="26" t="s">
        <v>201</v>
      </c>
      <c r="D74" s="28" t="s">
        <v>202</v>
      </c>
      <c r="E74" s="6" t="s">
        <v>6</v>
      </c>
      <c r="F74" s="16">
        <v>1005</v>
      </c>
      <c r="G74" s="16">
        <v>20100032709</v>
      </c>
      <c r="H74" s="1" t="s">
        <v>186</v>
      </c>
      <c r="I74" s="8">
        <v>5737.5</v>
      </c>
      <c r="J74" s="22" t="s">
        <v>204</v>
      </c>
      <c r="K74" s="19" t="s">
        <v>17</v>
      </c>
    </row>
    <row r="75" spans="2:12" x14ac:dyDescent="0.2">
      <c r="B75" s="24" t="s">
        <v>198</v>
      </c>
      <c r="C75" s="26" t="s">
        <v>206</v>
      </c>
      <c r="D75" s="28" t="s">
        <v>207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208</v>
      </c>
      <c r="K75" s="19" t="s">
        <v>98</v>
      </c>
    </row>
    <row r="76" spans="2:12" x14ac:dyDescent="0.2">
      <c r="B76" s="24" t="s">
        <v>198</v>
      </c>
      <c r="C76" s="6" t="s">
        <v>209</v>
      </c>
      <c r="D76" s="6" t="s">
        <v>210</v>
      </c>
      <c r="E76" s="6" t="s">
        <v>6</v>
      </c>
      <c r="F76" s="16">
        <v>1008</v>
      </c>
      <c r="G76" s="16">
        <v>20100032709</v>
      </c>
      <c r="H76" s="1" t="s">
        <v>186</v>
      </c>
      <c r="I76" s="8">
        <v>8712</v>
      </c>
      <c r="J76" s="22" t="s">
        <v>211</v>
      </c>
      <c r="K76" s="19" t="s">
        <v>17</v>
      </c>
    </row>
    <row r="77" spans="2:12" x14ac:dyDescent="0.2">
      <c r="B77" s="24" t="s">
        <v>198</v>
      </c>
      <c r="C77" s="6" t="s">
        <v>212</v>
      </c>
      <c r="D77" s="6" t="s">
        <v>213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214</v>
      </c>
      <c r="K77" s="19" t="s">
        <v>98</v>
      </c>
    </row>
    <row r="78" spans="2:12" x14ac:dyDescent="0.2">
      <c r="B78" s="24" t="s">
        <v>198</v>
      </c>
      <c r="C78" s="6" t="s">
        <v>215</v>
      </c>
      <c r="D78" s="6" t="s">
        <v>216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217</v>
      </c>
      <c r="K78" s="19" t="s">
        <v>98</v>
      </c>
    </row>
    <row r="79" spans="2:12" x14ac:dyDescent="0.2">
      <c r="B79" s="24" t="s">
        <v>198</v>
      </c>
      <c r="C79" s="6" t="s">
        <v>215</v>
      </c>
      <c r="D79" s="6" t="s">
        <v>216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217</v>
      </c>
      <c r="K79" s="19" t="s">
        <v>98</v>
      </c>
    </row>
    <row r="80" spans="2:12" x14ac:dyDescent="0.2">
      <c r="B80" s="24" t="s">
        <v>198</v>
      </c>
      <c r="C80" s="6" t="s">
        <v>62</v>
      </c>
      <c r="D80" s="6" t="s">
        <v>218</v>
      </c>
      <c r="E80" s="6" t="s">
        <v>6</v>
      </c>
      <c r="F80" s="16">
        <v>1013</v>
      </c>
      <c r="G80" s="16">
        <v>20606000937</v>
      </c>
      <c r="H80" s="1" t="s">
        <v>219</v>
      </c>
      <c r="I80" s="8">
        <v>200</v>
      </c>
      <c r="J80" s="22" t="s">
        <v>220</v>
      </c>
      <c r="K80" s="19" t="s">
        <v>152</v>
      </c>
    </row>
    <row r="81" spans="2:12" x14ac:dyDescent="0.2">
      <c r="B81" s="24" t="s">
        <v>198</v>
      </c>
      <c r="C81" s="6" t="s">
        <v>62</v>
      </c>
      <c r="D81" s="6" t="s">
        <v>223</v>
      </c>
      <c r="E81" s="6" t="s">
        <v>6</v>
      </c>
      <c r="F81" s="16">
        <v>1015</v>
      </c>
      <c r="G81" s="16">
        <v>20452634873</v>
      </c>
      <c r="H81" s="1" t="s">
        <v>82</v>
      </c>
      <c r="I81" s="8">
        <v>300</v>
      </c>
      <c r="J81" s="22" t="s">
        <v>217</v>
      </c>
      <c r="K81" s="19" t="s">
        <v>98</v>
      </c>
    </row>
    <row r="82" spans="2:12" x14ac:dyDescent="0.2">
      <c r="B82" s="24" t="s">
        <v>198</v>
      </c>
      <c r="C82" s="6" t="s">
        <v>79</v>
      </c>
      <c r="D82" s="6" t="s">
        <v>79</v>
      </c>
      <c r="E82" s="6" t="s">
        <v>6</v>
      </c>
      <c r="F82" s="16">
        <v>1019</v>
      </c>
      <c r="G82" s="16">
        <v>20612865320</v>
      </c>
      <c r="H82" s="1" t="s">
        <v>224</v>
      </c>
      <c r="I82" s="8">
        <v>33</v>
      </c>
      <c r="J82" s="22" t="s">
        <v>225</v>
      </c>
      <c r="K82" s="19" t="s">
        <v>98</v>
      </c>
      <c r="L82" s="29"/>
    </row>
    <row r="83" spans="2:12" x14ac:dyDescent="0.2">
      <c r="B83" s="24" t="s">
        <v>198</v>
      </c>
      <c r="C83" s="6" t="s">
        <v>226</v>
      </c>
      <c r="D83" s="6" t="s">
        <v>227</v>
      </c>
      <c r="E83" s="6" t="s">
        <v>6</v>
      </c>
      <c r="F83" s="16">
        <v>1020</v>
      </c>
      <c r="G83" s="19">
        <v>20600750276</v>
      </c>
      <c r="H83" s="1" t="s">
        <v>228</v>
      </c>
      <c r="I83" s="8">
        <v>6300</v>
      </c>
      <c r="J83" s="22" t="s">
        <v>229</v>
      </c>
      <c r="K83" s="19" t="s">
        <v>230</v>
      </c>
    </row>
    <row r="84" spans="2:12" x14ac:dyDescent="0.2">
      <c r="B84" s="24" t="s">
        <v>198</v>
      </c>
      <c r="C84" s="6" t="s">
        <v>226</v>
      </c>
      <c r="D84" s="26">
        <v>46319</v>
      </c>
      <c r="E84" s="6" t="s">
        <v>6</v>
      </c>
      <c r="F84" s="16">
        <v>1022</v>
      </c>
      <c r="G84" s="16">
        <v>20554556192</v>
      </c>
      <c r="H84" s="1" t="s">
        <v>231</v>
      </c>
      <c r="I84" s="8">
        <v>6600</v>
      </c>
      <c r="J84" s="22" t="s">
        <v>232</v>
      </c>
      <c r="K84" s="19" t="s">
        <v>42</v>
      </c>
      <c r="L84" s="8"/>
    </row>
    <row r="85" spans="2:12" x14ac:dyDescent="0.2">
      <c r="B85" s="24" t="s">
        <v>198</v>
      </c>
      <c r="C85" s="6" t="s">
        <v>226</v>
      </c>
      <c r="D85" s="6" t="s">
        <v>226</v>
      </c>
      <c r="E85" s="6" t="s">
        <v>6</v>
      </c>
      <c r="F85" s="16">
        <v>1023</v>
      </c>
      <c r="G85" s="16">
        <v>20609962331</v>
      </c>
      <c r="H85" s="1" t="s">
        <v>222</v>
      </c>
      <c r="I85" s="8">
        <v>480</v>
      </c>
      <c r="J85" s="22" t="s">
        <v>221</v>
      </c>
      <c r="K85" s="19" t="s">
        <v>17</v>
      </c>
    </row>
    <row r="86" spans="2:12" x14ac:dyDescent="0.2">
      <c r="B86" s="24" t="s">
        <v>198</v>
      </c>
      <c r="C86" s="6" t="s">
        <v>233</v>
      </c>
      <c r="D86" s="6" t="s">
        <v>181</v>
      </c>
      <c r="E86" s="6" t="s">
        <v>6</v>
      </c>
      <c r="F86" s="16">
        <v>1025</v>
      </c>
      <c r="G86" s="16">
        <v>20176770474</v>
      </c>
      <c r="H86" s="1" t="s">
        <v>63</v>
      </c>
      <c r="I86" s="8">
        <v>2000</v>
      </c>
      <c r="J86" s="22" t="s">
        <v>235</v>
      </c>
      <c r="K86" s="19" t="s">
        <v>98</v>
      </c>
    </row>
    <row r="87" spans="2:12" x14ac:dyDescent="0.2">
      <c r="B87" s="24" t="s">
        <v>198</v>
      </c>
      <c r="C87" s="6" t="s">
        <v>233</v>
      </c>
      <c r="D87" s="6" t="s">
        <v>234</v>
      </c>
      <c r="E87" s="6" t="s">
        <v>6</v>
      </c>
      <c r="F87" s="16">
        <v>1026</v>
      </c>
      <c r="G87" s="16">
        <v>20600697511</v>
      </c>
      <c r="H87" s="1" t="s">
        <v>102</v>
      </c>
      <c r="I87" s="8">
        <v>936</v>
      </c>
      <c r="J87" s="22" t="s">
        <v>236</v>
      </c>
      <c r="K87" s="19" t="s">
        <v>98</v>
      </c>
    </row>
    <row r="88" spans="2:12" x14ac:dyDescent="0.2">
      <c r="B88" s="24" t="s">
        <v>198</v>
      </c>
      <c r="C88" s="6" t="s">
        <v>233</v>
      </c>
      <c r="D88" s="6" t="s">
        <v>234</v>
      </c>
      <c r="E88" s="6" t="s">
        <v>6</v>
      </c>
      <c r="F88" s="16">
        <v>1027</v>
      </c>
      <c r="G88" s="16">
        <v>20600697511</v>
      </c>
      <c r="H88" s="1" t="s">
        <v>102</v>
      </c>
      <c r="I88" s="8">
        <v>3736</v>
      </c>
      <c r="J88" s="22" t="s">
        <v>237</v>
      </c>
      <c r="K88" s="19" t="s">
        <v>98</v>
      </c>
    </row>
    <row r="89" spans="2:12" x14ac:dyDescent="0.2">
      <c r="B89" s="24" t="s">
        <v>198</v>
      </c>
      <c r="C89" s="6" t="s">
        <v>233</v>
      </c>
      <c r="D89" s="6" t="s">
        <v>234</v>
      </c>
      <c r="E89" s="6" t="s">
        <v>6</v>
      </c>
      <c r="F89" s="16">
        <v>1028</v>
      </c>
      <c r="G89" s="16">
        <v>20600697511</v>
      </c>
      <c r="H89" s="1" t="s">
        <v>102</v>
      </c>
      <c r="I89" s="8">
        <v>1170</v>
      </c>
      <c r="J89" s="22" t="s">
        <v>238</v>
      </c>
      <c r="K89" s="19" t="s">
        <v>98</v>
      </c>
      <c r="L89" s="8"/>
    </row>
    <row r="90" spans="2:12" x14ac:dyDescent="0.2">
      <c r="B90" s="24" t="s">
        <v>198</v>
      </c>
      <c r="C90" s="6" t="s">
        <v>239</v>
      </c>
      <c r="D90" s="6" t="s">
        <v>240</v>
      </c>
      <c r="E90" s="6" t="s">
        <v>6</v>
      </c>
      <c r="F90" s="16">
        <v>1031</v>
      </c>
      <c r="G90" s="16">
        <v>20100032709</v>
      </c>
      <c r="H90" s="1" t="s">
        <v>186</v>
      </c>
      <c r="I90" s="8">
        <v>13857.5</v>
      </c>
      <c r="J90" s="22" t="s">
        <v>241</v>
      </c>
      <c r="K90" s="19" t="s">
        <v>17</v>
      </c>
    </row>
    <row r="91" spans="2:12" x14ac:dyDescent="0.2">
      <c r="B91" s="24" t="s">
        <v>242</v>
      </c>
      <c r="C91" s="6" t="s">
        <v>244</v>
      </c>
      <c r="D91" s="26" t="s">
        <v>246</v>
      </c>
      <c r="E91" s="6" t="s">
        <v>6</v>
      </c>
      <c r="F91" s="16">
        <v>1035</v>
      </c>
      <c r="G91" s="16">
        <v>20600720679</v>
      </c>
      <c r="H91" s="1" t="s">
        <v>247</v>
      </c>
      <c r="I91" s="8">
        <v>2600</v>
      </c>
      <c r="J91" s="22" t="s">
        <v>245</v>
      </c>
      <c r="K91" s="19" t="s">
        <v>230</v>
      </c>
    </row>
    <row r="92" spans="2:12" x14ac:dyDescent="0.2">
      <c r="B92" s="24" t="s">
        <v>242</v>
      </c>
      <c r="C92" s="6" t="s">
        <v>248</v>
      </c>
      <c r="D92" s="26" t="s">
        <v>252</v>
      </c>
      <c r="E92" s="6" t="s">
        <v>6</v>
      </c>
      <c r="F92" s="16">
        <v>1038</v>
      </c>
      <c r="G92" s="16">
        <v>20530296637</v>
      </c>
      <c r="H92" s="1" t="s">
        <v>249</v>
      </c>
      <c r="I92" s="8">
        <v>600</v>
      </c>
      <c r="J92" s="22" t="s">
        <v>250</v>
      </c>
      <c r="K92" s="19" t="s">
        <v>152</v>
      </c>
    </row>
    <row r="93" spans="2:12" x14ac:dyDescent="0.2">
      <c r="B93" s="24" t="s">
        <v>242</v>
      </c>
      <c r="C93" s="6" t="s">
        <v>248</v>
      </c>
      <c r="D93" s="26" t="s">
        <v>251</v>
      </c>
      <c r="E93" s="6" t="s">
        <v>6</v>
      </c>
      <c r="F93" s="16">
        <v>1039</v>
      </c>
      <c r="G93" s="16">
        <v>20610390341</v>
      </c>
      <c r="H93" s="1" t="s">
        <v>253</v>
      </c>
      <c r="I93" s="8">
        <v>7725</v>
      </c>
      <c r="J93" s="22" t="s">
        <v>254</v>
      </c>
      <c r="K93" s="19" t="s">
        <v>98</v>
      </c>
    </row>
    <row r="94" spans="2:12" x14ac:dyDescent="0.2">
      <c r="B94" s="24" t="s">
        <v>242</v>
      </c>
      <c r="C94" s="6" t="s">
        <v>248</v>
      </c>
      <c r="D94" s="26" t="s">
        <v>255</v>
      </c>
      <c r="E94" s="6" t="s">
        <v>6</v>
      </c>
      <c r="F94" s="16">
        <v>1040</v>
      </c>
      <c r="G94" s="16">
        <v>20100032709</v>
      </c>
      <c r="H94" s="1" t="s">
        <v>186</v>
      </c>
      <c r="I94" s="8">
        <v>7920</v>
      </c>
      <c r="J94" s="22" t="s">
        <v>190</v>
      </c>
      <c r="K94" s="19" t="s">
        <v>17</v>
      </c>
    </row>
    <row r="95" spans="2:12" x14ac:dyDescent="0.2">
      <c r="B95" s="24" t="s">
        <v>242</v>
      </c>
      <c r="C95" s="6" t="s">
        <v>248</v>
      </c>
      <c r="D95" s="26" t="s">
        <v>255</v>
      </c>
      <c r="E95" s="6" t="s">
        <v>6</v>
      </c>
      <c r="F95" s="16">
        <v>1041</v>
      </c>
      <c r="G95" s="16">
        <v>20614560011</v>
      </c>
      <c r="H95" s="1" t="s">
        <v>256</v>
      </c>
      <c r="I95" s="8">
        <v>5376</v>
      </c>
      <c r="J95" s="22" t="s">
        <v>257</v>
      </c>
      <c r="K95" s="19" t="s">
        <v>17</v>
      </c>
    </row>
    <row r="96" spans="2:12" ht="12" customHeight="1" x14ac:dyDescent="0.2">
      <c r="B96" s="24" t="s">
        <v>242</v>
      </c>
      <c r="C96" s="6" t="s">
        <v>248</v>
      </c>
      <c r="D96" s="6" t="s">
        <v>255</v>
      </c>
      <c r="E96" s="6" t="s">
        <v>6</v>
      </c>
      <c r="F96" s="16">
        <v>1042</v>
      </c>
      <c r="G96" s="16">
        <v>20606133139</v>
      </c>
      <c r="H96" s="1" t="s">
        <v>7</v>
      </c>
      <c r="I96" s="8">
        <v>19800</v>
      </c>
      <c r="J96" s="1" t="s">
        <v>258</v>
      </c>
      <c r="K96" s="19" t="s">
        <v>98</v>
      </c>
    </row>
    <row r="97" spans="2:11" ht="12" customHeight="1" x14ac:dyDescent="0.2">
      <c r="B97" s="24" t="s">
        <v>242</v>
      </c>
      <c r="C97" s="6" t="s">
        <v>262</v>
      </c>
      <c r="D97" s="6" t="s">
        <v>263</v>
      </c>
      <c r="E97" s="6" t="s">
        <v>6</v>
      </c>
      <c r="F97" s="16">
        <v>1043</v>
      </c>
      <c r="G97" s="16">
        <v>20600697511</v>
      </c>
      <c r="H97" s="1" t="s">
        <v>264</v>
      </c>
      <c r="I97" s="8">
        <v>1170</v>
      </c>
      <c r="J97" s="22" t="s">
        <v>238</v>
      </c>
      <c r="K97" s="19" t="s">
        <v>98</v>
      </c>
    </row>
    <row r="98" spans="2:11" ht="12" customHeight="1" x14ac:dyDescent="0.2">
      <c r="B98" s="24" t="s">
        <v>242</v>
      </c>
      <c r="C98" s="6" t="s">
        <v>159</v>
      </c>
      <c r="D98" s="6" t="s">
        <v>266</v>
      </c>
      <c r="E98" s="6" t="s">
        <v>6</v>
      </c>
      <c r="F98" s="16">
        <v>1044</v>
      </c>
      <c r="G98" s="16">
        <v>20606133139</v>
      </c>
      <c r="H98" s="1" t="s">
        <v>7</v>
      </c>
      <c r="I98" s="8">
        <v>19800</v>
      </c>
      <c r="J98" s="22" t="s">
        <v>258</v>
      </c>
      <c r="K98" s="19" t="s">
        <v>98</v>
      </c>
    </row>
    <row r="100" spans="2:11" ht="10.8" thickBot="1" x14ac:dyDescent="0.25">
      <c r="H100" s="7" t="s">
        <v>3</v>
      </c>
      <c r="I100" s="9">
        <f>SUM(I7:I98)</f>
        <v>325103.89999999997</v>
      </c>
    </row>
    <row r="101" spans="2:11" ht="10.8" thickTop="1" x14ac:dyDescent="0.2"/>
    <row r="105" spans="2:11" x14ac:dyDescent="0.2">
      <c r="J105" s="8"/>
    </row>
    <row r="106" spans="2:11" x14ac:dyDescent="0.2">
      <c r="K106" s="23"/>
    </row>
    <row r="120" spans="9:9" x14ac:dyDescent="0.2">
      <c r="I120" s="30"/>
    </row>
    <row r="121" spans="9:9" x14ac:dyDescent="0.2">
      <c r="I121" s="1"/>
    </row>
    <row r="122" spans="9:9" x14ac:dyDescent="0.2">
      <c r="I122" s="30"/>
    </row>
  </sheetData>
  <autoFilter ref="B6:K97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MAYO</vt:lpstr>
      <vt:lpstr>VENTAS ACUMULADAS 2026</vt:lpstr>
      <vt:lpstr>'VENTAS MAYO'!Títulos_a_imprimir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2026-05-11T22:10:41Z</dcterms:modified>
</cp:coreProperties>
</file>