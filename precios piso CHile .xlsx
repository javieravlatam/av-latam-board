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javieralmeida/Desktop/avboard/inbox/"/>
    </mc:Choice>
  </mc:AlternateContent>
  <xr:revisionPtr revIDLastSave="0" documentId="13_ncr:1_{29737ADC-4993-534E-9E10-909AF0FA8897}" xr6:coauthVersionLast="47" xr6:coauthVersionMax="47" xr10:uidLastSave="{00000000-0000-0000-0000-000000000000}"/>
  <bookViews>
    <workbookView xWindow="30600" yWindow="600" windowWidth="35640" windowHeight="19880" tabRatio="500" activeTab="1" xr2:uid="{00000000-000D-0000-FFFF-FFFF00000000}"/>
  </bookViews>
  <sheets>
    <sheet name="Pricing Piso Chile" sheetId="1" r:id="rId1"/>
    <sheet name="Lista de precios" sheetId="3" r:id="rId2"/>
  </sheets>
  <definedNames>
    <definedName name="_xlnm._FilterDatabase" localSheetId="1" hidden="1">'Lista de precios'!$B$4:$D$82</definedName>
    <definedName name="_xlnm._FilterDatabase" localSheetId="0" hidden="1">'Pricing Piso Chile'!$A$5:$M$141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83" i="3" l="1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5" i="3"/>
  <c r="B5" i="3"/>
  <c r="N142" i="1" a="1"/>
  <c r="N142" i="1" s="1"/>
  <c r="N141" i="1" a="1"/>
  <c r="N141" i="1" s="1"/>
  <c r="N140" i="1" a="1"/>
  <c r="N140" i="1" s="1"/>
  <c r="N139" i="1" a="1"/>
  <c r="N139" i="1" s="1"/>
  <c r="N138" i="1" a="1"/>
  <c r="N138" i="1" s="1"/>
  <c r="N137" i="1" a="1"/>
  <c r="N137" i="1" s="1"/>
  <c r="N136" i="1" a="1"/>
  <c r="N136" i="1" s="1"/>
  <c r="N135" i="1" a="1"/>
  <c r="N135" i="1" s="1"/>
  <c r="N134" i="1" a="1"/>
  <c r="N134" i="1" s="1"/>
  <c r="N133" i="1" a="1"/>
  <c r="N133" i="1" s="1"/>
  <c r="N132" i="1" a="1"/>
  <c r="N132" i="1" s="1"/>
  <c r="N130" i="1" a="1"/>
  <c r="N130" i="1" s="1"/>
  <c r="N129" i="1" a="1"/>
  <c r="N129" i="1" s="1"/>
  <c r="N128" i="1" a="1"/>
  <c r="N128" i="1" s="1"/>
  <c r="N127" i="1" a="1"/>
  <c r="N127" i="1" s="1"/>
  <c r="N125" i="1" a="1"/>
  <c r="N125" i="1" s="1"/>
  <c r="N124" i="1" a="1"/>
  <c r="N124" i="1" s="1"/>
  <c r="N123" i="1" a="1"/>
  <c r="N123" i="1" s="1"/>
  <c r="N122" i="1" a="1"/>
  <c r="N122" i="1" s="1"/>
  <c r="N120" i="1" a="1"/>
  <c r="N120" i="1" s="1"/>
  <c r="N119" i="1" a="1"/>
  <c r="N119" i="1" s="1"/>
  <c r="N118" i="1" a="1"/>
  <c r="N118" i="1" s="1"/>
  <c r="N117" i="1" a="1"/>
  <c r="N117" i="1" s="1"/>
  <c r="N115" i="1" a="1"/>
  <c r="N115" i="1" s="1"/>
  <c r="N114" i="1" a="1"/>
  <c r="N114" i="1" s="1"/>
  <c r="N113" i="1" a="1"/>
  <c r="N113" i="1" s="1"/>
  <c r="N112" i="1" a="1"/>
  <c r="N112" i="1" s="1"/>
  <c r="N110" i="1" a="1"/>
  <c r="N110" i="1" s="1"/>
  <c r="N109" i="1" a="1"/>
  <c r="N109" i="1" s="1"/>
  <c r="N108" i="1" a="1"/>
  <c r="N108" i="1" s="1"/>
  <c r="N107" i="1" a="1"/>
  <c r="N107" i="1"/>
  <c r="N105" i="1" a="1"/>
  <c r="N105" i="1" s="1"/>
  <c r="N104" i="1" a="1"/>
  <c r="N104" i="1" s="1"/>
  <c r="N103" i="1" a="1"/>
  <c r="N103" i="1" s="1"/>
  <c r="N102" i="1" a="1"/>
  <c r="N102" i="1" s="1"/>
  <c r="N101" i="1" a="1"/>
  <c r="N101" i="1" s="1"/>
  <c r="N99" i="1" a="1"/>
  <c r="N99" i="1" s="1"/>
  <c r="N98" i="1" a="1"/>
  <c r="N98" i="1" s="1"/>
  <c r="N97" i="1" a="1"/>
  <c r="N97" i="1" s="1"/>
  <c r="N96" i="1" a="1"/>
  <c r="N96" i="1" s="1"/>
  <c r="N94" i="1" a="1"/>
  <c r="N94" i="1" s="1"/>
  <c r="N93" i="1" a="1"/>
  <c r="N93" i="1" s="1"/>
  <c r="N92" i="1" a="1"/>
  <c r="N92" i="1" s="1"/>
  <c r="N91" i="1" a="1"/>
  <c r="N91" i="1" s="1"/>
  <c r="N89" i="1" a="1"/>
  <c r="N89" i="1" s="1"/>
  <c r="N88" i="1" a="1"/>
  <c r="N88" i="1" s="1"/>
  <c r="N87" i="1" a="1"/>
  <c r="N87" i="1" s="1"/>
  <c r="N86" i="1" a="1"/>
  <c r="N86" i="1" s="1"/>
  <c r="N84" i="1" a="1"/>
  <c r="N84" i="1" s="1"/>
  <c r="N83" i="1" a="1"/>
  <c r="N83" i="1" s="1"/>
  <c r="N82" i="1" a="1"/>
  <c r="N82" i="1" s="1"/>
  <c r="N81" i="1" a="1"/>
  <c r="N81" i="1" s="1"/>
  <c r="N79" i="1" a="1"/>
  <c r="N79" i="1" s="1"/>
  <c r="N78" i="1" a="1"/>
  <c r="N78" i="1" s="1"/>
  <c r="N77" i="1" a="1"/>
  <c r="N77" i="1" s="1"/>
  <c r="N76" i="1" a="1"/>
  <c r="N76" i="1" s="1"/>
  <c r="N74" i="1" a="1"/>
  <c r="N74" i="1" s="1"/>
  <c r="N73" i="1" a="1"/>
  <c r="N73" i="1" s="1"/>
  <c r="N72" i="1" a="1"/>
  <c r="N72" i="1" s="1"/>
  <c r="N71" i="1" a="1"/>
  <c r="N71" i="1"/>
  <c r="N69" i="1" a="1"/>
  <c r="N69" i="1" s="1"/>
  <c r="N68" i="1" a="1"/>
  <c r="N68" i="1" s="1"/>
  <c r="N67" i="1" a="1"/>
  <c r="N67" i="1" s="1"/>
  <c r="N66" i="1" a="1"/>
  <c r="N66" i="1" s="1"/>
  <c r="N64" i="1" a="1"/>
  <c r="N64" i="1" s="1"/>
  <c r="N63" i="1" a="1"/>
  <c r="N63" i="1" s="1"/>
  <c r="N62" i="1" a="1"/>
  <c r="N62" i="1" s="1"/>
  <c r="N61" i="1" a="1"/>
  <c r="N61" i="1" s="1"/>
  <c r="N59" i="1" a="1"/>
  <c r="N59" i="1" s="1"/>
  <c r="N58" i="1" a="1"/>
  <c r="N58" i="1" s="1"/>
  <c r="N57" i="1" a="1"/>
  <c r="N57" i="1" s="1"/>
  <c r="N56" i="1" a="1"/>
  <c r="N56" i="1" s="1"/>
  <c r="N54" i="1" a="1"/>
  <c r="N54" i="1" s="1"/>
  <c r="N53" i="1" a="1"/>
  <c r="N53" i="1" s="1"/>
  <c r="N52" i="1" a="1"/>
  <c r="N52" i="1" s="1"/>
  <c r="N51" i="1" a="1"/>
  <c r="N51" i="1" s="1"/>
  <c r="N49" i="1" a="1"/>
  <c r="N49" i="1" s="1"/>
  <c r="N48" i="1" a="1"/>
  <c r="N48" i="1" s="1"/>
  <c r="N47" i="1" a="1"/>
  <c r="N47" i="1" s="1"/>
  <c r="N46" i="1" a="1"/>
  <c r="N46" i="1" s="1"/>
  <c r="N44" i="1" a="1"/>
  <c r="N44" i="1" s="1"/>
  <c r="N43" i="1" a="1"/>
  <c r="N43" i="1" s="1"/>
  <c r="N42" i="1" a="1"/>
  <c r="N42" i="1" s="1"/>
  <c r="N41" i="1" a="1"/>
  <c r="N41" i="1" s="1"/>
  <c r="N39" i="1" a="1"/>
  <c r="N39" i="1" s="1"/>
  <c r="N38" i="1" a="1"/>
  <c r="N38" i="1" s="1"/>
  <c r="N37" i="1" a="1"/>
  <c r="N37" i="1" s="1"/>
  <c r="N36" i="1" a="1"/>
  <c r="N36" i="1" s="1"/>
  <c r="N34" i="1" a="1"/>
  <c r="N34" i="1" s="1"/>
  <c r="N33" i="1" a="1"/>
  <c r="N33" i="1" s="1"/>
  <c r="N32" i="1" a="1"/>
  <c r="N32" i="1" s="1"/>
  <c r="N31" i="1" a="1"/>
  <c r="N31" i="1" s="1"/>
  <c r="N29" i="1" a="1"/>
  <c r="N29" i="1" s="1"/>
  <c r="N28" i="1" a="1"/>
  <c r="N28" i="1" s="1"/>
  <c r="N27" i="1" a="1"/>
  <c r="N27" i="1" s="1"/>
  <c r="N26" i="1" a="1"/>
  <c r="N26" i="1" s="1"/>
  <c r="N24" i="1" a="1"/>
  <c r="N24" i="1" s="1"/>
  <c r="N23" i="1" a="1"/>
  <c r="N23" i="1" s="1"/>
  <c r="N22" i="1" a="1"/>
  <c r="N22" i="1" s="1"/>
  <c r="N21" i="1" a="1"/>
  <c r="N21" i="1" s="1"/>
  <c r="N19" i="1" a="1"/>
  <c r="N19" i="1" s="1"/>
  <c r="N18" i="1" a="1"/>
  <c r="N18" i="1" s="1"/>
  <c r="N17" i="1" a="1"/>
  <c r="N17" i="1" s="1"/>
  <c r="N16" i="1" a="1"/>
  <c r="N16" i="1" s="1"/>
  <c r="N14" i="1" a="1"/>
  <c r="N14" i="1" s="1"/>
  <c r="N13" i="1" a="1"/>
  <c r="N13" i="1" s="1"/>
  <c r="N12" i="1" a="1"/>
  <c r="N12" i="1" s="1"/>
  <c r="N11" i="1" a="1"/>
  <c r="N11" i="1" s="1"/>
  <c r="N9" i="1" a="1"/>
  <c r="N9" i="1" s="1"/>
  <c r="N8" i="1" a="1"/>
  <c r="N8" i="1" s="1"/>
  <c r="N7" i="1" a="1"/>
  <c r="N7" i="1" s="1"/>
  <c r="N6" i="1" a="1"/>
  <c r="N6" i="1" s="1"/>
  <c r="N143" i="1" a="1"/>
  <c r="N143" i="1" s="1"/>
  <c r="L143" i="1"/>
  <c r="G143" i="1"/>
  <c r="E143" i="1"/>
  <c r="F143" i="1" s="1"/>
  <c r="K143" i="1" s="1"/>
  <c r="N131" i="1" a="1"/>
  <c r="N131" i="1" s="1"/>
  <c r="L131" i="1"/>
  <c r="G131" i="1"/>
  <c r="E131" i="1"/>
  <c r="F131" i="1" s="1"/>
  <c r="K131" i="1" s="1"/>
  <c r="N126" i="1" a="1"/>
  <c r="N126" i="1" s="1"/>
  <c r="M126" i="1"/>
  <c r="L126" i="1"/>
  <c r="K126" i="1"/>
  <c r="G126" i="1"/>
  <c r="E126" i="1"/>
  <c r="F126" i="1" s="1"/>
  <c r="N121" i="1" a="1"/>
  <c r="N121" i="1" s="1"/>
  <c r="M121" i="1"/>
  <c r="L121" i="1"/>
  <c r="J121" i="1"/>
  <c r="G121" i="1"/>
  <c r="E121" i="1"/>
  <c r="F121" i="1" s="1"/>
  <c r="K121" i="1" s="1"/>
  <c r="N116" i="1" a="1"/>
  <c r="N116" i="1" s="1"/>
  <c r="L116" i="1"/>
  <c r="K116" i="1"/>
  <c r="G116" i="1"/>
  <c r="E116" i="1"/>
  <c r="F116" i="1" s="1"/>
  <c r="M116" i="1" s="1"/>
  <c r="N111" i="1" a="1"/>
  <c r="N111" i="1" s="1"/>
  <c r="L111" i="1"/>
  <c r="G111" i="1"/>
  <c r="E111" i="1"/>
  <c r="F111" i="1" s="1"/>
  <c r="M111" i="1" s="1"/>
  <c r="N106" i="1" a="1"/>
  <c r="N106" i="1" s="1"/>
  <c r="L106" i="1"/>
  <c r="G106" i="1"/>
  <c r="E106" i="1"/>
  <c r="F106" i="1" s="1"/>
  <c r="M106" i="1" s="1"/>
  <c r="N100" i="1" a="1"/>
  <c r="N100" i="1" s="1"/>
  <c r="L100" i="1"/>
  <c r="G100" i="1"/>
  <c r="E100" i="1"/>
  <c r="F100" i="1" s="1"/>
  <c r="M100" i="1" s="1"/>
  <c r="N95" i="1" a="1"/>
  <c r="N95" i="1" s="1"/>
  <c r="L95" i="1"/>
  <c r="G95" i="1"/>
  <c r="E95" i="1"/>
  <c r="F95" i="1" s="1"/>
  <c r="K95" i="1" s="1"/>
  <c r="N90" i="1" a="1"/>
  <c r="N90" i="1" s="1"/>
  <c r="L90" i="1"/>
  <c r="G90" i="1"/>
  <c r="E90" i="1"/>
  <c r="F90" i="1" s="1"/>
  <c r="K90" i="1" s="1"/>
  <c r="N85" i="1" a="1"/>
  <c r="N85" i="1" s="1"/>
  <c r="L85" i="1"/>
  <c r="K85" i="1"/>
  <c r="J85" i="1"/>
  <c r="G85" i="1"/>
  <c r="E85" i="1"/>
  <c r="F85" i="1" s="1"/>
  <c r="M85" i="1" s="1"/>
  <c r="N80" i="1" a="1"/>
  <c r="N80" i="1" s="1"/>
  <c r="L80" i="1"/>
  <c r="G80" i="1"/>
  <c r="E80" i="1"/>
  <c r="F80" i="1" s="1"/>
  <c r="M80" i="1" s="1"/>
  <c r="N75" i="1" a="1"/>
  <c r="N75" i="1" s="1"/>
  <c r="M75" i="1"/>
  <c r="L75" i="1"/>
  <c r="G75" i="1"/>
  <c r="E75" i="1"/>
  <c r="F75" i="1" s="1"/>
  <c r="K75" i="1" s="1"/>
  <c r="N70" i="1" a="1"/>
  <c r="N70" i="1" s="1"/>
  <c r="L70" i="1"/>
  <c r="K70" i="1"/>
  <c r="J70" i="1"/>
  <c r="G70" i="1"/>
  <c r="E70" i="1"/>
  <c r="F70" i="1" s="1"/>
  <c r="M70" i="1" s="1"/>
  <c r="N65" i="1" a="1"/>
  <c r="N65" i="1" s="1"/>
  <c r="L65" i="1"/>
  <c r="K65" i="1"/>
  <c r="J65" i="1"/>
  <c r="G65" i="1"/>
  <c r="E65" i="1"/>
  <c r="F65" i="1" s="1"/>
  <c r="M65" i="1" s="1"/>
  <c r="N60" i="1" a="1"/>
  <c r="N60" i="1" s="1"/>
  <c r="L60" i="1"/>
  <c r="G60" i="1"/>
  <c r="E60" i="1"/>
  <c r="F60" i="1" s="1"/>
  <c r="M60" i="1" s="1"/>
  <c r="N55" i="1" a="1"/>
  <c r="N55" i="1" s="1"/>
  <c r="M55" i="1"/>
  <c r="L55" i="1"/>
  <c r="G55" i="1"/>
  <c r="E55" i="1"/>
  <c r="F55" i="1" s="1"/>
  <c r="K55" i="1" s="1"/>
  <c r="N50" i="1" a="1"/>
  <c r="N50" i="1" s="1"/>
  <c r="L50" i="1"/>
  <c r="G50" i="1"/>
  <c r="E50" i="1"/>
  <c r="F50" i="1" s="1"/>
  <c r="K50" i="1" s="1"/>
  <c r="N45" i="1" a="1"/>
  <c r="N45" i="1" s="1"/>
  <c r="L45" i="1"/>
  <c r="G45" i="1"/>
  <c r="E45" i="1"/>
  <c r="F45" i="1" s="1"/>
  <c r="K45" i="1" s="1"/>
  <c r="N40" i="1" a="1"/>
  <c r="N40" i="1" s="1"/>
  <c r="M40" i="1"/>
  <c r="L40" i="1"/>
  <c r="K40" i="1"/>
  <c r="J40" i="1"/>
  <c r="G40" i="1"/>
  <c r="E40" i="1"/>
  <c r="F40" i="1" s="1"/>
  <c r="N35" i="1" a="1"/>
  <c r="N35" i="1" s="1"/>
  <c r="M35" i="1"/>
  <c r="L35" i="1"/>
  <c r="K35" i="1"/>
  <c r="J35" i="1"/>
  <c r="G35" i="1"/>
  <c r="E35" i="1"/>
  <c r="F35" i="1" s="1"/>
  <c r="N30" i="1" a="1"/>
  <c r="N30" i="1" s="1"/>
  <c r="L30" i="1"/>
  <c r="J30" i="1"/>
  <c r="G30" i="1"/>
  <c r="E30" i="1"/>
  <c r="F30" i="1" s="1"/>
  <c r="K30" i="1" s="1"/>
  <c r="N25" i="1" a="1"/>
  <c r="N25" i="1" s="1"/>
  <c r="L25" i="1"/>
  <c r="G25" i="1"/>
  <c r="E25" i="1"/>
  <c r="F25" i="1" s="1"/>
  <c r="M25" i="1" s="1"/>
  <c r="N20" i="1" a="1"/>
  <c r="N20" i="1" s="1"/>
  <c r="L20" i="1"/>
  <c r="G20" i="1"/>
  <c r="E20" i="1"/>
  <c r="F20" i="1" s="1"/>
  <c r="M20" i="1" s="1"/>
  <c r="N15" i="1" a="1"/>
  <c r="N15" i="1" s="1"/>
  <c r="L15" i="1"/>
  <c r="G15" i="1"/>
  <c r="E15" i="1"/>
  <c r="F15" i="1" s="1"/>
  <c r="K15" i="1" s="1"/>
  <c r="N10" i="1" a="1"/>
  <c r="N10" i="1" s="1"/>
  <c r="L10" i="1"/>
  <c r="G10" i="1"/>
  <c r="E10" i="1"/>
  <c r="F10" i="1" s="1"/>
  <c r="K10" i="1" s="1"/>
  <c r="L9" i="1"/>
  <c r="K9" i="1"/>
  <c r="J9" i="1"/>
  <c r="G9" i="1"/>
  <c r="E9" i="1"/>
  <c r="F9" i="1" s="1"/>
  <c r="M9" i="1" s="1"/>
  <c r="L8" i="1"/>
  <c r="G8" i="1"/>
  <c r="E8" i="1"/>
  <c r="F8" i="1" s="1"/>
  <c r="M8" i="1" s="1"/>
  <c r="L14" i="1"/>
  <c r="G14" i="1"/>
  <c r="E14" i="1"/>
  <c r="F14" i="1" s="1"/>
  <c r="M14" i="1" s="1"/>
  <c r="L19" i="1"/>
  <c r="G19" i="1"/>
  <c r="E19" i="1"/>
  <c r="F19" i="1" s="1"/>
  <c r="K19" i="1" s="1"/>
  <c r="L24" i="1"/>
  <c r="K24" i="1"/>
  <c r="J24" i="1"/>
  <c r="G24" i="1"/>
  <c r="E24" i="1"/>
  <c r="F24" i="1" s="1"/>
  <c r="M24" i="1" s="1"/>
  <c r="L29" i="1"/>
  <c r="G29" i="1"/>
  <c r="E29" i="1"/>
  <c r="F29" i="1" s="1"/>
  <c r="K29" i="1" s="1"/>
  <c r="L34" i="1"/>
  <c r="G34" i="1"/>
  <c r="E34" i="1"/>
  <c r="F34" i="1" s="1"/>
  <c r="M34" i="1" s="1"/>
  <c r="L39" i="1"/>
  <c r="G39" i="1"/>
  <c r="E39" i="1"/>
  <c r="F39" i="1" s="1"/>
  <c r="K39" i="1" s="1"/>
  <c r="L38" i="1"/>
  <c r="K38" i="1"/>
  <c r="J38" i="1"/>
  <c r="G38" i="1"/>
  <c r="E38" i="1"/>
  <c r="F38" i="1" s="1"/>
  <c r="M38" i="1" s="1"/>
  <c r="L44" i="1"/>
  <c r="G44" i="1"/>
  <c r="E44" i="1"/>
  <c r="F44" i="1" s="1"/>
  <c r="K44" i="1" s="1"/>
  <c r="L43" i="1"/>
  <c r="G43" i="1"/>
  <c r="E43" i="1"/>
  <c r="F43" i="1" s="1"/>
  <c r="M43" i="1" s="1"/>
  <c r="L49" i="1"/>
  <c r="G49" i="1"/>
  <c r="E49" i="1"/>
  <c r="F49" i="1" s="1"/>
  <c r="K49" i="1" s="1"/>
  <c r="L54" i="1"/>
  <c r="K54" i="1"/>
  <c r="J54" i="1"/>
  <c r="G54" i="1"/>
  <c r="E54" i="1"/>
  <c r="F54" i="1" s="1"/>
  <c r="M54" i="1" s="1"/>
  <c r="L59" i="1"/>
  <c r="G59" i="1"/>
  <c r="E59" i="1"/>
  <c r="F59" i="1" s="1"/>
  <c r="K59" i="1" s="1"/>
  <c r="L64" i="1"/>
  <c r="G64" i="1"/>
  <c r="E64" i="1"/>
  <c r="F64" i="1" s="1"/>
  <c r="M64" i="1" s="1"/>
  <c r="L69" i="1"/>
  <c r="G69" i="1"/>
  <c r="E69" i="1"/>
  <c r="F69" i="1" s="1"/>
  <c r="K69" i="1" s="1"/>
  <c r="L74" i="1"/>
  <c r="K74" i="1"/>
  <c r="J74" i="1"/>
  <c r="G74" i="1"/>
  <c r="E74" i="1"/>
  <c r="F74" i="1" s="1"/>
  <c r="M74" i="1" s="1"/>
  <c r="L73" i="1"/>
  <c r="G73" i="1"/>
  <c r="E73" i="1"/>
  <c r="F73" i="1" s="1"/>
  <c r="M73" i="1" s="1"/>
  <c r="L79" i="1"/>
  <c r="G79" i="1"/>
  <c r="E79" i="1"/>
  <c r="F79" i="1" s="1"/>
  <c r="M79" i="1" s="1"/>
  <c r="L84" i="1"/>
  <c r="G84" i="1"/>
  <c r="E84" i="1"/>
  <c r="F84" i="1" s="1"/>
  <c r="K84" i="1" s="1"/>
  <c r="L94" i="1"/>
  <c r="K94" i="1"/>
  <c r="J94" i="1"/>
  <c r="G94" i="1"/>
  <c r="E94" i="1"/>
  <c r="F94" i="1" s="1"/>
  <c r="M94" i="1" s="1"/>
  <c r="L93" i="1"/>
  <c r="G93" i="1"/>
  <c r="E93" i="1"/>
  <c r="F93" i="1" s="1"/>
  <c r="K93" i="1" s="1"/>
  <c r="L92" i="1"/>
  <c r="G92" i="1"/>
  <c r="E92" i="1"/>
  <c r="F92" i="1" s="1"/>
  <c r="M92" i="1" s="1"/>
  <c r="L99" i="1"/>
  <c r="G99" i="1"/>
  <c r="E99" i="1"/>
  <c r="F99" i="1" s="1"/>
  <c r="K99" i="1" s="1"/>
  <c r="L98" i="1"/>
  <c r="K98" i="1"/>
  <c r="J98" i="1"/>
  <c r="G98" i="1"/>
  <c r="E98" i="1"/>
  <c r="F98" i="1" s="1"/>
  <c r="M98" i="1" s="1"/>
  <c r="L105" i="1"/>
  <c r="G105" i="1"/>
  <c r="E105" i="1"/>
  <c r="F105" i="1" s="1"/>
  <c r="K105" i="1" s="1"/>
  <c r="L110" i="1"/>
  <c r="G110" i="1"/>
  <c r="E110" i="1"/>
  <c r="F110" i="1" s="1"/>
  <c r="M110" i="1" s="1"/>
  <c r="L115" i="1"/>
  <c r="G115" i="1"/>
  <c r="E115" i="1"/>
  <c r="F115" i="1" s="1"/>
  <c r="K115" i="1" s="1"/>
  <c r="L120" i="1"/>
  <c r="K120" i="1"/>
  <c r="J120" i="1"/>
  <c r="G120" i="1"/>
  <c r="E120" i="1"/>
  <c r="F120" i="1" s="1"/>
  <c r="M120" i="1" s="1"/>
  <c r="L119" i="1"/>
  <c r="G119" i="1"/>
  <c r="E119" i="1"/>
  <c r="F119" i="1" s="1"/>
  <c r="K119" i="1" s="1"/>
  <c r="L125" i="1"/>
  <c r="G125" i="1"/>
  <c r="E125" i="1"/>
  <c r="F125" i="1" s="1"/>
  <c r="M125" i="1" s="1"/>
  <c r="L124" i="1"/>
  <c r="G124" i="1"/>
  <c r="E124" i="1"/>
  <c r="F124" i="1" s="1"/>
  <c r="K124" i="1" s="1"/>
  <c r="L130" i="1"/>
  <c r="K130" i="1"/>
  <c r="J130" i="1"/>
  <c r="G130" i="1"/>
  <c r="E130" i="1"/>
  <c r="F130" i="1" s="1"/>
  <c r="M130" i="1" s="1"/>
  <c r="L142" i="1"/>
  <c r="G142" i="1"/>
  <c r="E142" i="1"/>
  <c r="F142" i="1" s="1"/>
  <c r="K142" i="1" s="1"/>
  <c r="G11" i="1"/>
  <c r="E11" i="1"/>
  <c r="F11" i="1" s="1"/>
  <c r="M11" i="1" s="1"/>
  <c r="G141" i="1"/>
  <c r="E141" i="1"/>
  <c r="F141" i="1" s="1"/>
  <c r="G140" i="1"/>
  <c r="E140" i="1"/>
  <c r="F140" i="1" s="1"/>
  <c r="G139" i="1"/>
  <c r="E139" i="1"/>
  <c r="F139" i="1" s="1"/>
  <c r="G132" i="1"/>
  <c r="E132" i="1"/>
  <c r="F132" i="1" s="1"/>
  <c r="G136" i="1"/>
  <c r="E136" i="1"/>
  <c r="F136" i="1" s="1"/>
  <c r="G135" i="1"/>
  <c r="E135" i="1"/>
  <c r="F135" i="1" s="1"/>
  <c r="G113" i="1"/>
  <c r="E113" i="1"/>
  <c r="F113" i="1" s="1"/>
  <c r="G112" i="1"/>
  <c r="E112" i="1"/>
  <c r="F112" i="1" s="1"/>
  <c r="G78" i="1"/>
  <c r="E78" i="1"/>
  <c r="F78" i="1" s="1"/>
  <c r="G77" i="1"/>
  <c r="E77" i="1"/>
  <c r="F77" i="1" s="1"/>
  <c r="G76" i="1"/>
  <c r="E76" i="1"/>
  <c r="F76" i="1" s="1"/>
  <c r="G27" i="1"/>
  <c r="E27" i="1"/>
  <c r="F27" i="1" s="1"/>
  <c r="G7" i="1"/>
  <c r="E7" i="1"/>
  <c r="F7" i="1" s="1"/>
  <c r="G6" i="1"/>
  <c r="E6" i="1"/>
  <c r="F6" i="1" s="1"/>
  <c r="L138" i="1"/>
  <c r="G138" i="1"/>
  <c r="E138" i="1"/>
  <c r="F138" i="1" s="1"/>
  <c r="L137" i="1"/>
  <c r="G137" i="1"/>
  <c r="E137" i="1"/>
  <c r="F137" i="1" s="1"/>
  <c r="M137" i="1" s="1"/>
  <c r="L134" i="1"/>
  <c r="G134" i="1"/>
  <c r="E134" i="1"/>
  <c r="F134" i="1" s="1"/>
  <c r="L133" i="1"/>
  <c r="G133" i="1"/>
  <c r="E133" i="1"/>
  <c r="J133" i="1" s="1"/>
  <c r="L129" i="1"/>
  <c r="G129" i="1"/>
  <c r="E129" i="1"/>
  <c r="J129" i="1" s="1"/>
  <c r="L128" i="1"/>
  <c r="G128" i="1"/>
  <c r="E128" i="1"/>
  <c r="F128" i="1" s="1"/>
  <c r="M128" i="1" s="1"/>
  <c r="L127" i="1"/>
  <c r="G127" i="1"/>
  <c r="E127" i="1"/>
  <c r="F127" i="1" s="1"/>
  <c r="L123" i="1"/>
  <c r="G123" i="1"/>
  <c r="E123" i="1"/>
  <c r="J123" i="1" s="1"/>
  <c r="L122" i="1"/>
  <c r="G122" i="1"/>
  <c r="E122" i="1"/>
  <c r="F122" i="1" s="1"/>
  <c r="M122" i="1" s="1"/>
  <c r="L118" i="1"/>
  <c r="G118" i="1"/>
  <c r="E118" i="1"/>
  <c r="F118" i="1" s="1"/>
  <c r="M118" i="1" s="1"/>
  <c r="L117" i="1"/>
  <c r="G117" i="1"/>
  <c r="E117" i="1"/>
  <c r="J117" i="1" s="1"/>
  <c r="L114" i="1"/>
  <c r="G114" i="1"/>
  <c r="E114" i="1"/>
  <c r="J114" i="1" s="1"/>
  <c r="L109" i="1"/>
  <c r="G109" i="1"/>
  <c r="E109" i="1"/>
  <c r="J109" i="1" s="1"/>
  <c r="L108" i="1"/>
  <c r="G108" i="1"/>
  <c r="E108" i="1"/>
  <c r="F108" i="1" s="1"/>
  <c r="M108" i="1" s="1"/>
  <c r="L107" i="1"/>
  <c r="G107" i="1"/>
  <c r="E107" i="1"/>
  <c r="F107" i="1" s="1"/>
  <c r="L104" i="1"/>
  <c r="G104" i="1"/>
  <c r="E104" i="1"/>
  <c r="F104" i="1" s="1"/>
  <c r="L103" i="1"/>
  <c r="G103" i="1"/>
  <c r="E103" i="1"/>
  <c r="F103" i="1" s="1"/>
  <c r="L102" i="1"/>
  <c r="G102" i="1"/>
  <c r="E102" i="1"/>
  <c r="F102" i="1" s="1"/>
  <c r="M102" i="1" s="1"/>
  <c r="L101" i="1"/>
  <c r="G101" i="1"/>
  <c r="E101" i="1"/>
  <c r="J101" i="1" s="1"/>
  <c r="L97" i="1"/>
  <c r="G97" i="1"/>
  <c r="E97" i="1"/>
  <c r="J97" i="1" s="1"/>
  <c r="L96" i="1"/>
  <c r="G96" i="1"/>
  <c r="E96" i="1"/>
  <c r="J96" i="1" s="1"/>
  <c r="L91" i="1"/>
  <c r="G91" i="1"/>
  <c r="E91" i="1"/>
  <c r="F91" i="1" s="1"/>
  <c r="M91" i="1" s="1"/>
  <c r="L89" i="1"/>
  <c r="G89" i="1"/>
  <c r="E89" i="1"/>
  <c r="F89" i="1" s="1"/>
  <c r="L88" i="1"/>
  <c r="G88" i="1"/>
  <c r="E88" i="1"/>
  <c r="J88" i="1" s="1"/>
  <c r="L87" i="1"/>
  <c r="G87" i="1"/>
  <c r="E87" i="1"/>
  <c r="F87" i="1" s="1"/>
  <c r="K87" i="1" s="1"/>
  <c r="L86" i="1"/>
  <c r="G86" i="1"/>
  <c r="E86" i="1"/>
  <c r="F86" i="1" s="1"/>
  <c r="L83" i="1"/>
  <c r="G83" i="1"/>
  <c r="E83" i="1"/>
  <c r="J83" i="1" s="1"/>
  <c r="L82" i="1"/>
  <c r="G82" i="1"/>
  <c r="E82" i="1"/>
  <c r="J82" i="1" s="1"/>
  <c r="L81" i="1"/>
  <c r="G81" i="1"/>
  <c r="E81" i="1"/>
  <c r="J81" i="1" s="1"/>
  <c r="L72" i="1"/>
  <c r="G72" i="1"/>
  <c r="E72" i="1"/>
  <c r="F72" i="1" s="1"/>
  <c r="M72" i="1" s="1"/>
  <c r="L71" i="1"/>
  <c r="G71" i="1"/>
  <c r="E71" i="1"/>
  <c r="J71" i="1" s="1"/>
  <c r="L68" i="1"/>
  <c r="G68" i="1"/>
  <c r="E68" i="1"/>
  <c r="F68" i="1" s="1"/>
  <c r="M68" i="1" s="1"/>
  <c r="L67" i="1"/>
  <c r="G67" i="1"/>
  <c r="E67" i="1"/>
  <c r="F67" i="1" s="1"/>
  <c r="K67" i="1" s="1"/>
  <c r="L66" i="1"/>
  <c r="G66" i="1"/>
  <c r="E66" i="1"/>
  <c r="F66" i="1" s="1"/>
  <c r="M66" i="1" s="1"/>
  <c r="L63" i="1"/>
  <c r="G63" i="1"/>
  <c r="E63" i="1"/>
  <c r="F63" i="1" s="1"/>
  <c r="L62" i="1"/>
  <c r="G62" i="1"/>
  <c r="E62" i="1"/>
  <c r="J62" i="1" s="1"/>
  <c r="L61" i="1"/>
  <c r="G61" i="1"/>
  <c r="E61" i="1"/>
  <c r="J61" i="1" s="1"/>
  <c r="L58" i="1"/>
  <c r="G58" i="1"/>
  <c r="E58" i="1"/>
  <c r="F58" i="1" s="1"/>
  <c r="L57" i="1"/>
  <c r="G57" i="1"/>
  <c r="E57" i="1"/>
  <c r="J57" i="1" s="1"/>
  <c r="L56" i="1"/>
  <c r="G56" i="1"/>
  <c r="E56" i="1"/>
  <c r="J56" i="1" s="1"/>
  <c r="L53" i="1"/>
  <c r="G53" i="1"/>
  <c r="E53" i="1"/>
  <c r="F53" i="1" s="1"/>
  <c r="K53" i="1" s="1"/>
  <c r="L52" i="1"/>
  <c r="G52" i="1"/>
  <c r="E52" i="1"/>
  <c r="F52" i="1" s="1"/>
  <c r="M52" i="1" s="1"/>
  <c r="L51" i="1"/>
  <c r="G51" i="1"/>
  <c r="E51" i="1"/>
  <c r="F51" i="1" s="1"/>
  <c r="L48" i="1"/>
  <c r="G48" i="1"/>
  <c r="E48" i="1"/>
  <c r="J48" i="1" s="1"/>
  <c r="L47" i="1"/>
  <c r="G47" i="1"/>
  <c r="E47" i="1"/>
  <c r="J47" i="1" s="1"/>
  <c r="L46" i="1"/>
  <c r="G46" i="1"/>
  <c r="E46" i="1"/>
  <c r="F46" i="1" s="1"/>
  <c r="M46" i="1" s="1"/>
  <c r="L42" i="1"/>
  <c r="G42" i="1"/>
  <c r="E42" i="1"/>
  <c r="F42" i="1" s="1"/>
  <c r="L41" i="1"/>
  <c r="G41" i="1"/>
  <c r="E41" i="1"/>
  <c r="F41" i="1" s="1"/>
  <c r="L37" i="1"/>
  <c r="G37" i="1"/>
  <c r="E37" i="1"/>
  <c r="F37" i="1" s="1"/>
  <c r="K37" i="1" s="1"/>
  <c r="L36" i="1"/>
  <c r="G36" i="1"/>
  <c r="E36" i="1"/>
  <c r="F36" i="1" s="1"/>
  <c r="M36" i="1" s="1"/>
  <c r="L33" i="1"/>
  <c r="G33" i="1"/>
  <c r="E33" i="1"/>
  <c r="J33" i="1" s="1"/>
  <c r="L32" i="1"/>
  <c r="G32" i="1"/>
  <c r="E32" i="1"/>
  <c r="J32" i="1" s="1"/>
  <c r="L31" i="1"/>
  <c r="G31" i="1"/>
  <c r="E31" i="1"/>
  <c r="L28" i="1"/>
  <c r="G28" i="1"/>
  <c r="E28" i="1"/>
  <c r="F28" i="1" s="1"/>
  <c r="L26" i="1"/>
  <c r="G26" i="1"/>
  <c r="E26" i="1"/>
  <c r="F26" i="1" s="1"/>
  <c r="L23" i="1"/>
  <c r="G23" i="1"/>
  <c r="E23" i="1"/>
  <c r="J23" i="1" s="1"/>
  <c r="L22" i="1"/>
  <c r="G22" i="1"/>
  <c r="E22" i="1"/>
  <c r="F22" i="1" s="1"/>
  <c r="K22" i="1" s="1"/>
  <c r="L21" i="1"/>
  <c r="G21" i="1"/>
  <c r="E21" i="1"/>
  <c r="F21" i="1" s="1"/>
  <c r="L18" i="1"/>
  <c r="G18" i="1"/>
  <c r="E18" i="1"/>
  <c r="F18" i="1" s="1"/>
  <c r="K18" i="1" s="1"/>
  <c r="L17" i="1"/>
  <c r="G17" i="1"/>
  <c r="E17" i="1"/>
  <c r="J17" i="1" s="1"/>
  <c r="L16" i="1"/>
  <c r="G16" i="1"/>
  <c r="E16" i="1"/>
  <c r="L13" i="1"/>
  <c r="G13" i="1"/>
  <c r="E13" i="1"/>
  <c r="J13" i="1" s="1"/>
  <c r="L12" i="1"/>
  <c r="G12" i="1"/>
  <c r="E12" i="1"/>
  <c r="F12" i="1" s="1"/>
  <c r="L11" i="1"/>
  <c r="M45" i="1" l="1"/>
  <c r="J111" i="1"/>
  <c r="M15" i="1"/>
  <c r="J25" i="1"/>
  <c r="K80" i="1"/>
  <c r="K111" i="1"/>
  <c r="J80" i="1"/>
  <c r="J142" i="1"/>
  <c r="J119" i="1"/>
  <c r="J105" i="1"/>
  <c r="J93" i="1"/>
  <c r="J73" i="1"/>
  <c r="J59" i="1"/>
  <c r="J44" i="1"/>
  <c r="J29" i="1"/>
  <c r="J8" i="1"/>
  <c r="K25" i="1"/>
  <c r="J45" i="1"/>
  <c r="J106" i="1"/>
  <c r="K106" i="1"/>
  <c r="J126" i="1"/>
  <c r="M95" i="1"/>
  <c r="M143" i="1"/>
  <c r="M124" i="1"/>
  <c r="M115" i="1"/>
  <c r="M99" i="1"/>
  <c r="M84" i="1"/>
  <c r="M69" i="1"/>
  <c r="M49" i="1"/>
  <c r="M39" i="1"/>
  <c r="M19" i="1"/>
  <c r="M10" i="1"/>
  <c r="M50" i="1"/>
  <c r="J75" i="1"/>
  <c r="M90" i="1"/>
  <c r="J116" i="1"/>
  <c r="M131" i="1"/>
  <c r="K73" i="1"/>
  <c r="K8" i="1"/>
  <c r="J110" i="1"/>
  <c r="J92" i="1"/>
  <c r="J79" i="1"/>
  <c r="J64" i="1"/>
  <c r="J43" i="1"/>
  <c r="J34" i="1"/>
  <c r="M142" i="1"/>
  <c r="K125" i="1"/>
  <c r="M119" i="1"/>
  <c r="K110" i="1"/>
  <c r="M105" i="1"/>
  <c r="K92" i="1"/>
  <c r="M93" i="1"/>
  <c r="K79" i="1"/>
  <c r="K64" i="1"/>
  <c r="M59" i="1"/>
  <c r="K43" i="1"/>
  <c r="M44" i="1"/>
  <c r="K34" i="1"/>
  <c r="M29" i="1"/>
  <c r="K14" i="1"/>
  <c r="J15" i="1"/>
  <c r="K20" i="1"/>
  <c r="M30" i="1"/>
  <c r="J55" i="1"/>
  <c r="K60" i="1"/>
  <c r="J95" i="1"/>
  <c r="K100" i="1"/>
  <c r="J143" i="1"/>
  <c r="J100" i="1"/>
  <c r="J124" i="1"/>
  <c r="J115" i="1"/>
  <c r="J99" i="1"/>
  <c r="J84" i="1"/>
  <c r="J69" i="1"/>
  <c r="J49" i="1"/>
  <c r="J39" i="1"/>
  <c r="J19" i="1"/>
  <c r="J10" i="1"/>
  <c r="J50" i="1"/>
  <c r="J90" i="1"/>
  <c r="J131" i="1"/>
  <c r="J125" i="1"/>
  <c r="J14" i="1"/>
  <c r="J20" i="1"/>
  <c r="J60" i="1"/>
  <c r="M37" i="1"/>
  <c r="F133" i="1"/>
  <c r="M133" i="1" s="1"/>
  <c r="F17" i="1"/>
  <c r="M17" i="1" s="1"/>
  <c r="F23" i="1"/>
  <c r="M23" i="1" s="1"/>
  <c r="J37" i="1"/>
  <c r="J122" i="1"/>
  <c r="J72" i="1"/>
  <c r="J107" i="1"/>
  <c r="J51" i="1"/>
  <c r="F57" i="1"/>
  <c r="M57" i="1" s="1"/>
  <c r="J18" i="1"/>
  <c r="J127" i="1"/>
  <c r="F48" i="1"/>
  <c r="M48" i="1" s="1"/>
  <c r="F123" i="1"/>
  <c r="M123" i="1" s="1"/>
  <c r="J87" i="1"/>
  <c r="F32" i="1"/>
  <c r="M32" i="1" s="1"/>
  <c r="J137" i="1"/>
  <c r="J11" i="1"/>
  <c r="M113" i="1"/>
  <c r="L113" i="1"/>
  <c r="K113" i="1"/>
  <c r="M104" i="1"/>
  <c r="K104" i="1"/>
  <c r="M103" i="1"/>
  <c r="K103" i="1"/>
  <c r="J78" i="1"/>
  <c r="L141" i="1"/>
  <c r="J104" i="1"/>
  <c r="J41" i="1"/>
  <c r="J68" i="1"/>
  <c r="J102" i="1"/>
  <c r="J103" i="1"/>
  <c r="J118" i="1"/>
  <c r="K122" i="1"/>
  <c r="J36" i="1"/>
  <c r="F56" i="1"/>
  <c r="M56" i="1" s="1"/>
  <c r="J67" i="1"/>
  <c r="F88" i="1"/>
  <c r="J89" i="1"/>
  <c r="J138" i="1"/>
  <c r="F83" i="1"/>
  <c r="M83" i="1" s="1"/>
  <c r="M41" i="1"/>
  <c r="K41" i="1"/>
  <c r="M139" i="1"/>
  <c r="L139" i="1"/>
  <c r="K139" i="1"/>
  <c r="J139" i="1"/>
  <c r="J112" i="1"/>
  <c r="K135" i="1"/>
  <c r="J135" i="1"/>
  <c r="L76" i="1"/>
  <c r="K76" i="1"/>
  <c r="J76" i="1"/>
  <c r="M76" i="1"/>
  <c r="M21" i="1"/>
  <c r="J113" i="1"/>
  <c r="K141" i="1"/>
  <c r="F101" i="1"/>
  <c r="M101" i="1" s="1"/>
  <c r="F117" i="1"/>
  <c r="F62" i="1"/>
  <c r="F33" i="1"/>
  <c r="K33" i="1" s="1"/>
  <c r="J53" i="1"/>
  <c r="F71" i="1"/>
  <c r="M71" i="1" s="1"/>
  <c r="F82" i="1"/>
  <c r="M82" i="1" s="1"/>
  <c r="J21" i="1"/>
  <c r="J22" i="1"/>
  <c r="M87" i="1"/>
  <c r="F97" i="1"/>
  <c r="K97" i="1" s="1"/>
  <c r="J108" i="1"/>
  <c r="J26" i="1"/>
  <c r="K21" i="1"/>
  <c r="F114" i="1"/>
  <c r="K114" i="1" s="1"/>
  <c r="J128" i="1"/>
  <c r="M22" i="1"/>
  <c r="K112" i="1"/>
  <c r="J141" i="1"/>
  <c r="K78" i="1"/>
  <c r="L112" i="1"/>
  <c r="M141" i="1"/>
  <c r="L78" i="1"/>
  <c r="M112" i="1"/>
  <c r="L135" i="1"/>
  <c r="M78" i="1"/>
  <c r="M135" i="1"/>
  <c r="M127" i="1"/>
  <c r="K127" i="1"/>
  <c r="M51" i="1"/>
  <c r="K51" i="1"/>
  <c r="M63" i="1"/>
  <c r="K63" i="1"/>
  <c r="M26" i="1"/>
  <c r="K26" i="1"/>
  <c r="M12" i="1"/>
  <c r="K12" i="1"/>
  <c r="M42" i="1"/>
  <c r="K42" i="1"/>
  <c r="K28" i="1"/>
  <c r="M28" i="1"/>
  <c r="M89" i="1"/>
  <c r="K89" i="1"/>
  <c r="M107" i="1"/>
  <c r="K107" i="1"/>
  <c r="J12" i="1"/>
  <c r="M67" i="1"/>
  <c r="K11" i="1"/>
  <c r="J28" i="1"/>
  <c r="K36" i="1"/>
  <c r="J42" i="1"/>
  <c r="J52" i="1"/>
  <c r="J63" i="1"/>
  <c r="K72" i="1"/>
  <c r="J91" i="1"/>
  <c r="K102" i="1"/>
  <c r="K118" i="1"/>
  <c r="M53" i="1"/>
  <c r="M134" i="1"/>
  <c r="J16" i="1"/>
  <c r="F16" i="1"/>
  <c r="K86" i="1"/>
  <c r="J134" i="1"/>
  <c r="M18" i="1"/>
  <c r="K17" i="1"/>
  <c r="K46" i="1"/>
  <c r="J86" i="1"/>
  <c r="K134" i="1"/>
  <c r="K58" i="1"/>
  <c r="M138" i="1"/>
  <c r="K138" i="1"/>
  <c r="F13" i="1"/>
  <c r="J31" i="1"/>
  <c r="F31" i="1"/>
  <c r="J46" i="1"/>
  <c r="K52" i="1"/>
  <c r="M58" i="1"/>
  <c r="J66" i="1"/>
  <c r="K68" i="1"/>
  <c r="M86" i="1"/>
  <c r="K91" i="1"/>
  <c r="K108" i="1"/>
  <c r="K128" i="1"/>
  <c r="J58" i="1"/>
  <c r="K66" i="1"/>
  <c r="K57" i="1"/>
  <c r="K137" i="1"/>
  <c r="F47" i="1"/>
  <c r="F61" i="1"/>
  <c r="F81" i="1"/>
  <c r="F96" i="1"/>
  <c r="F109" i="1"/>
  <c r="F129" i="1"/>
  <c r="K133" i="1" l="1"/>
  <c r="K32" i="1"/>
  <c r="K23" i="1"/>
  <c r="J6" i="1"/>
  <c r="K71" i="1"/>
  <c r="K117" i="1"/>
  <c r="K83" i="1"/>
  <c r="K48" i="1"/>
  <c r="K123" i="1"/>
  <c r="L77" i="1"/>
  <c r="M117" i="1"/>
  <c r="L140" i="1"/>
  <c r="K101" i="1"/>
  <c r="M140" i="1"/>
  <c r="K56" i="1"/>
  <c r="M88" i="1"/>
  <c r="K88" i="1"/>
  <c r="M33" i="1"/>
  <c r="M132" i="1"/>
  <c r="L132" i="1"/>
  <c r="K132" i="1"/>
  <c r="J132" i="1"/>
  <c r="M62" i="1"/>
  <c r="K62" i="1"/>
  <c r="M77" i="1"/>
  <c r="J77" i="1"/>
  <c r="M6" i="1"/>
  <c r="L6" i="1"/>
  <c r="K6" i="1"/>
  <c r="K82" i="1"/>
  <c r="K77" i="1"/>
  <c r="M114" i="1"/>
  <c r="M97" i="1"/>
  <c r="L136" i="1"/>
  <c r="K136" i="1"/>
  <c r="J136" i="1"/>
  <c r="M136" i="1"/>
  <c r="K7" i="1"/>
  <c r="J7" i="1"/>
  <c r="M7" i="1"/>
  <c r="L7" i="1"/>
  <c r="L27" i="1"/>
  <c r="K27" i="1"/>
  <c r="J27" i="1"/>
  <c r="M27" i="1"/>
  <c r="K140" i="1"/>
  <c r="J140" i="1"/>
  <c r="K81" i="1"/>
  <c r="M81" i="1"/>
  <c r="K61" i="1"/>
  <c r="M61" i="1"/>
  <c r="K47" i="1"/>
  <c r="M47" i="1"/>
  <c r="K31" i="1"/>
  <c r="M31" i="1"/>
  <c r="K16" i="1"/>
  <c r="M16" i="1"/>
  <c r="K129" i="1"/>
  <c r="M129" i="1"/>
  <c r="K13" i="1"/>
  <c r="M13" i="1"/>
  <c r="K109" i="1"/>
  <c r="M109" i="1"/>
  <c r="K96" i="1"/>
  <c r="M9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Javier Almeida</author>
  </authors>
  <commentList>
    <comment ref="C8" authorId="0" shapeId="0" xr:uid="{A1BC4AD6-178D-F04A-B4F8-E0A9A5C2390C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ALGAP 30 1L</t>
        </r>
      </text>
    </comment>
    <comment ref="C9" authorId="0" shapeId="0" xr:uid="{E42B2938-2E12-684A-A62D-89E840F284D9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ALGAP 30 200L</t>
        </r>
      </text>
    </comment>
    <comment ref="C14" authorId="0" shapeId="0" xr:uid="{7564FEB9-B520-0749-9166-38EC928FCE5E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AMIN 200L</t>
        </r>
      </text>
    </comment>
    <comment ref="C19" authorId="0" shapeId="0" xr:uid="{E895CE86-D0DA-AD46-AE3A-0EDA295CD280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AMIN SUGAR 1L</t>
        </r>
      </text>
    </comment>
    <comment ref="C24" authorId="0" shapeId="0" xr:uid="{B99F8F93-B7B6-174E-98E0-37081BD31BEC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BALANCE 200L</t>
        </r>
      </text>
    </comment>
    <comment ref="C29" authorId="0" shapeId="0" xr:uid="{21E3B2F4-7AE4-3C44-8EEF-9A083C85F729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BIOSOLARIS 200L</t>
        </r>
      </text>
    </comment>
    <comment ref="C34" authorId="0" shapeId="0" xr:uid="{07058413-139E-7D4F-99F5-F4524CA14AB9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BLOOM 200L</t>
        </r>
      </text>
    </comment>
    <comment ref="C38" authorId="0" shapeId="0" xr:uid="{9CBF148F-28CB-CE4F-9F4F-A0804F9E78FB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CYTO PRIME 1L</t>
        </r>
      </text>
    </comment>
    <comment ref="C39" authorId="0" shapeId="0" xr:uid="{9C5288DD-DB87-614E-9A11-E69753D900EA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CYTO PRIME 200L</t>
        </r>
      </text>
    </comment>
    <comment ref="C43" authorId="0" shapeId="0" xr:uid="{CC66DAD4-6120-9247-AEF3-FAFF92D55282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HUMIC ROOT 1L</t>
        </r>
      </text>
    </comment>
    <comment ref="C44" authorId="0" shapeId="0" xr:uid="{863E92C5-5D05-B943-90E8-B0AF2B2D7458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HUMIC ROOT 5L</t>
        </r>
      </text>
    </comment>
    <comment ref="C49" authorId="0" shapeId="0" xr:uid="{A9E6EBF0-E42C-204E-B447-6B61E3C0080B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MAX FULVIC 45% 1L</t>
        </r>
      </text>
    </comment>
    <comment ref="C54" authorId="0" shapeId="0" xr:uid="{3CD03B4B-E0A0-C548-8273-DEDA7924668F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MOVE 200L</t>
        </r>
      </text>
    </comment>
    <comment ref="C59" authorId="0" shapeId="0" xr:uid="{FB907483-9C61-714D-A783-3DCDA3EB33C8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PLUS BORO 200L</t>
        </r>
      </text>
    </comment>
    <comment ref="C64" authorId="0" shapeId="0" xr:uid="{1D5FF930-94CF-7748-8A8D-6228B679A9FD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PLUS CALCIO 200L</t>
        </r>
      </text>
    </comment>
    <comment ref="C69" authorId="0" shapeId="0" xr:uid="{1D86F6F0-1DB0-154D-8A27-527F5FC7CACE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PLUS CALCIO BORO 200L</t>
        </r>
      </text>
    </comment>
    <comment ref="C73" authorId="0" shapeId="0" xr:uid="{3888BD79-0905-564F-92CD-D63B5774A689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PLUS HIERRO 20L</t>
        </r>
      </text>
    </comment>
    <comment ref="C74" authorId="0" shapeId="0" xr:uid="{4F8533CA-C529-1941-9C35-314F8C15403D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PLUS HIERRO 200L</t>
        </r>
      </text>
    </comment>
    <comment ref="C79" authorId="0" shapeId="0" xr:uid="{A576F5CB-B790-C841-8276-9803A8F54704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PLUS MACRO FRUIT 200L</t>
        </r>
      </text>
    </comment>
    <comment ref="C84" authorId="0" shapeId="0" xr:uid="{7EF583A5-E334-D24A-9317-F2C1DA589D11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PLUS MAGNESIO 200L</t>
        </r>
      </text>
    </comment>
    <comment ref="C92" authorId="0" shapeId="0" xr:uid="{D1E57A54-52C0-0245-BFBF-7C81BAFEDBCF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PLUS NP-MIX 5L</t>
        </r>
      </text>
    </comment>
    <comment ref="C93" authorId="0" shapeId="0" xr:uid="{4EB9D540-C9D3-224C-9360-8459BCB0CF06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PLUS NP-MIX 20L</t>
        </r>
      </text>
    </comment>
    <comment ref="C94" authorId="0" shapeId="0" xr:uid="{3341C9A4-6D35-CF4A-BF39-70DC571823D4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PLUS NP-MIX 200L</t>
        </r>
      </text>
    </comment>
    <comment ref="C98" authorId="0" shapeId="0" xr:uid="{865E3B1E-46B2-2342-BD0F-D3957028DE0B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PLUS NUTRI MIX 20L</t>
        </r>
      </text>
    </comment>
    <comment ref="C99" authorId="0" shapeId="0" xr:uid="{8C56DB03-1F59-1147-BC89-049CB8E79648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PLUS NUTRI MIX 200L</t>
        </r>
      </text>
    </comment>
    <comment ref="C105" authorId="0" shapeId="0" xr:uid="{A83E85D9-1022-7145-8945-176FF06AC1D1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PLUS POTASIO 200L</t>
        </r>
      </text>
    </comment>
    <comment ref="C110" authorId="0" shapeId="0" xr:uid="{C50E2AF5-43CC-2149-BFAC-E1D0E3B76E05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PLUS ZINC 200L</t>
        </r>
      </text>
    </comment>
    <comment ref="C115" authorId="0" shapeId="0" xr:uid="{CB41E041-1BB6-0E4A-8621-60A5D52CF570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PLUS ZINC MANGANESO 200L</t>
        </r>
      </text>
    </comment>
    <comment ref="C119" authorId="0" shapeId="0" xr:uid="{136E7550-F96F-CF40-B079-7D036EC82C6D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ROOT MAX 5L</t>
        </r>
      </text>
    </comment>
    <comment ref="C120" authorId="0" shapeId="0" xr:uid="{AE1CB6B8-605D-9A44-BD1C-145897BCC288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ROOT MAX 200L</t>
        </r>
      </text>
    </comment>
    <comment ref="C124" authorId="0" shapeId="0" xr:uid="{AE056B13-DB5A-A849-8924-077826434793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SILFORTE 1L</t>
        </r>
      </text>
    </comment>
    <comment ref="C125" authorId="0" shapeId="0" xr:uid="{AB920D4B-3C67-1C49-84E7-4D8945DD5890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SILFORTE 200L</t>
        </r>
      </text>
    </comment>
    <comment ref="C130" authorId="0" shapeId="0" xr:uid="{6BEFBD56-C5E3-2A42-81D0-B255581B4D1F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AV15 40-20 200L</t>
        </r>
      </text>
    </comment>
    <comment ref="C142" authorId="0" shapeId="0" xr:uid="{F78FA615-8FB3-B34A-9CB3-D947A22CAF79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GREEN GUARDIAN MAX 200L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<sst xmlns="http://schemas.openxmlformats.org/spreadsheetml/2006/main" count="300" uniqueCount="63">
  <si>
    <t>TABLA DE PRECIOS PISO — CHILE 2026  |  AGROVECA GRUPO LATAM</t>
  </si>
  <si>
    <t>⚙️  Celda B3 = margen objetivo (recalcula columnas E-K automáticamente).  Celda azul = editable.  Celda verde = precio propuesto por Gerencia.</t>
  </si>
  <si>
    <t>MARGEN OBJETIVO →</t>
  </si>
  <si>
    <t>← Cambia este % y todo se recalcula</t>
  </si>
  <si>
    <t>PRODUCTO</t>
  </si>
  <si>
    <t>FORMATO</t>
  </si>
  <si>
    <t>COSTO FÁBRICA
(PKG)</t>
  </si>
  <si>
    <t>TAMAÑO
FMT</t>
  </si>
  <si>
    <t>COSTO
$/UNIDAD</t>
  </si>
  <si>
    <t>PRECIO PISO
(CALCULADO)</t>
  </si>
  <si>
    <t>PRECIO
PROM REAL</t>
  </si>
  <si>
    <t>NUEVO PRECIO
PISO PROPUESTO</t>
  </si>
  <si>
    <t>MARGEN
CALC %</t>
  </si>
  <si>
    <t>MARGEN
PROPUESTO %</t>
  </si>
  <si>
    <t>GAP PROP.
vs CALC %</t>
  </si>
  <si>
    <t>VAR $
(Prop - Real)</t>
  </si>
  <si>
    <t>CLASIF.
PROPUESTO</t>
  </si>
  <si>
    <t>AV AMIN</t>
  </si>
  <si>
    <t>1 L</t>
  </si>
  <si>
    <t>5 L</t>
  </si>
  <si>
    <t>20 L</t>
  </si>
  <si>
    <t>AV AMIN SUGAR</t>
  </si>
  <si>
    <t>200 L</t>
  </si>
  <si>
    <t>AV BALANCE</t>
  </si>
  <si>
    <t>AV BIOSOLARIS</t>
  </si>
  <si>
    <t>AV BLOOM</t>
  </si>
  <si>
    <t>AV CYTO PRIME</t>
  </si>
  <si>
    <t>AV HUMIC ROOT</t>
  </si>
  <si>
    <t>AV MAX FULVIC 45%</t>
  </si>
  <si>
    <t>AV MOVE</t>
  </si>
  <si>
    <t>AV PLUS BORO</t>
  </si>
  <si>
    <t>AV PLUS CALCIO</t>
  </si>
  <si>
    <t>AV PLUS CALCIO BORO</t>
  </si>
  <si>
    <t>AV PLUS HIERRO</t>
  </si>
  <si>
    <t>AV PLUS MAGNESIO</t>
  </si>
  <si>
    <t>AV PLUS MICRO MIX</t>
  </si>
  <si>
    <t>AV PLUS NP-MIX</t>
  </si>
  <si>
    <t>AV PLUS NUTRI MIX</t>
  </si>
  <si>
    <t>AV PLUS POTASIO</t>
  </si>
  <si>
    <t>5 L (VECA)</t>
  </si>
  <si>
    <t>AV PLUS ZINC</t>
  </si>
  <si>
    <t>AV PLUS ZINC MANGANESO</t>
  </si>
  <si>
    <t>AV ROOT MAX</t>
  </si>
  <si>
    <t>AV SILFORTE</t>
  </si>
  <si>
    <t>AV15 40-20</t>
  </si>
  <si>
    <t>BIOVECA FOLIAR</t>
  </si>
  <si>
    <t>250 GR</t>
  </si>
  <si>
    <t>BIOVECA INVERNAL</t>
  </si>
  <si>
    <t>BIOVECA PRADERAS</t>
  </si>
  <si>
    <t>BIOVECA RAIZ</t>
  </si>
  <si>
    <t>500 GR</t>
  </si>
  <si>
    <t>AV ALGAP 30</t>
  </si>
  <si>
    <t>AV PLUS MACRO FRUIT</t>
  </si>
  <si>
    <t>BIOVECA NEMA OFF</t>
  </si>
  <si>
    <t>BIOVECA NITRA UP</t>
  </si>
  <si>
    <t>BIOVECA BACIFOS</t>
  </si>
  <si>
    <t>GREEN GUARDIAN MAX</t>
  </si>
  <si>
    <t>ORDEN FMT</t>
  </si>
  <si>
    <t>Precio Piso AV</t>
  </si>
  <si>
    <t>LISTA DE PRECIOS PISO — FUERZA COMERCIAL CHILE 2026</t>
  </si>
  <si>
    <t>AGROVECA GRUPO LATAM  |  Precios mínimos de venta  |  Vigencia: Abril 2026  |  Aprobado: Gerencia General</t>
  </si>
  <si>
    <t>⚠️  Ninguna venta puede realizarse por debajo de estos precios sin autorización escrita de Gerencia General.</t>
  </si>
  <si>
    <t>1000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</si>
</sst>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0.0%"/>
    <numFmt numFmtId="165" formatCode="\+0.0%;\-0.0%"/>
    <numFmt numFmtId="166" formatCode="\$#,##0;&quot;($&quot;#,##0\);&quot;$-&quot;"/>
  </numFmts>
  <fonts count="20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color rgb="FFFFFFFF"/>
      <name val="Arial"/>
      <family val="2"/>
    </font>
    <font>
      <i/>
      <sz val="9"/>
      <color rgb="FF666666"/>
      <name val="Arial"/>
      <family val="2"/>
    </font>
    <font>
      <b/>
      <sz val="11"/>
      <color rgb="FF333333"/>
      <name val="Arial"/>
      <family val="2"/>
    </font>
    <font>
      <b/>
      <sz val="14"/>
      <color rgb="FF0000FF"/>
      <name val="Arial"/>
      <family val="2"/>
    </font>
    <font>
      <i/>
      <sz val="9"/>
      <color rgb="FF0000FF"/>
      <name val="Arial"/>
      <family val="2"/>
    </font>
    <font>
      <b/>
      <sz val="10"/>
      <color rgb="FFFFFFFF"/>
      <name val="Arial"/>
      <family val="2"/>
    </font>
    <font>
      <sz val="10"/>
      <color rgb="FF333333"/>
      <name val="Arial"/>
      <family val="2"/>
    </font>
    <font>
      <sz val="10"/>
      <color rgb="FF0000FF"/>
      <name val="Arial"/>
      <family val="2"/>
    </font>
    <font>
      <b/>
      <sz val="10"/>
      <name val="Arial"/>
      <family val="2"/>
    </font>
    <font>
      <b/>
      <sz val="10"/>
      <color rgb="FF1B5E20"/>
      <name val="Arial"/>
      <family val="2"/>
    </font>
    <font>
      <b/>
      <sz val="9"/>
      <color rgb="FFFFFFFF"/>
      <name val="Arial"/>
      <family val="2"/>
    </font>
    <font>
      <b/>
      <sz val="14"/>
      <color rgb="FFFAFAFA"/>
      <name val="Arial"/>
      <family val="2"/>
    </font>
    <font>
      <sz val="14"/>
      <color rgb="FF333333"/>
      <name val="Arial"/>
      <family val="2"/>
    </font>
    <font>
      <sz val="14"/>
      <name val="Arial"/>
      <family val="2"/>
    </font>
    <font>
      <b/>
      <sz val="12"/>
      <color rgb="FFC62828"/>
      <name val="Arial"/>
      <family val="2"/>
    </font>
    <font>
      <sz val="11"/>
      <color rgb="FF7AB648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080E09"/>
        <bgColor rgb="FF000000"/>
      </patternFill>
    </fill>
    <fill>
      <patternFill patternType="solid">
        <fgColor rgb="FFE0E0E0"/>
        <bgColor rgb="FFC8E6C9"/>
      </patternFill>
    </fill>
    <fill>
      <patternFill patternType="solid">
        <fgColor rgb="FFFFFDE7"/>
        <bgColor rgb="FFFAFAFA"/>
      </patternFill>
    </fill>
    <fill>
      <patternFill patternType="solid">
        <fgColor rgb="FF1B5E20"/>
        <bgColor rgb="FF2E7D32"/>
      </patternFill>
    </fill>
    <fill>
      <patternFill patternType="solid">
        <fgColor rgb="FFE8F5E9"/>
        <bgColor rgb="FFFAFAFA"/>
      </patternFill>
    </fill>
    <fill>
      <patternFill patternType="solid">
        <fgColor theme="1"/>
        <bgColor indexed="64"/>
      </patternFill>
    </fill>
    <fill>
      <patternFill patternType="solid">
        <fgColor rgb="FFFFFDE7"/>
        <bgColor indexed="64"/>
      </patternFill>
    </fill>
    <fill>
      <patternFill patternType="solid">
        <fgColor rgb="FFE8F5E9"/>
        <bgColor indexed="64"/>
      </patternFill>
    </fill>
  </fills>
  <borders count="7">
    <border>
      <left/>
      <right/>
      <top/>
      <bottom/>
      <diagonal/>
    </border>
    <border>
      <left style="medium">
        <color rgb="FF1B5E20"/>
      </left>
      <right style="medium">
        <color rgb="FF1B5E20"/>
      </right>
      <top style="medium">
        <color rgb="FF1B5E20"/>
      </top>
      <bottom style="medium">
        <color rgb="FF1B5E20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/>
      <diagonal/>
    </border>
    <border>
      <left/>
      <right/>
      <top/>
      <bottom style="thin">
        <color rgb="FFBDBDBD"/>
      </bottom>
      <diagonal/>
    </border>
  </borders>
  <cellStyleXfs count="2">
    <xf numFmtId="0" fontId="0" fillId="0" borderId="0"/>
    <xf numFmtId="42" fontId="1" fillId="0" borderId="0" applyBorder="0" applyAlignment="0" applyProtection="0"/>
  </cellStyleXfs>
  <cellXfs count="37">
    <xf numFmtId="0" fontId="0" fillId="0" borderId="0" xfId="0"/>
    <xf numFmtId="0" fontId="6" fillId="0" borderId="0" xfId="0" applyFont="1"/>
    <xf numFmtId="0" fontId="4" fillId="0" borderId="0" xfId="0" applyFont="1" applyAlignment="1">
      <alignment horizontal="right" vertical="center"/>
    </xf>
    <xf numFmtId="9" fontId="5" fillId="4" borderId="1" xfId="0" applyNumberFormat="1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  <xf numFmtId="3" fontId="9" fillId="4" borderId="2" xfId="0" applyNumberFormat="1" applyFont="1" applyFill="1" applyBorder="1" applyAlignment="1">
      <alignment horizontal="right" vertical="center"/>
    </xf>
    <xf numFmtId="0" fontId="9" fillId="4" borderId="2" xfId="0" applyFont="1" applyFill="1" applyBorder="1" applyAlignment="1">
      <alignment horizontal="center" vertical="center" wrapText="1"/>
    </xf>
    <xf numFmtId="3" fontId="8" fillId="0" borderId="2" xfId="0" applyNumberFormat="1" applyFont="1" applyBorder="1" applyAlignment="1">
      <alignment horizontal="right" vertical="center"/>
    </xf>
    <xf numFmtId="3" fontId="10" fillId="0" borderId="2" xfId="0" applyNumberFormat="1" applyFont="1" applyBorder="1" applyAlignment="1">
      <alignment horizontal="right" vertical="center"/>
    </xf>
    <xf numFmtId="3" fontId="11" fillId="6" borderId="1" xfId="0" applyNumberFormat="1" applyFont="1" applyFill="1" applyBorder="1" applyAlignment="1">
      <alignment horizontal="right" vertical="center"/>
    </xf>
    <xf numFmtId="164" fontId="8" fillId="0" borderId="2" xfId="0" applyNumberFormat="1" applyFont="1" applyBorder="1" applyAlignment="1">
      <alignment horizontal="center" vertical="center" wrapText="1"/>
    </xf>
    <xf numFmtId="165" fontId="8" fillId="0" borderId="2" xfId="0" applyNumberFormat="1" applyFont="1" applyBorder="1" applyAlignment="1">
      <alignment horizontal="center" vertical="center" wrapText="1"/>
    </xf>
    <xf numFmtId="166" fontId="8" fillId="0" borderId="2" xfId="0" applyNumberFormat="1" applyFont="1" applyBorder="1" applyAlignment="1">
      <alignment horizontal="right" vertical="center"/>
    </xf>
    <xf numFmtId="0" fontId="12" fillId="5" borderId="3" xfId="0" applyFont="1" applyFill="1" applyBorder="1" applyAlignment="1">
      <alignment horizontal="center" vertical="center" wrapText="1"/>
    </xf>
    <xf numFmtId="42" fontId="1" fillId="0" borderId="0" xfId="1"/>
    <xf numFmtId="0" fontId="7" fillId="5" borderId="5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left" vertical="center" wrapText="1"/>
    </xf>
    <xf numFmtId="42" fontId="15" fillId="0" borderId="4" xfId="1" applyFont="1" applyBorder="1" applyAlignment="1">
      <alignment horizontal="right" vertic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3" fontId="8" fillId="0" borderId="0" xfId="0" applyNumberFormat="1" applyFont="1" applyAlignment="1">
      <alignment horizontal="right" vertical="center"/>
    </xf>
    <xf numFmtId="3" fontId="10" fillId="0" borderId="0" xfId="0" applyNumberFormat="1" applyFont="1" applyAlignment="1">
      <alignment horizontal="right" vertical="center"/>
    </xf>
    <xf numFmtId="164" fontId="8" fillId="0" borderId="0" xfId="0" applyNumberFormat="1" applyFont="1" applyAlignment="1">
      <alignment horizontal="center" vertical="center" wrapText="1"/>
    </xf>
    <xf numFmtId="165" fontId="8" fillId="0" borderId="0" xfId="0" applyNumberFormat="1" applyFont="1" applyAlignment="1">
      <alignment horizontal="center" vertical="center" wrapText="1"/>
    </xf>
    <xf numFmtId="166" fontId="8" fillId="0" borderId="0" xfId="0" applyNumberFormat="1" applyFont="1" applyAlignment="1">
      <alignment horizontal="right" vertical="center"/>
    </xf>
    <xf numFmtId="3" fontId="9" fillId="8" borderId="2" xfId="0" applyNumberFormat="1" applyFont="1" applyFill="1" applyBorder="1" applyAlignment="1">
      <alignment horizontal="right" vertical="center"/>
    </xf>
    <xf numFmtId="3" fontId="11" fillId="9" borderId="1" xfId="0" applyNumberFormat="1" applyFont="1" applyFill="1" applyBorder="1" applyAlignment="1">
      <alignment horizontal="right" vertical="center"/>
    </xf>
    <xf numFmtId="3" fontId="9" fillId="8" borderId="0" xfId="0" applyNumberFormat="1" applyFont="1" applyFill="1" applyAlignment="1">
      <alignment horizontal="right" vertical="center"/>
    </xf>
    <xf numFmtId="0" fontId="16" fillId="7" borderId="6" xfId="0" applyFont="1" applyFill="1" applyBorder="1" applyAlignment="1">
      <alignment horizontal="center" vertical="center" wrapText="1"/>
    </xf>
    <xf numFmtId="0" fontId="17" fillId="7" borderId="0" xfId="0" applyFont="1" applyFill="1" applyAlignment="1">
      <alignment horizontal="center" vertical="center" wrapText="1"/>
    </xf>
    <xf numFmtId="0" fontId="13" fillId="7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6" fillId="0" borderId="0" xfId="0" applyFont="1"/>
  </cellXfs>
  <cellStyles count="2">
    <cellStyle name="Moneda [0]" xfId="1" builtinId="7"/>
    <cellStyle name="Normal" xfId="0" builtinId="0"/>
  </cellStyles>
  <dxfs count="6">
    <dxf>
      <font>
        <b/>
        <color rgb="FF2E7D32"/>
      </font>
      <fill>
        <patternFill>
          <bgColor rgb="FFC8E6C9"/>
        </patternFill>
      </fill>
    </dxf>
    <dxf>
      <font>
        <b/>
        <color rgb="FFC62828"/>
      </font>
      <fill>
        <patternFill>
          <bgColor rgb="FFFFCDD2"/>
        </patternFill>
      </fill>
    </dxf>
    <dxf>
      <font>
        <b/>
        <color rgb="FF2E7D32"/>
      </font>
    </dxf>
    <dxf>
      <font>
        <color rgb="FFC62828"/>
      </font>
    </dxf>
    <dxf>
      <font>
        <b/>
        <color rgb="FF2E7D32"/>
      </font>
      <fill>
        <patternFill>
          <bgColor rgb="FFC8E6C9"/>
        </patternFill>
      </fill>
    </dxf>
    <dxf>
      <font>
        <b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808000"/>
      <rgbColor rgb="FF800080"/>
      <rgbColor rgb="FF008080"/>
      <rgbColor rgb="FFBDBDBD"/>
      <rgbColor rgb="FF808080"/>
      <rgbColor rgb="FF9999FF"/>
      <rgbColor rgb="FF993366"/>
      <rgbColor rgb="FFFFFDE7"/>
      <rgbColor rgb="FFE8F5E9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AFAFA"/>
      <rgbColor rgb="FFC8E6C9"/>
      <rgbColor rgb="FFFFEBEE"/>
      <rgbColor rgb="FF99CCFF"/>
      <rgbColor rgb="FFFF99CC"/>
      <rgbColor rgb="FFCC99FF"/>
      <rgbColor rgb="FFFFCDD2"/>
      <rgbColor rgb="FF3366FF"/>
      <rgbColor rgb="FF33CCCC"/>
      <rgbColor rgb="FF7AB648"/>
      <rgbColor rgb="FFFFCC00"/>
      <rgbColor rgb="FFFF9900"/>
      <rgbColor rgb="FFFF6600"/>
      <rgbColor rgb="FF666666"/>
      <rgbColor rgb="FF969696"/>
      <rgbColor rgb="FF003366"/>
      <rgbColor rgb="FF388E3C"/>
      <rgbColor rgb="FF080E09"/>
      <rgbColor rgb="FF1B5E20"/>
      <rgbColor rgb="FFC62828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D420E47-614C-C842-8EAD-084E21C17B1D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35b7db4-3147-454f-b500-073692f0e03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AB648"/>
  </sheetPr>
  <dimension ref="A1:O143"/>
  <sheetViews>
    <sheetView showGridLines="0" zoomScale="110" zoomScaleNormal="110" workbookViewId="0">
      <pane ySplit="5" topLeftCell="A32" activePane="bottomLeft" state="frozen"/>
      <selection pane="bottomLeft" activeCell="M145" sqref="M145"/>
    </sheetView>
  </sheetViews>
  <sheetFormatPr baseColWidth="10" defaultColWidth="8.6640625" defaultRowHeight="15" outlineLevelCol="1" x14ac:dyDescent="0.2"/>
  <cols>
    <col min="1" max="1" width="26" customWidth="1"/>
    <col min="2" max="2" width="12" customWidth="1"/>
    <col min="3" max="3" width="14" customWidth="1"/>
    <col min="4" max="4" width="8" customWidth="1"/>
    <col min="5" max="5" width="12" customWidth="1"/>
    <col min="6" max="7" width="14" customWidth="1"/>
    <col min="8" max="8" width="12" customWidth="1"/>
    <col min="9" max="9" width="16" customWidth="1"/>
    <col min="10" max="10" width="12" customWidth="1"/>
    <col min="11" max="12" width="11" customWidth="1"/>
    <col min="13" max="13" width="20" customWidth="1"/>
    <col min="14" max="14" width="8.6640625" hidden="1" customWidth="1" outlineLevel="1"/>
    <col min="15" max="15" width="8.6640625" collapsed="1"/>
  </cols>
  <sheetData>
    <row r="1" spans="1:14" ht="37.5" customHeight="1" x14ac:dyDescent="0.2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4" ht="15" customHeight="1" x14ac:dyDescent="0.2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1:14" ht="18" x14ac:dyDescent="0.2">
      <c r="A3" s="2" t="s">
        <v>2</v>
      </c>
      <c r="B3" s="3">
        <v>0.45</v>
      </c>
      <c r="C3" s="36" t="s">
        <v>3</v>
      </c>
      <c r="D3" s="36"/>
      <c r="E3" s="36"/>
      <c r="F3" s="36"/>
      <c r="G3" s="1"/>
    </row>
    <row r="4" spans="1:14" ht="4.5" customHeight="1" x14ac:dyDescent="0.2"/>
    <row r="5" spans="1:14" ht="48" customHeight="1" x14ac:dyDescent="0.2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12</v>
      </c>
      <c r="H5" s="4" t="s">
        <v>10</v>
      </c>
      <c r="I5" s="4" t="s">
        <v>11</v>
      </c>
      <c r="J5" s="4" t="s">
        <v>13</v>
      </c>
      <c r="K5" s="4" t="s">
        <v>14</v>
      </c>
      <c r="L5" s="4" t="s">
        <v>15</v>
      </c>
      <c r="M5" s="4" t="s">
        <v>16</v>
      </c>
      <c r="N5" s="15" t="s">
        <v>57</v>
      </c>
    </row>
    <row r="6" spans="1:14" x14ac:dyDescent="0.2">
      <c r="A6" s="5" t="s">
        <v>51</v>
      </c>
      <c r="B6" s="6" t="s">
        <v>18</v>
      </c>
      <c r="C6" s="7">
        <v>3715</v>
      </c>
      <c r="D6" s="8">
        <v>1</v>
      </c>
      <c r="E6" s="9">
        <f>C6/D6</f>
        <v>3715</v>
      </c>
      <c r="F6" s="10">
        <f>E6/(1-$B$3)</f>
        <v>6754.545454545454</v>
      </c>
      <c r="G6" s="12">
        <f t="shared" ref="G6:G37" si="0">$B$3</f>
        <v>0.45</v>
      </c>
      <c r="H6" s="7"/>
      <c r="I6" s="11">
        <v>6800</v>
      </c>
      <c r="J6" s="12">
        <f t="shared" ref="J6:J37" si="1">IF(I6="","",(I6-E6)/I6)</f>
        <v>0.45367647058823529</v>
      </c>
      <c r="K6" s="13">
        <f t="shared" ref="K6:K37" si="2">IF(I6="","",(I6-F6)/F6)</f>
        <v>6.7294751009422003E-3</v>
      </c>
      <c r="L6" s="14" t="str">
        <f t="shared" ref="L6:L37" si="3">IF(OR(I6="",H6=""),"",I6-H6)</f>
        <v/>
      </c>
      <c r="M6" s="6" t="str">
        <f t="shared" ref="M6:M37" si="4">IF(I6="","⚪ SIN PROPUESTA",IF(I6&lt;F6*0.95,"🔴 BAJO PISO",IF(I6&gt;F6*1.05,"🟢 SOBRE PISO","🟡 EN PISO")))</f>
        <v>🟡 EN PISO</v>
      </c>
      <c r="N6" cm="1">
        <f t="array" ref="N6">IFERROR(_xlfn.SWITCH(B6,"1 L",1,"5 L",2,"5 L (VECA)",2.5,"20 L",3,"200 L",4,"250 GR",5,"500 GR",6,"1000 L",7),99)</f>
        <v>1</v>
      </c>
    </row>
    <row r="7" spans="1:14" x14ac:dyDescent="0.2">
      <c r="A7" s="5" t="s">
        <v>51</v>
      </c>
      <c r="B7" s="6" t="s">
        <v>19</v>
      </c>
      <c r="C7" s="7">
        <v>12996</v>
      </c>
      <c r="D7" s="8">
        <v>5</v>
      </c>
      <c r="E7" s="9">
        <f>C7/D7</f>
        <v>2599.1999999999998</v>
      </c>
      <c r="F7" s="10">
        <f>E7/(1-$B$3)</f>
        <v>4725.8181818181811</v>
      </c>
      <c r="G7" s="12">
        <f t="shared" si="0"/>
        <v>0.45</v>
      </c>
      <c r="H7" s="7"/>
      <c r="I7" s="11">
        <v>5000</v>
      </c>
      <c r="J7" s="12">
        <f t="shared" si="1"/>
        <v>0.48016000000000003</v>
      </c>
      <c r="K7" s="13">
        <f t="shared" si="2"/>
        <v>5.8017851646660679E-2</v>
      </c>
      <c r="L7" s="14" t="str">
        <f t="shared" si="3"/>
        <v/>
      </c>
      <c r="M7" s="6" t="str">
        <f t="shared" si="4"/>
        <v>🟢 SOBRE PISO</v>
      </c>
      <c r="N7" cm="1">
        <f t="array" ref="N7">IFERROR(_xlfn.SWITCH(B7,"1 L",1,"5 L",2,"5 L (VECA)",2.5,"20 L",3,"200 L",4,"250 GR",5,"500 GR",6,"1000 L",7),99)</f>
        <v>2</v>
      </c>
    </row>
    <row r="8" spans="1:14" x14ac:dyDescent="0.2">
      <c r="A8" s="5" t="s">
        <v>51</v>
      </c>
      <c r="B8" s="6" t="s">
        <v>20</v>
      </c>
      <c r="C8" s="28">
        <v>37644</v>
      </c>
      <c r="D8" s="8">
        <v>20</v>
      </c>
      <c r="E8" s="9">
        <f>IF(C8="","",C8/D8)</f>
        <v>1882.2</v>
      </c>
      <c r="F8" s="10">
        <f>IF(E8="","",E8/(1-$B$3))</f>
        <v>3422.181818181818</v>
      </c>
      <c r="G8" s="12">
        <f t="shared" si="0"/>
        <v>0.45</v>
      </c>
      <c r="H8" s="28"/>
      <c r="I8" s="29">
        <v>4000</v>
      </c>
      <c r="J8" s="12">
        <f t="shared" si="1"/>
        <v>0.52945000000000009</v>
      </c>
      <c r="K8" s="13">
        <f t="shared" si="2"/>
        <v>0.16884496865370316</v>
      </c>
      <c r="L8" s="14" t="str">
        <f t="shared" si="3"/>
        <v/>
      </c>
      <c r="M8" s="6" t="str">
        <f t="shared" si="4"/>
        <v>🟢 SOBRE PISO</v>
      </c>
      <c r="N8" cm="1">
        <f t="array" ref="N8">IFERROR(_xlfn.SWITCH(B8,"1 L",1,"5 L",2,"5 L (VECA)",2.5,"20 L",3,"200 L",4,"250 GR",5,"500 GR",6,"1000 L",7),99)</f>
        <v>3</v>
      </c>
    </row>
    <row r="9" spans="1:14" ht="16" thickBot="1" x14ac:dyDescent="0.25">
      <c r="A9" s="5" t="s">
        <v>51</v>
      </c>
      <c r="B9" s="6" t="s">
        <v>22</v>
      </c>
      <c r="C9" s="28">
        <v>320130</v>
      </c>
      <c r="D9" s="8">
        <v>200</v>
      </c>
      <c r="E9" s="9">
        <f>IF(C9="","",C9/D9)</f>
        <v>1600.65</v>
      </c>
      <c r="F9" s="10">
        <f>IF(E9="","",E9/(1-$B$3))</f>
        <v>2910.272727272727</v>
      </c>
      <c r="G9" s="12">
        <f t="shared" si="0"/>
        <v>0.45</v>
      </c>
      <c r="H9" s="28"/>
      <c r="I9" s="29">
        <v>3500</v>
      </c>
      <c r="J9" s="12">
        <f t="shared" si="1"/>
        <v>0.54267142857142858</v>
      </c>
      <c r="K9" s="13">
        <f t="shared" si="2"/>
        <v>0.20263642895073886</v>
      </c>
      <c r="L9" s="14" t="str">
        <f t="shared" si="3"/>
        <v/>
      </c>
      <c r="M9" s="6" t="str">
        <f t="shared" si="4"/>
        <v>🟢 SOBRE PISO</v>
      </c>
      <c r="N9" cm="1">
        <f t="array" ref="N9">IFERROR(_xlfn.SWITCH(B9,"1 L",1,"5 L",2,"5 L (VECA)",2.5,"20 L",3,"200 L",4,"250 GR",5,"500 GR",6,"1000 L",7),99)</f>
        <v>4</v>
      </c>
    </row>
    <row r="10" spans="1:14" ht="16" thickBot="1" x14ac:dyDescent="0.25">
      <c r="A10" s="5" t="s">
        <v>51</v>
      </c>
      <c r="B10" s="6" t="s">
        <v>62</v>
      </c>
      <c r="C10" s="28">
        <v>1537520</v>
      </c>
      <c r="D10" s="8">
        <v>1000</v>
      </c>
      <c r="E10" s="9">
        <f>IF(C10="","",C10/D10)</f>
        <v>1537.52</v>
      </c>
      <c r="F10" s="10">
        <f>IF(E10="","",E10/(1-$B$3))</f>
        <v>2795.4909090909086</v>
      </c>
      <c r="G10" s="12">
        <f t="shared" si="0"/>
        <v>0.45</v>
      </c>
      <c r="H10" s="28"/>
      <c r="I10" s="29">
        <v>3000</v>
      </c>
      <c r="J10" s="12">
        <f t="shared" si="1"/>
        <v>0.48749333333333333</v>
      </c>
      <c r="K10" s="13">
        <f t="shared" si="2"/>
        <v>7.3156771944430168E-2</v>
      </c>
      <c r="L10" s="14" t="str">
        <f t="shared" si="3"/>
        <v/>
      </c>
      <c r="M10" s="6" t="str">
        <f t="shared" si="4"/>
        <v>🟢 SOBRE PISO</v>
      </c>
      <c r="N10" cm="1">
        <f t="array" ref="N10">IFERROR(_xlfn.SWITCH(B10,"1 L",1,"5 L",2,"5 L (VECA)",2.5,"20 L",3,"200 L",4,"250 GR",5,"500 GR",6,"1000 L",7),99)</f>
        <v>7</v>
      </c>
    </row>
    <row r="11" spans="1:14" ht="16" thickBot="1" x14ac:dyDescent="0.25">
      <c r="A11" s="5" t="s">
        <v>17</v>
      </c>
      <c r="B11" s="6" t="s">
        <v>18</v>
      </c>
      <c r="C11" s="7">
        <v>3669</v>
      </c>
      <c r="D11" s="8">
        <v>1</v>
      </c>
      <c r="E11" s="9">
        <f>C11/D11</f>
        <v>3669</v>
      </c>
      <c r="F11" s="10">
        <f>E11/(1-$B$3)</f>
        <v>6670.9090909090901</v>
      </c>
      <c r="G11" s="12">
        <f t="shared" si="0"/>
        <v>0.45</v>
      </c>
      <c r="H11" s="7">
        <v>6602</v>
      </c>
      <c r="I11" s="11">
        <v>7800</v>
      </c>
      <c r="J11" s="12">
        <f t="shared" si="1"/>
        <v>0.5296153846153846</v>
      </c>
      <c r="K11" s="13">
        <f t="shared" si="2"/>
        <v>0.16925592804578918</v>
      </c>
      <c r="L11" s="14">
        <f t="shared" si="3"/>
        <v>1198</v>
      </c>
      <c r="M11" s="6" t="str">
        <f t="shared" si="4"/>
        <v>🟢 SOBRE PISO</v>
      </c>
      <c r="N11" cm="1">
        <f t="array" ref="N11">IFERROR(_xlfn.SWITCH(B11,"1 L",1,"5 L",2,"5 L (VECA)",2.5,"20 L",3,"200 L",4,"250 GR",5,"500 GR",6,"1000 L",7),99)</f>
        <v>1</v>
      </c>
    </row>
    <row r="12" spans="1:14" x14ac:dyDescent="0.2">
      <c r="A12" s="5" t="s">
        <v>17</v>
      </c>
      <c r="B12" s="6" t="s">
        <v>19</v>
      </c>
      <c r="C12" s="7">
        <v>12765</v>
      </c>
      <c r="D12" s="8">
        <v>5</v>
      </c>
      <c r="E12" s="9">
        <f>C12/D12</f>
        <v>2553</v>
      </c>
      <c r="F12" s="10">
        <f>E12/(1-$B$3)</f>
        <v>4641.8181818181811</v>
      </c>
      <c r="G12" s="12">
        <f t="shared" si="0"/>
        <v>0.45</v>
      </c>
      <c r="H12" s="7">
        <v>7500</v>
      </c>
      <c r="I12" s="11">
        <v>7000</v>
      </c>
      <c r="J12" s="12">
        <f t="shared" si="1"/>
        <v>0.63528571428571423</v>
      </c>
      <c r="K12" s="13">
        <f t="shared" si="2"/>
        <v>0.50802976889933438</v>
      </c>
      <c r="L12" s="14">
        <f t="shared" si="3"/>
        <v>-500</v>
      </c>
      <c r="M12" s="6" t="str">
        <f t="shared" si="4"/>
        <v>🟢 SOBRE PISO</v>
      </c>
      <c r="N12" cm="1">
        <f t="array" ref="N12">IFERROR(_xlfn.SWITCH(B12,"1 L",1,"5 L",2,"5 L (VECA)",2.5,"20 L",3,"200 L",4,"250 GR",5,"500 GR",6,"1000 L",7),99)</f>
        <v>2</v>
      </c>
    </row>
    <row r="13" spans="1:14" x14ac:dyDescent="0.2">
      <c r="A13" s="5" t="s">
        <v>17</v>
      </c>
      <c r="B13" s="6" t="s">
        <v>20</v>
      </c>
      <c r="C13" s="7">
        <v>36718</v>
      </c>
      <c r="D13" s="8">
        <v>20</v>
      </c>
      <c r="E13" s="9">
        <f>C13/D13</f>
        <v>1835.9</v>
      </c>
      <c r="F13" s="10">
        <f>E13/(1-$B$3)</f>
        <v>3338</v>
      </c>
      <c r="G13" s="12">
        <f t="shared" si="0"/>
        <v>0.45</v>
      </c>
      <c r="H13" s="7">
        <v>5008</v>
      </c>
      <c r="I13" s="11">
        <v>5500</v>
      </c>
      <c r="J13" s="12">
        <f t="shared" si="1"/>
        <v>0.66620000000000001</v>
      </c>
      <c r="K13" s="13">
        <f t="shared" si="2"/>
        <v>0.64769322947872976</v>
      </c>
      <c r="L13" s="14">
        <f t="shared" si="3"/>
        <v>492</v>
      </c>
      <c r="M13" s="6" t="str">
        <f t="shared" si="4"/>
        <v>🟢 SOBRE PISO</v>
      </c>
      <c r="N13" cm="1">
        <f t="array" ref="N13">IFERROR(_xlfn.SWITCH(B13,"1 L",1,"5 L",2,"5 L (VECA)",2.5,"20 L",3,"200 L",4,"250 GR",5,"500 GR",6,"1000 L",7),99)</f>
        <v>3</v>
      </c>
    </row>
    <row r="14" spans="1:14" ht="16" thickBot="1" x14ac:dyDescent="0.25">
      <c r="A14" s="5" t="s">
        <v>17</v>
      </c>
      <c r="B14" s="6" t="s">
        <v>22</v>
      </c>
      <c r="C14" s="28">
        <v>254381</v>
      </c>
      <c r="D14" s="8">
        <v>200</v>
      </c>
      <c r="E14" s="9">
        <f>IF(C14="","",C14/D14)</f>
        <v>1271.905</v>
      </c>
      <c r="F14" s="10">
        <f>IF(E14="","",E14/(1-$B$3))</f>
        <v>2312.5545454545454</v>
      </c>
      <c r="G14" s="12">
        <f t="shared" si="0"/>
        <v>0.45</v>
      </c>
      <c r="H14" s="28"/>
      <c r="I14" s="29">
        <v>3500</v>
      </c>
      <c r="J14" s="12">
        <f t="shared" si="1"/>
        <v>0.63659857142857146</v>
      </c>
      <c r="K14" s="13">
        <f t="shared" si="2"/>
        <v>0.5134778147739022</v>
      </c>
      <c r="L14" s="14" t="str">
        <f t="shared" si="3"/>
        <v/>
      </c>
      <c r="M14" s="6" t="str">
        <f t="shared" si="4"/>
        <v>🟢 SOBRE PISO</v>
      </c>
      <c r="N14" cm="1">
        <f t="array" ref="N14">IFERROR(_xlfn.SWITCH(B14,"1 L",1,"5 L",2,"5 L (VECA)",2.5,"20 L",3,"200 L",4,"250 GR",5,"500 GR",6,"1000 L",7),99)</f>
        <v>4</v>
      </c>
    </row>
    <row r="15" spans="1:14" ht="16" thickBot="1" x14ac:dyDescent="0.25">
      <c r="A15" s="5" t="s">
        <v>17</v>
      </c>
      <c r="B15" s="6" t="s">
        <v>62</v>
      </c>
      <c r="C15" s="28">
        <v>1491220</v>
      </c>
      <c r="D15" s="8">
        <v>1000</v>
      </c>
      <c r="E15" s="9">
        <f>IF(C15="","",C15/D15)</f>
        <v>1491.22</v>
      </c>
      <c r="F15" s="10">
        <f>IF(E15="","",E15/(1-$B$3))</f>
        <v>2711.3090909090906</v>
      </c>
      <c r="G15" s="12">
        <f t="shared" si="0"/>
        <v>0.45</v>
      </c>
      <c r="H15" s="28"/>
      <c r="I15" s="29">
        <v>3000</v>
      </c>
      <c r="J15" s="12">
        <f t="shared" si="1"/>
        <v>0.50292666666666663</v>
      </c>
      <c r="K15" s="13">
        <f t="shared" si="2"/>
        <v>0.10647657622617734</v>
      </c>
      <c r="L15" s="14" t="str">
        <f t="shared" si="3"/>
        <v/>
      </c>
      <c r="M15" s="6" t="str">
        <f t="shared" si="4"/>
        <v>🟢 SOBRE PISO</v>
      </c>
      <c r="N15" cm="1">
        <f t="array" ref="N15">IFERROR(_xlfn.SWITCH(B15,"1 L",1,"5 L",2,"5 L (VECA)",2.5,"20 L",3,"200 L",4,"250 GR",5,"500 GR",6,"1000 L",7),99)</f>
        <v>7</v>
      </c>
    </row>
    <row r="16" spans="1:14" ht="16" thickBot="1" x14ac:dyDescent="0.25">
      <c r="A16" s="5" t="s">
        <v>21</v>
      </c>
      <c r="B16" s="6" t="s">
        <v>18</v>
      </c>
      <c r="C16" s="7">
        <v>3589</v>
      </c>
      <c r="D16" s="8">
        <v>1</v>
      </c>
      <c r="E16" s="9">
        <f>C16/D16</f>
        <v>3589</v>
      </c>
      <c r="F16" s="10">
        <f>E16/(1-$B$3)</f>
        <v>6525.454545454545</v>
      </c>
      <c r="G16" s="12">
        <f t="shared" si="0"/>
        <v>0.45</v>
      </c>
      <c r="H16" s="7"/>
      <c r="I16" s="11">
        <v>9000</v>
      </c>
      <c r="J16" s="12">
        <f t="shared" si="1"/>
        <v>0.60122222222222221</v>
      </c>
      <c r="K16" s="13">
        <f t="shared" si="2"/>
        <v>0.37921426581220402</v>
      </c>
      <c r="L16" s="14" t="str">
        <f t="shared" si="3"/>
        <v/>
      </c>
      <c r="M16" s="6" t="str">
        <f t="shared" si="4"/>
        <v>🟢 SOBRE PISO</v>
      </c>
      <c r="N16" cm="1">
        <f t="array" ref="N16">IFERROR(_xlfn.SWITCH(B16,"1 L",1,"5 L",2,"5 L (VECA)",2.5,"20 L",3,"200 L",4,"250 GR",5,"500 GR",6,"1000 L",7),99)</f>
        <v>1</v>
      </c>
    </row>
    <row r="17" spans="1:14" x14ac:dyDescent="0.2">
      <c r="A17" s="5" t="s">
        <v>21</v>
      </c>
      <c r="B17" s="6" t="s">
        <v>19</v>
      </c>
      <c r="C17" s="7">
        <v>12367</v>
      </c>
      <c r="D17" s="8">
        <v>5</v>
      </c>
      <c r="E17" s="9">
        <f>C17/D17</f>
        <v>2473.4</v>
      </c>
      <c r="F17" s="10">
        <f>E17/(1-$B$3)</f>
        <v>4497.090909090909</v>
      </c>
      <c r="G17" s="12">
        <f t="shared" si="0"/>
        <v>0.45</v>
      </c>
      <c r="H17" s="7">
        <v>6004</v>
      </c>
      <c r="I17" s="11">
        <v>8000</v>
      </c>
      <c r="J17" s="12">
        <f t="shared" si="1"/>
        <v>0.69082500000000002</v>
      </c>
      <c r="K17" s="13">
        <f t="shared" si="2"/>
        <v>0.77892779170372772</v>
      </c>
      <c r="L17" s="14">
        <f t="shared" si="3"/>
        <v>1996</v>
      </c>
      <c r="M17" s="6" t="str">
        <f t="shared" si="4"/>
        <v>🟢 SOBRE PISO</v>
      </c>
      <c r="N17" cm="1">
        <f t="array" ref="N17">IFERROR(_xlfn.SWITCH(B17,"1 L",1,"5 L",2,"5 L (VECA)",2.5,"20 L",3,"200 L",4,"250 GR",5,"500 GR",6,"1000 L",7),99)</f>
        <v>2</v>
      </c>
    </row>
    <row r="18" spans="1:14" x14ac:dyDescent="0.2">
      <c r="A18" s="5" t="s">
        <v>21</v>
      </c>
      <c r="B18" s="6" t="s">
        <v>20</v>
      </c>
      <c r="C18" s="7">
        <v>35129</v>
      </c>
      <c r="D18" s="8">
        <v>20</v>
      </c>
      <c r="E18" s="9">
        <f>C18/D18</f>
        <v>1756.45</v>
      </c>
      <c r="F18" s="10">
        <f>E18/(1-$B$3)</f>
        <v>3193.5454545454545</v>
      </c>
      <c r="G18" s="12">
        <f t="shared" si="0"/>
        <v>0.45</v>
      </c>
      <c r="H18" s="7">
        <v>5375</v>
      </c>
      <c r="I18" s="11">
        <v>6500</v>
      </c>
      <c r="J18" s="12">
        <f t="shared" si="1"/>
        <v>0.7297769230769231</v>
      </c>
      <c r="K18" s="13">
        <f t="shared" si="2"/>
        <v>1.0353554043667625</v>
      </c>
      <c r="L18" s="14">
        <f t="shared" si="3"/>
        <v>1125</v>
      </c>
      <c r="M18" s="6" t="str">
        <f t="shared" si="4"/>
        <v>🟢 SOBRE PISO</v>
      </c>
      <c r="N18" cm="1">
        <f t="array" ref="N18">IFERROR(_xlfn.SWITCH(B18,"1 L",1,"5 L",2,"5 L (VECA)",2.5,"20 L",3,"200 L",4,"250 GR",5,"500 GR",6,"1000 L",7),99)</f>
        <v>3</v>
      </c>
    </row>
    <row r="19" spans="1:14" ht="16" thickBot="1" x14ac:dyDescent="0.25">
      <c r="A19" s="5" t="s">
        <v>21</v>
      </c>
      <c r="B19" s="6" t="s">
        <v>22</v>
      </c>
      <c r="C19" s="28">
        <v>238491</v>
      </c>
      <c r="D19" s="8">
        <v>200</v>
      </c>
      <c r="E19" s="9">
        <f>IF(C19="","",C19/D19)</f>
        <v>1192.4549999999999</v>
      </c>
      <c r="F19" s="10">
        <f>IF(E19="","",E19/(1-$B$3))</f>
        <v>2168.1</v>
      </c>
      <c r="G19" s="12">
        <f t="shared" si="0"/>
        <v>0.45</v>
      </c>
      <c r="H19" s="28">
        <v>4500</v>
      </c>
      <c r="I19" s="29">
        <v>5000</v>
      </c>
      <c r="J19" s="12">
        <f t="shared" si="1"/>
        <v>0.76150899999999999</v>
      </c>
      <c r="K19" s="13">
        <f t="shared" si="2"/>
        <v>1.3061666897283337</v>
      </c>
      <c r="L19" s="14">
        <f t="shared" si="3"/>
        <v>500</v>
      </c>
      <c r="M19" s="6" t="str">
        <f t="shared" si="4"/>
        <v>🟢 SOBRE PISO</v>
      </c>
      <c r="N19" cm="1">
        <f t="array" ref="N19">IFERROR(_xlfn.SWITCH(B19,"1 L",1,"5 L",2,"5 L (VECA)",2.5,"20 L",3,"200 L",4,"250 GR",5,"500 GR",6,"1000 L",7),99)</f>
        <v>4</v>
      </c>
    </row>
    <row r="20" spans="1:14" ht="16" thickBot="1" x14ac:dyDescent="0.25">
      <c r="A20" s="5" t="s">
        <v>21</v>
      </c>
      <c r="B20" s="6" t="s">
        <v>62</v>
      </c>
      <c r="C20" s="28">
        <v>1411770</v>
      </c>
      <c r="D20" s="8">
        <v>1000</v>
      </c>
      <c r="E20" s="9">
        <f>IF(C20="","",C20/D20)</f>
        <v>1411.77</v>
      </c>
      <c r="F20" s="10">
        <f>IF(E20="","",E20/(1-$B$3))</f>
        <v>2566.8545454545451</v>
      </c>
      <c r="G20" s="12">
        <f t="shared" si="0"/>
        <v>0.45</v>
      </c>
      <c r="H20" s="28"/>
      <c r="I20" s="29">
        <v>4000</v>
      </c>
      <c r="J20" s="12">
        <f t="shared" si="1"/>
        <v>0.64705749999999995</v>
      </c>
      <c r="K20" s="13">
        <f t="shared" si="2"/>
        <v>0.55832748960524747</v>
      </c>
      <c r="L20" s="14" t="str">
        <f t="shared" si="3"/>
        <v/>
      </c>
      <c r="M20" s="6" t="str">
        <f t="shared" si="4"/>
        <v>🟢 SOBRE PISO</v>
      </c>
      <c r="N20" cm="1">
        <f t="array" ref="N20">IFERROR(_xlfn.SWITCH(B20,"1 L",1,"5 L",2,"5 L (VECA)",2.5,"20 L",3,"200 L",4,"250 GR",5,"500 GR",6,"1000 L",7),99)</f>
        <v>7</v>
      </c>
    </row>
    <row r="21" spans="1:14" ht="16" thickBot="1" x14ac:dyDescent="0.25">
      <c r="A21" s="5" t="s">
        <v>23</v>
      </c>
      <c r="B21" s="6" t="s">
        <v>18</v>
      </c>
      <c r="C21" s="7">
        <v>4631</v>
      </c>
      <c r="D21" s="8">
        <v>1</v>
      </c>
      <c r="E21" s="9">
        <f>C21/D21</f>
        <v>4631</v>
      </c>
      <c r="F21" s="10">
        <f>E21/(1-$B$3)</f>
        <v>8420</v>
      </c>
      <c r="G21" s="12">
        <f t="shared" si="0"/>
        <v>0.45</v>
      </c>
      <c r="H21" s="7">
        <v>13661</v>
      </c>
      <c r="I21" s="11">
        <v>15000</v>
      </c>
      <c r="J21" s="12">
        <f t="shared" si="1"/>
        <v>0.6912666666666667</v>
      </c>
      <c r="K21" s="13">
        <f t="shared" si="2"/>
        <v>0.78147268408551074</v>
      </c>
      <c r="L21" s="14">
        <f t="shared" si="3"/>
        <v>1339</v>
      </c>
      <c r="M21" s="6" t="str">
        <f t="shared" si="4"/>
        <v>🟢 SOBRE PISO</v>
      </c>
      <c r="N21" cm="1">
        <f t="array" ref="N21">IFERROR(_xlfn.SWITCH(B21,"1 L",1,"5 L",2,"5 L (VECA)",2.5,"20 L",3,"200 L",4,"250 GR",5,"500 GR",6,"1000 L",7),99)</f>
        <v>1</v>
      </c>
    </row>
    <row r="22" spans="1:14" x14ac:dyDescent="0.2">
      <c r="A22" s="5" t="s">
        <v>23</v>
      </c>
      <c r="B22" s="6" t="s">
        <v>19</v>
      </c>
      <c r="C22" s="7">
        <v>17574</v>
      </c>
      <c r="D22" s="8">
        <v>5</v>
      </c>
      <c r="E22" s="9">
        <f>C22/D22</f>
        <v>3514.8</v>
      </c>
      <c r="F22" s="10">
        <f>E22/(1-$B$3)</f>
        <v>6390.545454545454</v>
      </c>
      <c r="G22" s="12">
        <f t="shared" si="0"/>
        <v>0.45</v>
      </c>
      <c r="H22" s="7">
        <v>14239</v>
      </c>
      <c r="I22" s="11">
        <v>14000</v>
      </c>
      <c r="J22" s="12">
        <f t="shared" si="1"/>
        <v>0.74894285714285724</v>
      </c>
      <c r="K22" s="13">
        <f t="shared" si="2"/>
        <v>1.1907363150108117</v>
      </c>
      <c r="L22" s="14">
        <f t="shared" si="3"/>
        <v>-239</v>
      </c>
      <c r="M22" s="6" t="str">
        <f t="shared" si="4"/>
        <v>🟢 SOBRE PISO</v>
      </c>
      <c r="N22" cm="1">
        <f t="array" ref="N22">IFERROR(_xlfn.SWITCH(B22,"1 L",1,"5 L",2,"5 L (VECA)",2.5,"20 L",3,"200 L",4,"250 GR",5,"500 GR",6,"1000 L",7),99)</f>
        <v>2</v>
      </c>
    </row>
    <row r="23" spans="1:14" x14ac:dyDescent="0.2">
      <c r="A23" s="5" t="s">
        <v>23</v>
      </c>
      <c r="B23" s="6" t="s">
        <v>20</v>
      </c>
      <c r="C23" s="7">
        <v>55955</v>
      </c>
      <c r="D23" s="8">
        <v>20</v>
      </c>
      <c r="E23" s="9">
        <f>C23/D23</f>
        <v>2797.75</v>
      </c>
      <c r="F23" s="10">
        <f>E23/(1-$B$3)</f>
        <v>5086.8181818181811</v>
      </c>
      <c r="G23" s="12">
        <f t="shared" si="0"/>
        <v>0.45</v>
      </c>
      <c r="H23" s="7">
        <v>13691</v>
      </c>
      <c r="I23" s="11">
        <v>13500</v>
      </c>
      <c r="J23" s="12">
        <f t="shared" si="1"/>
        <v>0.79275925925925927</v>
      </c>
      <c r="K23" s="13">
        <f t="shared" si="2"/>
        <v>1.6539183272272366</v>
      </c>
      <c r="L23" s="14">
        <f t="shared" si="3"/>
        <v>-191</v>
      </c>
      <c r="M23" s="6" t="str">
        <f t="shared" si="4"/>
        <v>🟢 SOBRE PISO</v>
      </c>
      <c r="N23" cm="1">
        <f t="array" ref="N23">IFERROR(_xlfn.SWITCH(B23,"1 L",1,"5 L",2,"5 L (VECA)",2.5,"20 L",3,"200 L",4,"250 GR",5,"500 GR",6,"1000 L",7),99)</f>
        <v>3</v>
      </c>
    </row>
    <row r="24" spans="1:14" ht="16" thickBot="1" x14ac:dyDescent="0.25">
      <c r="A24" s="5" t="s">
        <v>23</v>
      </c>
      <c r="B24" s="6" t="s">
        <v>22</v>
      </c>
      <c r="C24" s="28">
        <v>503237</v>
      </c>
      <c r="D24" s="8">
        <v>200</v>
      </c>
      <c r="E24" s="9">
        <f>IF(C24="","",C24/D24)</f>
        <v>2516.1849999999999</v>
      </c>
      <c r="F24" s="10">
        <f>IF(E24="","",E24/(1-$B$3))</f>
        <v>4574.8818181818178</v>
      </c>
      <c r="G24" s="12">
        <f t="shared" si="0"/>
        <v>0.45</v>
      </c>
      <c r="H24" s="28"/>
      <c r="I24" s="29">
        <v>11000</v>
      </c>
      <c r="J24" s="12">
        <f t="shared" si="1"/>
        <v>0.77125590909090913</v>
      </c>
      <c r="K24" s="13">
        <f t="shared" si="2"/>
        <v>1.4044336962504747</v>
      </c>
      <c r="L24" s="14" t="str">
        <f t="shared" si="3"/>
        <v/>
      </c>
      <c r="M24" s="6" t="str">
        <f t="shared" si="4"/>
        <v>🟢 SOBRE PISO</v>
      </c>
      <c r="N24" cm="1">
        <f t="array" ref="N24">IFERROR(_xlfn.SWITCH(B24,"1 L",1,"5 L",2,"5 L (VECA)",2.5,"20 L",3,"200 L",4,"250 GR",5,"500 GR",6,"1000 L",7),99)</f>
        <v>4</v>
      </c>
    </row>
    <row r="25" spans="1:14" ht="16" thickBot="1" x14ac:dyDescent="0.25">
      <c r="A25" s="5" t="s">
        <v>23</v>
      </c>
      <c r="B25" s="6" t="s">
        <v>62</v>
      </c>
      <c r="C25" s="28">
        <v>2453056</v>
      </c>
      <c r="D25" s="8">
        <v>1000</v>
      </c>
      <c r="E25" s="9">
        <f>IF(C25="","",C25/D25)</f>
        <v>2453.056</v>
      </c>
      <c r="F25" s="10">
        <f>IF(E25="","",E25/(1-$B$3))</f>
        <v>4460.1018181818181</v>
      </c>
      <c r="G25" s="12">
        <f t="shared" si="0"/>
        <v>0.45</v>
      </c>
      <c r="H25" s="28"/>
      <c r="I25" s="29">
        <v>10000</v>
      </c>
      <c r="J25" s="12">
        <f t="shared" si="1"/>
        <v>0.75469439999999999</v>
      </c>
      <c r="K25" s="13">
        <f t="shared" si="2"/>
        <v>1.2421012810143757</v>
      </c>
      <c r="L25" s="14" t="str">
        <f t="shared" si="3"/>
        <v/>
      </c>
      <c r="M25" s="6" t="str">
        <f t="shared" si="4"/>
        <v>🟢 SOBRE PISO</v>
      </c>
      <c r="N25" cm="1">
        <f t="array" ref="N25">IFERROR(_xlfn.SWITCH(B25,"1 L",1,"5 L",2,"5 L (VECA)",2.5,"20 L",3,"200 L",4,"250 GR",5,"500 GR",6,"1000 L",7),99)</f>
        <v>7</v>
      </c>
    </row>
    <row r="26" spans="1:14" ht="16" thickBot="1" x14ac:dyDescent="0.25">
      <c r="A26" s="5" t="s">
        <v>24</v>
      </c>
      <c r="B26" s="6" t="s">
        <v>18</v>
      </c>
      <c r="C26" s="7">
        <v>4143</v>
      </c>
      <c r="D26" s="8">
        <v>1</v>
      </c>
      <c r="E26" s="9">
        <f>C26/D26</f>
        <v>4143</v>
      </c>
      <c r="F26" s="10">
        <f>E26/(1-$B$3)</f>
        <v>7532.7272727272721</v>
      </c>
      <c r="G26" s="12">
        <f t="shared" si="0"/>
        <v>0.45</v>
      </c>
      <c r="H26" s="7">
        <v>12757</v>
      </c>
      <c r="I26" s="11">
        <v>16000</v>
      </c>
      <c r="J26" s="12">
        <f t="shared" si="1"/>
        <v>0.74106249999999996</v>
      </c>
      <c r="K26" s="13">
        <f t="shared" si="2"/>
        <v>1.1240646874245717</v>
      </c>
      <c r="L26" s="14">
        <f t="shared" si="3"/>
        <v>3243</v>
      </c>
      <c r="M26" s="6" t="str">
        <f t="shared" si="4"/>
        <v>🟢 SOBRE PISO</v>
      </c>
      <c r="N26" cm="1">
        <f t="array" ref="N26">IFERROR(_xlfn.SWITCH(B26,"1 L",1,"5 L",2,"5 L (VECA)",2.5,"20 L",3,"200 L",4,"250 GR",5,"500 GR",6,"1000 L",7),99)</f>
        <v>1</v>
      </c>
    </row>
    <row r="27" spans="1:14" x14ac:dyDescent="0.2">
      <c r="A27" s="5" t="s">
        <v>24</v>
      </c>
      <c r="B27" s="6" t="s">
        <v>19</v>
      </c>
      <c r="C27" s="7">
        <v>15134</v>
      </c>
      <c r="D27" s="8">
        <v>5</v>
      </c>
      <c r="E27" s="9">
        <f>C27/D27</f>
        <v>3026.8</v>
      </c>
      <c r="F27" s="10">
        <f>E27/(1-$B$3)</f>
        <v>5503.272727272727</v>
      </c>
      <c r="G27" s="12">
        <f t="shared" si="0"/>
        <v>0.45</v>
      </c>
      <c r="H27" s="7"/>
      <c r="I27" s="11">
        <v>15000</v>
      </c>
      <c r="J27" s="12">
        <f t="shared" si="1"/>
        <v>0.79821333333333333</v>
      </c>
      <c r="K27" s="13">
        <f t="shared" si="2"/>
        <v>1.7256508523853575</v>
      </c>
      <c r="L27" s="14" t="str">
        <f t="shared" si="3"/>
        <v/>
      </c>
      <c r="M27" s="6" t="str">
        <f t="shared" si="4"/>
        <v>🟢 SOBRE PISO</v>
      </c>
      <c r="N27" cm="1">
        <f t="array" ref="N27">IFERROR(_xlfn.SWITCH(B27,"1 L",1,"5 L",2,"5 L (VECA)",2.5,"20 L",3,"200 L",4,"250 GR",5,"500 GR",6,"1000 L",7),99)</f>
        <v>2</v>
      </c>
    </row>
    <row r="28" spans="1:14" x14ac:dyDescent="0.2">
      <c r="A28" s="5" t="s">
        <v>24</v>
      </c>
      <c r="B28" s="6" t="s">
        <v>20</v>
      </c>
      <c r="C28" s="7">
        <v>46195</v>
      </c>
      <c r="D28" s="8">
        <v>20</v>
      </c>
      <c r="E28" s="9">
        <f>C28/D28</f>
        <v>2309.75</v>
      </c>
      <c r="F28" s="10">
        <f>E28/(1-$B$3)</f>
        <v>4199.545454545454</v>
      </c>
      <c r="G28" s="12">
        <f t="shared" si="0"/>
        <v>0.45</v>
      </c>
      <c r="H28" s="7">
        <v>14250</v>
      </c>
      <c r="I28" s="11">
        <v>14000</v>
      </c>
      <c r="J28" s="12">
        <f t="shared" si="1"/>
        <v>0.83501785714285715</v>
      </c>
      <c r="K28" s="13">
        <f t="shared" si="2"/>
        <v>2.3336941227405568</v>
      </c>
      <c r="L28" s="14">
        <f t="shared" si="3"/>
        <v>-250</v>
      </c>
      <c r="M28" s="6" t="str">
        <f t="shared" si="4"/>
        <v>🟢 SOBRE PISO</v>
      </c>
      <c r="N28" cm="1">
        <f t="array" ref="N28">IFERROR(_xlfn.SWITCH(B28,"1 L",1,"5 L",2,"5 L (VECA)",2.5,"20 L",3,"200 L",4,"250 GR",5,"500 GR",6,"1000 L",7),99)</f>
        <v>3</v>
      </c>
    </row>
    <row r="29" spans="1:14" ht="16" thickBot="1" x14ac:dyDescent="0.25">
      <c r="A29" s="5" t="s">
        <v>24</v>
      </c>
      <c r="B29" s="6" t="s">
        <v>22</v>
      </c>
      <c r="C29" s="28">
        <v>405640</v>
      </c>
      <c r="D29" s="8">
        <v>200</v>
      </c>
      <c r="E29" s="9">
        <f>IF(C29="","",C29/D29)</f>
        <v>2028.2</v>
      </c>
      <c r="F29" s="10">
        <f>IF(E29="","",E29/(1-$B$3))</f>
        <v>3687.6363636363635</v>
      </c>
      <c r="G29" s="12">
        <f t="shared" si="0"/>
        <v>0.45</v>
      </c>
      <c r="H29" s="28"/>
      <c r="I29" s="29">
        <v>13000</v>
      </c>
      <c r="J29" s="12">
        <f t="shared" si="1"/>
        <v>0.84398461538461533</v>
      </c>
      <c r="K29" s="13">
        <f t="shared" si="2"/>
        <v>2.5252933635736121</v>
      </c>
      <c r="L29" s="14" t="str">
        <f t="shared" si="3"/>
        <v/>
      </c>
      <c r="M29" s="6" t="str">
        <f t="shared" si="4"/>
        <v>🟢 SOBRE PISO</v>
      </c>
      <c r="N29" cm="1">
        <f t="array" ref="N29">IFERROR(_xlfn.SWITCH(B29,"1 L",1,"5 L",2,"5 L (VECA)",2.5,"20 L",3,"200 L",4,"250 GR",5,"500 GR",6,"1000 L",7),99)</f>
        <v>4</v>
      </c>
    </row>
    <row r="30" spans="1:14" ht="16" thickBot="1" x14ac:dyDescent="0.25">
      <c r="A30" s="5" t="s">
        <v>24</v>
      </c>
      <c r="B30" s="6" t="s">
        <v>62</v>
      </c>
      <c r="C30" s="28">
        <v>1965071</v>
      </c>
      <c r="D30" s="8">
        <v>1000</v>
      </c>
      <c r="E30" s="9">
        <f>IF(C30="","",C30/D30)</f>
        <v>1965.0709999999999</v>
      </c>
      <c r="F30" s="10">
        <f>IF(E30="","",E30/(1-$B$3))</f>
        <v>3572.8563636363633</v>
      </c>
      <c r="G30" s="12">
        <f t="shared" si="0"/>
        <v>0.45</v>
      </c>
      <c r="H30" s="28"/>
      <c r="I30" s="29">
        <v>10000</v>
      </c>
      <c r="J30" s="12">
        <f t="shared" si="1"/>
        <v>0.80349289999999995</v>
      </c>
      <c r="K30" s="13">
        <f t="shared" si="2"/>
        <v>1.7988810582416617</v>
      </c>
      <c r="L30" s="14" t="str">
        <f t="shared" si="3"/>
        <v/>
      </c>
      <c r="M30" s="6" t="str">
        <f t="shared" si="4"/>
        <v>🟢 SOBRE PISO</v>
      </c>
      <c r="N30" cm="1">
        <f t="array" ref="N30">IFERROR(_xlfn.SWITCH(B30,"1 L",1,"5 L",2,"5 L (VECA)",2.5,"20 L",3,"200 L",4,"250 GR",5,"500 GR",6,"1000 L",7),99)</f>
        <v>7</v>
      </c>
    </row>
    <row r="31" spans="1:14" ht="16" thickBot="1" x14ac:dyDescent="0.25">
      <c r="A31" s="5" t="s">
        <v>25</v>
      </c>
      <c r="B31" s="6" t="s">
        <v>18</v>
      </c>
      <c r="C31" s="7">
        <v>4096</v>
      </c>
      <c r="D31" s="8">
        <v>1</v>
      </c>
      <c r="E31" s="9">
        <f>C31/D31</f>
        <v>4096</v>
      </c>
      <c r="F31" s="10">
        <f>E31/(1-$B$3)</f>
        <v>7447.272727272727</v>
      </c>
      <c r="G31" s="12">
        <f t="shared" si="0"/>
        <v>0.45</v>
      </c>
      <c r="H31" s="7">
        <v>9912</v>
      </c>
      <c r="I31" s="11">
        <v>11000</v>
      </c>
      <c r="J31" s="12">
        <f t="shared" si="1"/>
        <v>0.62763636363636366</v>
      </c>
      <c r="K31" s="13">
        <f t="shared" si="2"/>
        <v>0.47705078125000006</v>
      </c>
      <c r="L31" s="14">
        <f t="shared" si="3"/>
        <v>1088</v>
      </c>
      <c r="M31" s="6" t="str">
        <f t="shared" si="4"/>
        <v>🟢 SOBRE PISO</v>
      </c>
      <c r="N31" cm="1">
        <f t="array" ref="N31">IFERROR(_xlfn.SWITCH(B31,"1 L",1,"5 L",2,"5 L (VECA)",2.5,"20 L",3,"200 L",4,"250 GR",5,"500 GR",6,"1000 L",7),99)</f>
        <v>1</v>
      </c>
    </row>
    <row r="32" spans="1:14" x14ac:dyDescent="0.2">
      <c r="A32" s="5" t="s">
        <v>25</v>
      </c>
      <c r="B32" s="6" t="s">
        <v>19</v>
      </c>
      <c r="C32" s="7">
        <v>14901</v>
      </c>
      <c r="D32" s="8">
        <v>5</v>
      </c>
      <c r="E32" s="9">
        <f>C32/D32</f>
        <v>2980.2</v>
      </c>
      <c r="F32" s="10">
        <f>E32/(1-$B$3)</f>
        <v>5418.545454545454</v>
      </c>
      <c r="G32" s="12">
        <f t="shared" si="0"/>
        <v>0.45</v>
      </c>
      <c r="H32" s="7">
        <v>8548</v>
      </c>
      <c r="I32" s="11">
        <v>9500</v>
      </c>
      <c r="J32" s="12">
        <f t="shared" si="1"/>
        <v>0.68629473684210529</v>
      </c>
      <c r="K32" s="13">
        <f t="shared" si="2"/>
        <v>0.75323803771558973</v>
      </c>
      <c r="L32" s="14">
        <f t="shared" si="3"/>
        <v>952</v>
      </c>
      <c r="M32" s="6" t="str">
        <f t="shared" si="4"/>
        <v>🟢 SOBRE PISO</v>
      </c>
      <c r="N32" cm="1">
        <f t="array" ref="N32">IFERROR(_xlfn.SWITCH(B32,"1 L",1,"5 L",2,"5 L (VECA)",2.5,"20 L",3,"200 L",4,"250 GR",5,"500 GR",6,"1000 L",7),99)</f>
        <v>2</v>
      </c>
    </row>
    <row r="33" spans="1:14" x14ac:dyDescent="0.2">
      <c r="A33" s="5" t="s">
        <v>25</v>
      </c>
      <c r="B33" s="6" t="s">
        <v>20</v>
      </c>
      <c r="C33" s="7">
        <v>45266</v>
      </c>
      <c r="D33" s="8">
        <v>20</v>
      </c>
      <c r="E33" s="9">
        <f>C33/D33</f>
        <v>2263.3000000000002</v>
      </c>
      <c r="F33" s="10">
        <f>E33/(1-$B$3)</f>
        <v>4115.090909090909</v>
      </c>
      <c r="G33" s="12">
        <f t="shared" si="0"/>
        <v>0.45</v>
      </c>
      <c r="H33" s="7">
        <v>9300</v>
      </c>
      <c r="I33" s="11">
        <v>9000</v>
      </c>
      <c r="J33" s="12">
        <f t="shared" si="1"/>
        <v>0.7485222222222222</v>
      </c>
      <c r="K33" s="13">
        <f t="shared" si="2"/>
        <v>1.1870719745504352</v>
      </c>
      <c r="L33" s="14">
        <f t="shared" si="3"/>
        <v>-300</v>
      </c>
      <c r="M33" s="6" t="str">
        <f t="shared" si="4"/>
        <v>🟢 SOBRE PISO</v>
      </c>
      <c r="N33" cm="1">
        <f t="array" ref="N33">IFERROR(_xlfn.SWITCH(B33,"1 L",1,"5 L",2,"5 L (VECA)",2.5,"20 L",3,"200 L",4,"250 GR",5,"500 GR",6,"1000 L",7),99)</f>
        <v>3</v>
      </c>
    </row>
    <row r="34" spans="1:14" ht="16" thickBot="1" x14ac:dyDescent="0.25">
      <c r="A34" s="5" t="s">
        <v>25</v>
      </c>
      <c r="B34" s="6" t="s">
        <v>22</v>
      </c>
      <c r="C34" s="28">
        <v>396347</v>
      </c>
      <c r="D34" s="8">
        <v>200</v>
      </c>
      <c r="E34" s="9">
        <f>IF(C34="","",C34/D34)</f>
        <v>1981.7349999999999</v>
      </c>
      <c r="F34" s="10">
        <f>IF(E34="","",E34/(1-$B$3))</f>
        <v>3603.1545454545449</v>
      </c>
      <c r="G34" s="12">
        <f t="shared" si="0"/>
        <v>0.45</v>
      </c>
      <c r="H34" s="28"/>
      <c r="I34" s="29">
        <v>8000</v>
      </c>
      <c r="J34" s="12">
        <f t="shared" si="1"/>
        <v>0.75228312500000005</v>
      </c>
      <c r="K34" s="13">
        <f t="shared" si="2"/>
        <v>1.2202766767504236</v>
      </c>
      <c r="L34" s="14" t="str">
        <f t="shared" si="3"/>
        <v/>
      </c>
      <c r="M34" s="6" t="str">
        <f t="shared" si="4"/>
        <v>🟢 SOBRE PISO</v>
      </c>
      <c r="N34" cm="1">
        <f t="array" ref="N34">IFERROR(_xlfn.SWITCH(B34,"1 L",1,"5 L",2,"5 L (VECA)",2.5,"20 L",3,"200 L",4,"250 GR",5,"500 GR",6,"1000 L",7),99)</f>
        <v>4</v>
      </c>
    </row>
    <row r="35" spans="1:14" ht="16" thickBot="1" x14ac:dyDescent="0.25">
      <c r="A35" s="5" t="s">
        <v>25</v>
      </c>
      <c r="B35" s="6" t="s">
        <v>62</v>
      </c>
      <c r="C35" s="28">
        <v>1918607</v>
      </c>
      <c r="D35" s="8">
        <v>1000</v>
      </c>
      <c r="E35" s="9">
        <f>IF(C35="","",C35/D35)</f>
        <v>1918.607</v>
      </c>
      <c r="F35" s="10">
        <f>IF(E35="","",E35/(1-$B$3))</f>
        <v>3488.3763636363633</v>
      </c>
      <c r="G35" s="12">
        <f t="shared" si="0"/>
        <v>0.45</v>
      </c>
      <c r="H35" s="28"/>
      <c r="I35" s="29">
        <v>7000</v>
      </c>
      <c r="J35" s="12">
        <f t="shared" si="1"/>
        <v>0.72591328571428571</v>
      </c>
      <c r="K35" s="13">
        <f t="shared" si="2"/>
        <v>1.0066642100232097</v>
      </c>
      <c r="L35" s="14" t="str">
        <f t="shared" si="3"/>
        <v/>
      </c>
      <c r="M35" s="6" t="str">
        <f t="shared" si="4"/>
        <v>🟢 SOBRE PISO</v>
      </c>
      <c r="N35" cm="1">
        <f t="array" ref="N35">IFERROR(_xlfn.SWITCH(B35,"1 L",1,"5 L",2,"5 L (VECA)",2.5,"20 L",3,"200 L",4,"250 GR",5,"500 GR",6,"1000 L",7),99)</f>
        <v>7</v>
      </c>
    </row>
    <row r="36" spans="1:14" ht="16" thickBot="1" x14ac:dyDescent="0.25">
      <c r="A36" s="5" t="s">
        <v>26</v>
      </c>
      <c r="B36" s="6" t="s">
        <v>18</v>
      </c>
      <c r="C36" s="7">
        <v>4500</v>
      </c>
      <c r="D36" s="8">
        <v>1</v>
      </c>
      <c r="E36" s="9">
        <f>C36/D36</f>
        <v>4500</v>
      </c>
      <c r="F36" s="10">
        <f>E36/(1-$B$3)</f>
        <v>8181.8181818181811</v>
      </c>
      <c r="G36" s="12">
        <f t="shared" si="0"/>
        <v>0.45</v>
      </c>
      <c r="H36" s="7"/>
      <c r="I36" s="11">
        <v>18000</v>
      </c>
      <c r="J36" s="12">
        <f t="shared" si="1"/>
        <v>0.75</v>
      </c>
      <c r="K36" s="13">
        <f t="shared" si="2"/>
        <v>1.2000000000000004</v>
      </c>
      <c r="L36" s="14" t="str">
        <f t="shared" si="3"/>
        <v/>
      </c>
      <c r="M36" s="6" t="str">
        <f t="shared" si="4"/>
        <v>🟢 SOBRE PISO</v>
      </c>
      <c r="N36" cm="1">
        <f t="array" ref="N36">IFERROR(_xlfn.SWITCH(B36,"1 L",1,"5 L",2,"5 L (VECA)",2.5,"20 L",3,"200 L",4,"250 GR",5,"500 GR",6,"1000 L",7),99)</f>
        <v>1</v>
      </c>
    </row>
    <row r="37" spans="1:14" x14ac:dyDescent="0.2">
      <c r="A37" s="5" t="s">
        <v>26</v>
      </c>
      <c r="B37" s="6" t="s">
        <v>19</v>
      </c>
      <c r="C37" s="7">
        <v>16920</v>
      </c>
      <c r="D37" s="8">
        <v>5</v>
      </c>
      <c r="E37" s="9">
        <f>C37/D37</f>
        <v>3384</v>
      </c>
      <c r="F37" s="10">
        <f>E37/(1-$B$3)</f>
        <v>6152.7272727272721</v>
      </c>
      <c r="G37" s="12">
        <f t="shared" si="0"/>
        <v>0.45</v>
      </c>
      <c r="H37" s="7">
        <v>16911</v>
      </c>
      <c r="I37" s="11">
        <v>17000</v>
      </c>
      <c r="J37" s="12">
        <f t="shared" si="1"/>
        <v>0.80094117647058827</v>
      </c>
      <c r="K37" s="13">
        <f t="shared" si="2"/>
        <v>1.7630023640661943</v>
      </c>
      <c r="L37" s="14">
        <f t="shared" si="3"/>
        <v>89</v>
      </c>
      <c r="M37" s="6" t="str">
        <f t="shared" si="4"/>
        <v>🟢 SOBRE PISO</v>
      </c>
      <c r="N37" cm="1">
        <f t="array" ref="N37">IFERROR(_xlfn.SWITCH(B37,"1 L",1,"5 L",2,"5 L (VECA)",2.5,"20 L",3,"200 L",4,"250 GR",5,"500 GR",6,"1000 L",7),99)</f>
        <v>2</v>
      </c>
    </row>
    <row r="38" spans="1:14" x14ac:dyDescent="0.2">
      <c r="A38" s="5" t="s">
        <v>26</v>
      </c>
      <c r="B38" s="6" t="s">
        <v>20</v>
      </c>
      <c r="C38" s="28">
        <v>53340</v>
      </c>
      <c r="D38" s="8">
        <v>20</v>
      </c>
      <c r="E38" s="9">
        <f>IF(C38="","",C38/D38)</f>
        <v>2667</v>
      </c>
      <c r="F38" s="10">
        <f>IF(E38="","",E38/(1-$B$3))</f>
        <v>4849.090909090909</v>
      </c>
      <c r="G38" s="12">
        <f t="shared" ref="G38:G69" si="5">$B$3</f>
        <v>0.45</v>
      </c>
      <c r="H38" s="28">
        <v>16000</v>
      </c>
      <c r="I38" s="29">
        <v>15800</v>
      </c>
      <c r="J38" s="12">
        <f t="shared" ref="J38:J69" si="6">IF(I38="","",(I38-E38)/I38)</f>
        <v>0.83120253164556968</v>
      </c>
      <c r="K38" s="13">
        <f t="shared" ref="K38:K69" si="7">IF(I38="","",(I38-F38)/F38)</f>
        <v>2.2583427071616051</v>
      </c>
      <c r="L38" s="14">
        <f t="shared" ref="L38:L69" si="8">IF(OR(I38="",H38=""),"",I38-H38)</f>
        <v>-200</v>
      </c>
      <c r="M38" s="6" t="str">
        <f t="shared" ref="M38:M69" si="9">IF(I38="","⚪ SIN PROPUESTA",IF(I38&lt;F38*0.95,"🔴 BAJO PISO",IF(I38&gt;F38*1.05,"🟢 SOBRE PISO","🟡 EN PISO")))</f>
        <v>🟢 SOBRE PISO</v>
      </c>
      <c r="N38" cm="1">
        <f t="array" ref="N38">IFERROR(_xlfn.SWITCH(B38,"1 L",1,"5 L",2,"5 L (VECA)",2.5,"20 L",3,"200 L",4,"250 GR",5,"500 GR",6,"1000 L",7),99)</f>
        <v>3</v>
      </c>
    </row>
    <row r="39" spans="1:14" ht="16" thickBot="1" x14ac:dyDescent="0.25">
      <c r="A39" s="5" t="s">
        <v>26</v>
      </c>
      <c r="B39" s="6" t="s">
        <v>22</v>
      </c>
      <c r="C39" s="28">
        <v>477086</v>
      </c>
      <c r="D39" s="8">
        <v>200</v>
      </c>
      <c r="E39" s="9">
        <f>IF(C39="","",C39/D39)</f>
        <v>2385.4299999999998</v>
      </c>
      <c r="F39" s="10">
        <f>IF(E39="","",E39/(1-$B$3))</f>
        <v>4337.1454545454535</v>
      </c>
      <c r="G39" s="12">
        <f t="shared" si="5"/>
        <v>0.45</v>
      </c>
      <c r="H39" s="28"/>
      <c r="I39" s="29">
        <v>14000</v>
      </c>
      <c r="J39" s="12">
        <f t="shared" si="6"/>
        <v>0.8296121428571428</v>
      </c>
      <c r="K39" s="13">
        <f t="shared" si="7"/>
        <v>2.2279295556775933</v>
      </c>
      <c r="L39" s="14" t="str">
        <f t="shared" si="8"/>
        <v/>
      </c>
      <c r="M39" s="6" t="str">
        <f t="shared" si="9"/>
        <v>🟢 SOBRE PISO</v>
      </c>
      <c r="N39" cm="1">
        <f t="array" ref="N39">IFERROR(_xlfn.SWITCH(B39,"1 L",1,"5 L",2,"5 L (VECA)",2.5,"20 L",3,"200 L",4,"250 GR",5,"500 GR",6,"1000 L",7),99)</f>
        <v>4</v>
      </c>
    </row>
    <row r="40" spans="1:14" ht="16" thickBot="1" x14ac:dyDescent="0.25">
      <c r="A40" s="5" t="s">
        <v>26</v>
      </c>
      <c r="B40" s="6" t="s">
        <v>62</v>
      </c>
      <c r="C40" s="28">
        <v>2322301</v>
      </c>
      <c r="D40" s="8">
        <v>1000</v>
      </c>
      <c r="E40" s="9">
        <f>IF(C40="","",C40/D40)</f>
        <v>2322.3009999999999</v>
      </c>
      <c r="F40" s="10">
        <f>IF(E40="","",E40/(1-$B$3))</f>
        <v>4222.3654545454538</v>
      </c>
      <c r="G40" s="12">
        <f t="shared" si="5"/>
        <v>0.45</v>
      </c>
      <c r="H40" s="28"/>
      <c r="I40" s="29">
        <v>11000</v>
      </c>
      <c r="J40" s="12">
        <f t="shared" si="6"/>
        <v>0.78888172727272732</v>
      </c>
      <c r="K40" s="13">
        <f t="shared" si="7"/>
        <v>1.6051747813913877</v>
      </c>
      <c r="L40" s="14" t="str">
        <f t="shared" si="8"/>
        <v/>
      </c>
      <c r="M40" s="6" t="str">
        <f t="shared" si="9"/>
        <v>🟢 SOBRE PISO</v>
      </c>
      <c r="N40" cm="1">
        <f t="array" ref="N40">IFERROR(_xlfn.SWITCH(B40,"1 L",1,"5 L",2,"5 L (VECA)",2.5,"20 L",3,"200 L",4,"250 GR",5,"500 GR",6,"1000 L",7),99)</f>
        <v>7</v>
      </c>
    </row>
    <row r="41" spans="1:14" ht="16" thickBot="1" x14ac:dyDescent="0.25">
      <c r="A41" s="5" t="s">
        <v>27</v>
      </c>
      <c r="B41" s="6" t="s">
        <v>18</v>
      </c>
      <c r="C41" s="7">
        <v>3338</v>
      </c>
      <c r="D41" s="8">
        <v>1</v>
      </c>
      <c r="E41" s="9">
        <f>C41/D41</f>
        <v>3338</v>
      </c>
      <c r="F41" s="10">
        <f>E41/(1-$B$3)</f>
        <v>6069.090909090909</v>
      </c>
      <c r="G41" s="12">
        <f t="shared" si="5"/>
        <v>0.45</v>
      </c>
      <c r="H41" s="7"/>
      <c r="I41" s="11">
        <v>6500</v>
      </c>
      <c r="J41" s="12">
        <f t="shared" si="6"/>
        <v>0.48646153846153845</v>
      </c>
      <c r="K41" s="13">
        <f t="shared" si="7"/>
        <v>7.1000599161174377E-2</v>
      </c>
      <c r="L41" s="14" t="str">
        <f t="shared" si="8"/>
        <v/>
      </c>
      <c r="M41" s="6" t="str">
        <f t="shared" si="9"/>
        <v>🟢 SOBRE PISO</v>
      </c>
      <c r="N41" cm="1">
        <f t="array" ref="N41">IFERROR(_xlfn.SWITCH(B41,"1 L",1,"5 L",2,"5 L (VECA)",2.5,"20 L",3,"200 L",4,"250 GR",5,"500 GR",6,"1000 L",7),99)</f>
        <v>1</v>
      </c>
    </row>
    <row r="42" spans="1:14" x14ac:dyDescent="0.2">
      <c r="A42" s="5" t="s">
        <v>27</v>
      </c>
      <c r="B42" s="6" t="s">
        <v>19</v>
      </c>
      <c r="C42" s="7">
        <v>11108</v>
      </c>
      <c r="D42" s="8">
        <v>5</v>
      </c>
      <c r="E42" s="9">
        <f>C42/D42</f>
        <v>2221.6</v>
      </c>
      <c r="F42" s="10">
        <f>E42/(1-$B$3)</f>
        <v>4039.2727272727266</v>
      </c>
      <c r="G42" s="12">
        <f t="shared" si="5"/>
        <v>0.45</v>
      </c>
      <c r="H42" s="7"/>
      <c r="I42" s="11">
        <v>5800</v>
      </c>
      <c r="J42" s="12">
        <f t="shared" si="6"/>
        <v>0.61696551724137938</v>
      </c>
      <c r="K42" s="13">
        <f t="shared" si="7"/>
        <v>0.4359020525747212</v>
      </c>
      <c r="L42" s="14" t="str">
        <f t="shared" si="8"/>
        <v/>
      </c>
      <c r="M42" s="6" t="str">
        <f t="shared" si="9"/>
        <v>🟢 SOBRE PISO</v>
      </c>
      <c r="N42" cm="1">
        <f t="array" ref="N42">IFERROR(_xlfn.SWITCH(B42,"1 L",1,"5 L",2,"5 L (VECA)",2.5,"20 L",3,"200 L",4,"250 GR",5,"500 GR",6,"1000 L",7),99)</f>
        <v>2</v>
      </c>
    </row>
    <row r="43" spans="1:14" x14ac:dyDescent="0.2">
      <c r="A43" s="5" t="s">
        <v>27</v>
      </c>
      <c r="B43" s="6" t="s">
        <v>20</v>
      </c>
      <c r="C43" s="28">
        <v>30072</v>
      </c>
      <c r="D43" s="8">
        <v>20</v>
      </c>
      <c r="E43" s="9">
        <f>IF(C43="","",C43/D43)</f>
        <v>1503.6</v>
      </c>
      <c r="F43" s="10">
        <f>IF(E43="","",E43/(1-$B$3))</f>
        <v>2733.8181818181815</v>
      </c>
      <c r="G43" s="12">
        <f t="shared" si="5"/>
        <v>0.45</v>
      </c>
      <c r="H43" s="28">
        <v>4225</v>
      </c>
      <c r="I43" s="29">
        <v>4000</v>
      </c>
      <c r="J43" s="12">
        <f t="shared" si="6"/>
        <v>0.62409999999999999</v>
      </c>
      <c r="K43" s="13">
        <f t="shared" si="7"/>
        <v>0.46315509444001079</v>
      </c>
      <c r="L43" s="14">
        <f t="shared" si="8"/>
        <v>-225</v>
      </c>
      <c r="M43" s="6" t="str">
        <f t="shared" si="9"/>
        <v>🟢 SOBRE PISO</v>
      </c>
      <c r="N43" cm="1">
        <f t="array" ref="N43">IFERROR(_xlfn.SWITCH(B43,"1 L",1,"5 L",2,"5 L (VECA)",2.5,"20 L",3,"200 L",4,"250 GR",5,"500 GR",6,"1000 L",7),99)</f>
        <v>3</v>
      </c>
    </row>
    <row r="44" spans="1:14" ht="16" thickBot="1" x14ac:dyDescent="0.25">
      <c r="A44" s="5" t="s">
        <v>27</v>
      </c>
      <c r="B44" s="6" t="s">
        <v>22</v>
      </c>
      <c r="C44" s="28">
        <v>244610</v>
      </c>
      <c r="D44" s="8">
        <v>200</v>
      </c>
      <c r="E44" s="9">
        <f>IF(C44="","",C44/D44)</f>
        <v>1223.05</v>
      </c>
      <c r="F44" s="10">
        <f>IF(E44="","",E44/(1-$B$3))</f>
        <v>2223.7272727272725</v>
      </c>
      <c r="G44" s="12">
        <f t="shared" si="5"/>
        <v>0.45</v>
      </c>
      <c r="H44" s="28">
        <v>2300</v>
      </c>
      <c r="I44" s="29">
        <v>3200</v>
      </c>
      <c r="J44" s="12">
        <f t="shared" si="6"/>
        <v>0.61779687500000002</v>
      </c>
      <c r="K44" s="13">
        <f t="shared" si="7"/>
        <v>0.43902538735129404</v>
      </c>
      <c r="L44" s="14">
        <f t="shared" si="8"/>
        <v>900</v>
      </c>
      <c r="M44" s="6" t="str">
        <f t="shared" si="9"/>
        <v>🟢 SOBRE PISO</v>
      </c>
      <c r="N44" cm="1">
        <f t="array" ref="N44">IFERROR(_xlfn.SWITCH(B44,"1 L",1,"5 L",2,"5 L (VECA)",2.5,"20 L",3,"200 L",4,"250 GR",5,"500 GR",6,"1000 L",7),99)</f>
        <v>4</v>
      </c>
    </row>
    <row r="45" spans="1:14" ht="16" thickBot="1" x14ac:dyDescent="0.25">
      <c r="A45" s="5" t="s">
        <v>27</v>
      </c>
      <c r="B45" s="6" t="s">
        <v>62</v>
      </c>
      <c r="C45" s="28">
        <v>1159920</v>
      </c>
      <c r="D45" s="8">
        <v>1000</v>
      </c>
      <c r="E45" s="9">
        <f>IF(C45="","",C45/D45)</f>
        <v>1159.92</v>
      </c>
      <c r="F45" s="10">
        <f>IF(E45="","",E45/(1-$B$3))</f>
        <v>2108.9454545454546</v>
      </c>
      <c r="G45" s="12">
        <f t="shared" si="5"/>
        <v>0.45</v>
      </c>
      <c r="H45" s="28"/>
      <c r="I45" s="29">
        <v>2800</v>
      </c>
      <c r="J45" s="12">
        <f t="shared" si="6"/>
        <v>0.58574285714285712</v>
      </c>
      <c r="K45" s="13">
        <f t="shared" si="7"/>
        <v>0.32767777088075034</v>
      </c>
      <c r="L45" s="14" t="str">
        <f t="shared" si="8"/>
        <v/>
      </c>
      <c r="M45" s="6" t="str">
        <f t="shared" si="9"/>
        <v>🟢 SOBRE PISO</v>
      </c>
      <c r="N45" cm="1">
        <f t="array" ref="N45">IFERROR(_xlfn.SWITCH(B45,"1 L",1,"5 L",2,"5 L (VECA)",2.5,"20 L",3,"200 L",4,"250 GR",5,"500 GR",6,"1000 L",7),99)</f>
        <v>7</v>
      </c>
    </row>
    <row r="46" spans="1:14" ht="16" thickBot="1" x14ac:dyDescent="0.25">
      <c r="A46" s="5" t="s">
        <v>28</v>
      </c>
      <c r="B46" s="6" t="s">
        <v>18</v>
      </c>
      <c r="C46" s="7">
        <v>3338</v>
      </c>
      <c r="D46" s="8">
        <v>1</v>
      </c>
      <c r="E46" s="9">
        <f>C46/D46</f>
        <v>3338</v>
      </c>
      <c r="F46" s="10">
        <f>E46/(1-$B$3)</f>
        <v>6069.090909090909</v>
      </c>
      <c r="G46" s="12">
        <f t="shared" si="5"/>
        <v>0.45</v>
      </c>
      <c r="H46" s="7"/>
      <c r="I46" s="11">
        <v>6500</v>
      </c>
      <c r="J46" s="12">
        <f t="shared" si="6"/>
        <v>0.48646153846153845</v>
      </c>
      <c r="K46" s="13">
        <f t="shared" si="7"/>
        <v>7.1000599161174377E-2</v>
      </c>
      <c r="L46" s="14" t="str">
        <f t="shared" si="8"/>
        <v/>
      </c>
      <c r="M46" s="6" t="str">
        <f t="shared" si="9"/>
        <v>🟢 SOBRE PISO</v>
      </c>
      <c r="N46" cm="1">
        <f t="array" ref="N46">IFERROR(_xlfn.SWITCH(B46,"1 L",1,"5 L",2,"5 L (VECA)",2.5,"20 L",3,"200 L",4,"250 GR",5,"500 GR",6,"1000 L",7),99)</f>
        <v>1</v>
      </c>
    </row>
    <row r="47" spans="1:14" x14ac:dyDescent="0.2">
      <c r="A47" s="5" t="s">
        <v>28</v>
      </c>
      <c r="B47" s="6" t="s">
        <v>19</v>
      </c>
      <c r="C47" s="7">
        <v>11108</v>
      </c>
      <c r="D47" s="8">
        <v>5</v>
      </c>
      <c r="E47" s="9">
        <f>C47/D47</f>
        <v>2221.6</v>
      </c>
      <c r="F47" s="10">
        <f>E47/(1-$B$3)</f>
        <v>4039.2727272727266</v>
      </c>
      <c r="G47" s="12">
        <f t="shared" si="5"/>
        <v>0.45</v>
      </c>
      <c r="H47" s="7">
        <v>4200</v>
      </c>
      <c r="I47" s="11">
        <v>5800</v>
      </c>
      <c r="J47" s="12">
        <f t="shared" si="6"/>
        <v>0.61696551724137938</v>
      </c>
      <c r="K47" s="13">
        <f t="shared" si="7"/>
        <v>0.4359020525747212</v>
      </c>
      <c r="L47" s="14">
        <f t="shared" si="8"/>
        <v>1600</v>
      </c>
      <c r="M47" s="6" t="str">
        <f t="shared" si="9"/>
        <v>🟢 SOBRE PISO</v>
      </c>
      <c r="N47" cm="1">
        <f t="array" ref="N47">IFERROR(_xlfn.SWITCH(B47,"1 L",1,"5 L",2,"5 L (VECA)",2.5,"20 L",3,"200 L",4,"250 GR",5,"500 GR",6,"1000 L",7),99)</f>
        <v>2</v>
      </c>
    </row>
    <row r="48" spans="1:14" x14ac:dyDescent="0.2">
      <c r="A48" s="5" t="s">
        <v>28</v>
      </c>
      <c r="B48" s="6" t="s">
        <v>20</v>
      </c>
      <c r="C48" s="7">
        <v>30072</v>
      </c>
      <c r="D48" s="8">
        <v>20</v>
      </c>
      <c r="E48" s="9">
        <f>C48/D48</f>
        <v>1503.6</v>
      </c>
      <c r="F48" s="10">
        <f>E48/(1-$B$3)</f>
        <v>2733.8181818181815</v>
      </c>
      <c r="G48" s="12">
        <f t="shared" si="5"/>
        <v>0.45</v>
      </c>
      <c r="H48" s="7">
        <v>4403</v>
      </c>
      <c r="I48" s="11">
        <v>4000</v>
      </c>
      <c r="J48" s="12">
        <f t="shared" si="6"/>
        <v>0.62409999999999999</v>
      </c>
      <c r="K48" s="13">
        <f t="shared" si="7"/>
        <v>0.46315509444001079</v>
      </c>
      <c r="L48" s="14">
        <f t="shared" si="8"/>
        <v>-403</v>
      </c>
      <c r="M48" s="6" t="str">
        <f t="shared" si="9"/>
        <v>🟢 SOBRE PISO</v>
      </c>
      <c r="N48" cm="1">
        <f t="array" ref="N48">IFERROR(_xlfn.SWITCH(B48,"1 L",1,"5 L",2,"5 L (VECA)",2.5,"20 L",3,"200 L",4,"250 GR",5,"500 GR",6,"1000 L",7),99)</f>
        <v>3</v>
      </c>
    </row>
    <row r="49" spans="1:14" ht="16" thickBot="1" x14ac:dyDescent="0.25">
      <c r="A49" s="5" t="s">
        <v>28</v>
      </c>
      <c r="B49" s="6" t="s">
        <v>22</v>
      </c>
      <c r="C49" s="28">
        <v>244610</v>
      </c>
      <c r="D49" s="8">
        <v>200</v>
      </c>
      <c r="E49" s="9">
        <f>IF(C49="","",C49/D49)</f>
        <v>1223.05</v>
      </c>
      <c r="F49" s="10">
        <f>IF(E49="","",E49/(1-$B$3))</f>
        <v>2223.7272727272725</v>
      </c>
      <c r="G49" s="12">
        <f t="shared" si="5"/>
        <v>0.45</v>
      </c>
      <c r="H49" s="28">
        <v>2700</v>
      </c>
      <c r="I49" s="29">
        <v>3200</v>
      </c>
      <c r="J49" s="12">
        <f t="shared" si="6"/>
        <v>0.61779687500000002</v>
      </c>
      <c r="K49" s="13">
        <f t="shared" si="7"/>
        <v>0.43902538735129404</v>
      </c>
      <c r="L49" s="14">
        <f t="shared" si="8"/>
        <v>500</v>
      </c>
      <c r="M49" s="6" t="str">
        <f t="shared" si="9"/>
        <v>🟢 SOBRE PISO</v>
      </c>
      <c r="N49" cm="1">
        <f t="array" ref="N49">IFERROR(_xlfn.SWITCH(B49,"1 L",1,"5 L",2,"5 L (VECA)",2.5,"20 L",3,"200 L",4,"250 GR",5,"500 GR",6,"1000 L",7),99)</f>
        <v>4</v>
      </c>
    </row>
    <row r="50" spans="1:14" ht="16" thickBot="1" x14ac:dyDescent="0.25">
      <c r="A50" s="5" t="s">
        <v>28</v>
      </c>
      <c r="B50" s="6" t="s">
        <v>62</v>
      </c>
      <c r="C50" s="28">
        <v>1159920</v>
      </c>
      <c r="D50" s="8">
        <v>1000</v>
      </c>
      <c r="E50" s="9">
        <f>IF(C50="","",C50/D50)</f>
        <v>1159.92</v>
      </c>
      <c r="F50" s="10">
        <f>IF(E50="","",E50/(1-$B$3))</f>
        <v>2108.9454545454546</v>
      </c>
      <c r="G50" s="12">
        <f t="shared" si="5"/>
        <v>0.45</v>
      </c>
      <c r="H50" s="28"/>
      <c r="I50" s="29">
        <v>2800</v>
      </c>
      <c r="J50" s="12">
        <f t="shared" si="6"/>
        <v>0.58574285714285712</v>
      </c>
      <c r="K50" s="13">
        <f t="shared" si="7"/>
        <v>0.32767777088075034</v>
      </c>
      <c r="L50" s="14" t="str">
        <f t="shared" si="8"/>
        <v/>
      </c>
      <c r="M50" s="6" t="str">
        <f t="shared" si="9"/>
        <v>🟢 SOBRE PISO</v>
      </c>
      <c r="N50" cm="1">
        <f t="array" ref="N50">IFERROR(_xlfn.SWITCH(B50,"1 L",1,"5 L",2,"5 L (VECA)",2.5,"20 L",3,"200 L",4,"250 GR",5,"500 GR",6,"1000 L",7),99)</f>
        <v>7</v>
      </c>
    </row>
    <row r="51" spans="1:14" ht="16" thickBot="1" x14ac:dyDescent="0.25">
      <c r="A51" s="5" t="s">
        <v>29</v>
      </c>
      <c r="B51" s="6" t="s">
        <v>18</v>
      </c>
      <c r="C51" s="7">
        <v>4631</v>
      </c>
      <c r="D51" s="8">
        <v>1</v>
      </c>
      <c r="E51" s="9">
        <f>C51/D51</f>
        <v>4631</v>
      </c>
      <c r="F51" s="10">
        <f>E51/(1-$B$3)</f>
        <v>8420</v>
      </c>
      <c r="G51" s="12">
        <f t="shared" si="5"/>
        <v>0.45</v>
      </c>
      <c r="H51" s="7">
        <v>8670</v>
      </c>
      <c r="I51" s="11">
        <v>8800</v>
      </c>
      <c r="J51" s="12">
        <f t="shared" si="6"/>
        <v>0.47375</v>
      </c>
      <c r="K51" s="13">
        <f t="shared" si="7"/>
        <v>4.5130641330166268E-2</v>
      </c>
      <c r="L51" s="14">
        <f t="shared" si="8"/>
        <v>130</v>
      </c>
      <c r="M51" s="6" t="str">
        <f t="shared" si="9"/>
        <v>🟡 EN PISO</v>
      </c>
      <c r="N51" cm="1">
        <f t="array" ref="N51">IFERROR(_xlfn.SWITCH(B51,"1 L",1,"5 L",2,"5 L (VECA)",2.5,"20 L",3,"200 L",4,"250 GR",5,"500 GR",6,"1000 L",7),99)</f>
        <v>1</v>
      </c>
    </row>
    <row r="52" spans="1:14" x14ac:dyDescent="0.2">
      <c r="A52" s="5" t="s">
        <v>29</v>
      </c>
      <c r="B52" s="6" t="s">
        <v>19</v>
      </c>
      <c r="C52" s="7">
        <v>17574</v>
      </c>
      <c r="D52" s="8">
        <v>5</v>
      </c>
      <c r="E52" s="9">
        <f>C52/D52</f>
        <v>3514.8</v>
      </c>
      <c r="F52" s="10">
        <f>E52/(1-$B$3)</f>
        <v>6390.545454545454</v>
      </c>
      <c r="G52" s="12">
        <f t="shared" si="5"/>
        <v>0.45</v>
      </c>
      <c r="H52" s="7">
        <v>8065</v>
      </c>
      <c r="I52" s="11">
        <v>7800</v>
      </c>
      <c r="J52" s="12">
        <f t="shared" si="6"/>
        <v>0.54938461538461536</v>
      </c>
      <c r="K52" s="13">
        <f t="shared" si="7"/>
        <v>0.22055308979173788</v>
      </c>
      <c r="L52" s="14">
        <f t="shared" si="8"/>
        <v>-265</v>
      </c>
      <c r="M52" s="6" t="str">
        <f t="shared" si="9"/>
        <v>🟢 SOBRE PISO</v>
      </c>
      <c r="N52" cm="1">
        <f t="array" ref="N52">IFERROR(_xlfn.SWITCH(B52,"1 L",1,"5 L",2,"5 L (VECA)",2.5,"20 L",3,"200 L",4,"250 GR",5,"500 GR",6,"1000 L",7),99)</f>
        <v>2</v>
      </c>
    </row>
    <row r="53" spans="1:14" x14ac:dyDescent="0.2">
      <c r="A53" s="5" t="s">
        <v>29</v>
      </c>
      <c r="B53" s="6" t="s">
        <v>20</v>
      </c>
      <c r="C53" s="7">
        <v>55955</v>
      </c>
      <c r="D53" s="8">
        <v>20</v>
      </c>
      <c r="E53" s="9">
        <f>C53/D53</f>
        <v>2797.75</v>
      </c>
      <c r="F53" s="10">
        <f>E53/(1-$B$3)</f>
        <v>5086.8181818181811</v>
      </c>
      <c r="G53" s="12">
        <f t="shared" si="5"/>
        <v>0.45</v>
      </c>
      <c r="H53" s="7">
        <v>7767</v>
      </c>
      <c r="I53" s="11">
        <v>7500</v>
      </c>
      <c r="J53" s="12">
        <f t="shared" si="6"/>
        <v>0.62696666666666667</v>
      </c>
      <c r="K53" s="13">
        <f t="shared" si="7"/>
        <v>0.4743990706817981</v>
      </c>
      <c r="L53" s="14">
        <f t="shared" si="8"/>
        <v>-267</v>
      </c>
      <c r="M53" s="6" t="str">
        <f t="shared" si="9"/>
        <v>🟢 SOBRE PISO</v>
      </c>
      <c r="N53" cm="1">
        <f t="array" ref="N53">IFERROR(_xlfn.SWITCH(B53,"1 L",1,"5 L",2,"5 L (VECA)",2.5,"20 L",3,"200 L",4,"250 GR",5,"500 GR",6,"1000 L",7),99)</f>
        <v>3</v>
      </c>
    </row>
    <row r="54" spans="1:14" ht="16" thickBot="1" x14ac:dyDescent="0.25">
      <c r="A54" s="5" t="s">
        <v>29</v>
      </c>
      <c r="B54" s="6" t="s">
        <v>22</v>
      </c>
      <c r="C54" s="28">
        <v>503237</v>
      </c>
      <c r="D54" s="8">
        <v>200</v>
      </c>
      <c r="E54" s="9">
        <f>IF(C54="","",C54/D54)</f>
        <v>2516.1849999999999</v>
      </c>
      <c r="F54" s="10">
        <f>IF(E54="","",E54/(1-$B$3))</f>
        <v>4574.8818181818178</v>
      </c>
      <c r="G54" s="12">
        <f t="shared" si="5"/>
        <v>0.45</v>
      </c>
      <c r="H54" s="28"/>
      <c r="I54" s="29">
        <v>6000</v>
      </c>
      <c r="J54" s="12">
        <f t="shared" si="6"/>
        <v>0.58063583333333335</v>
      </c>
      <c r="K54" s="13">
        <f t="shared" si="7"/>
        <v>0.31150928886389523</v>
      </c>
      <c r="L54" s="14" t="str">
        <f t="shared" si="8"/>
        <v/>
      </c>
      <c r="M54" s="6" t="str">
        <f t="shared" si="9"/>
        <v>🟢 SOBRE PISO</v>
      </c>
      <c r="N54" cm="1">
        <f t="array" ref="N54">IFERROR(_xlfn.SWITCH(B54,"1 L",1,"5 L",2,"5 L (VECA)",2.5,"20 L",3,"200 L",4,"250 GR",5,"500 GR",6,"1000 L",7),99)</f>
        <v>4</v>
      </c>
    </row>
    <row r="55" spans="1:14" ht="16" thickBot="1" x14ac:dyDescent="0.25">
      <c r="A55" s="5" t="s">
        <v>29</v>
      </c>
      <c r="B55" s="6" t="s">
        <v>62</v>
      </c>
      <c r="C55" s="28">
        <v>2453056</v>
      </c>
      <c r="D55" s="8">
        <v>1000</v>
      </c>
      <c r="E55" s="9">
        <f>IF(C55="","",C55/D55)</f>
        <v>2453.056</v>
      </c>
      <c r="F55" s="10">
        <f>IF(E55="","",E55/(1-$B$3))</f>
        <v>4460.1018181818181</v>
      </c>
      <c r="G55" s="12">
        <f t="shared" si="5"/>
        <v>0.45</v>
      </c>
      <c r="H55" s="28"/>
      <c r="I55" s="29">
        <v>5000</v>
      </c>
      <c r="J55" s="12">
        <f t="shared" si="6"/>
        <v>0.50938879999999997</v>
      </c>
      <c r="K55" s="13">
        <f t="shared" si="7"/>
        <v>0.12105064050718779</v>
      </c>
      <c r="L55" s="14" t="str">
        <f t="shared" si="8"/>
        <v/>
      </c>
      <c r="M55" s="6" t="str">
        <f t="shared" si="9"/>
        <v>🟢 SOBRE PISO</v>
      </c>
      <c r="N55" cm="1">
        <f t="array" ref="N55">IFERROR(_xlfn.SWITCH(B55,"1 L",1,"5 L",2,"5 L (VECA)",2.5,"20 L",3,"200 L",4,"250 GR",5,"500 GR",6,"1000 L",7),99)</f>
        <v>7</v>
      </c>
    </row>
    <row r="56" spans="1:14" ht="16" thickBot="1" x14ac:dyDescent="0.25">
      <c r="A56" s="5" t="s">
        <v>30</v>
      </c>
      <c r="B56" s="6" t="s">
        <v>18</v>
      </c>
      <c r="C56" s="7">
        <v>3090</v>
      </c>
      <c r="D56" s="8">
        <v>1</v>
      </c>
      <c r="E56" s="9">
        <f>C56/D56</f>
        <v>3090</v>
      </c>
      <c r="F56" s="10">
        <f>E56/(1-$B$3)</f>
        <v>5618.181818181818</v>
      </c>
      <c r="G56" s="12">
        <f t="shared" si="5"/>
        <v>0.45</v>
      </c>
      <c r="H56" s="7">
        <v>5838</v>
      </c>
      <c r="I56" s="11">
        <v>6000</v>
      </c>
      <c r="J56" s="12">
        <f t="shared" si="6"/>
        <v>0.48499999999999999</v>
      </c>
      <c r="K56" s="13">
        <f t="shared" si="7"/>
        <v>6.7961165048543715E-2</v>
      </c>
      <c r="L56" s="14">
        <f t="shared" si="8"/>
        <v>162</v>
      </c>
      <c r="M56" s="6" t="str">
        <f t="shared" si="9"/>
        <v>🟢 SOBRE PISO</v>
      </c>
      <c r="N56" cm="1">
        <f t="array" ref="N56">IFERROR(_xlfn.SWITCH(B56,"1 L",1,"5 L",2,"5 L (VECA)",2.5,"20 L",3,"200 L",4,"250 GR",5,"500 GR",6,"1000 L",7),99)</f>
        <v>1</v>
      </c>
    </row>
    <row r="57" spans="1:14" x14ac:dyDescent="0.2">
      <c r="A57" s="5" t="s">
        <v>30</v>
      </c>
      <c r="B57" s="6" t="s">
        <v>19</v>
      </c>
      <c r="C57" s="7">
        <v>9868</v>
      </c>
      <c r="D57" s="8">
        <v>5</v>
      </c>
      <c r="E57" s="9">
        <f>C57/D57</f>
        <v>1973.6</v>
      </c>
      <c r="F57" s="10">
        <f>E57/(1-$B$3)</f>
        <v>3588.363636363636</v>
      </c>
      <c r="G57" s="12">
        <f t="shared" si="5"/>
        <v>0.45</v>
      </c>
      <c r="H57" s="7">
        <v>5040</v>
      </c>
      <c r="I57" s="11">
        <v>5000</v>
      </c>
      <c r="J57" s="12">
        <f t="shared" si="6"/>
        <v>0.60528000000000004</v>
      </c>
      <c r="K57" s="13">
        <f t="shared" si="7"/>
        <v>0.3933927847588165</v>
      </c>
      <c r="L57" s="14">
        <f t="shared" si="8"/>
        <v>-40</v>
      </c>
      <c r="M57" s="6" t="str">
        <f t="shared" si="9"/>
        <v>🟢 SOBRE PISO</v>
      </c>
      <c r="N57" cm="1">
        <f t="array" ref="N57">IFERROR(_xlfn.SWITCH(B57,"1 L",1,"5 L",2,"5 L (VECA)",2.5,"20 L",3,"200 L",4,"250 GR",5,"500 GR",6,"1000 L",7),99)</f>
        <v>2</v>
      </c>
    </row>
    <row r="58" spans="1:14" x14ac:dyDescent="0.2">
      <c r="A58" s="5" t="s">
        <v>30</v>
      </c>
      <c r="B58" s="6" t="s">
        <v>20</v>
      </c>
      <c r="C58" s="7">
        <v>25134</v>
      </c>
      <c r="D58" s="8">
        <v>20</v>
      </c>
      <c r="E58" s="9">
        <f>C58/D58</f>
        <v>1256.7</v>
      </c>
      <c r="F58" s="10">
        <f>E58/(1-$B$3)</f>
        <v>2284.909090909091</v>
      </c>
      <c r="G58" s="12">
        <f t="shared" si="5"/>
        <v>0.45</v>
      </c>
      <c r="H58" s="7">
        <v>4001</v>
      </c>
      <c r="I58" s="11">
        <v>4000</v>
      </c>
      <c r="J58" s="12">
        <f t="shared" si="6"/>
        <v>0.68582500000000002</v>
      </c>
      <c r="K58" s="13">
        <f t="shared" si="7"/>
        <v>0.75061669451738677</v>
      </c>
      <c r="L58" s="14">
        <f t="shared" si="8"/>
        <v>-1</v>
      </c>
      <c r="M58" s="6" t="str">
        <f t="shared" si="9"/>
        <v>🟢 SOBRE PISO</v>
      </c>
      <c r="N58" cm="1">
        <f t="array" ref="N58">IFERROR(_xlfn.SWITCH(B58,"1 L",1,"5 L",2,"5 L (VECA)",2.5,"20 L",3,"200 L",4,"250 GR",5,"500 GR",6,"1000 L",7),99)</f>
        <v>3</v>
      </c>
    </row>
    <row r="59" spans="1:14" ht="16" thickBot="1" x14ac:dyDescent="0.25">
      <c r="A59" s="5" t="s">
        <v>30</v>
      </c>
      <c r="B59" s="6" t="s">
        <v>22</v>
      </c>
      <c r="C59" s="28">
        <v>195025</v>
      </c>
      <c r="D59" s="8">
        <v>200</v>
      </c>
      <c r="E59" s="9">
        <f>IF(C59="","",C59/D59)</f>
        <v>975.125</v>
      </c>
      <c r="F59" s="10">
        <f>IF(E59="","",E59/(1-$B$3))</f>
        <v>1772.9545454545453</v>
      </c>
      <c r="G59" s="12">
        <f t="shared" si="5"/>
        <v>0.45</v>
      </c>
      <c r="H59" s="28"/>
      <c r="I59" s="29">
        <v>3000</v>
      </c>
      <c r="J59" s="12">
        <f t="shared" si="6"/>
        <v>0.67495833333333333</v>
      </c>
      <c r="K59" s="13">
        <f t="shared" si="7"/>
        <v>0.69209075759518024</v>
      </c>
      <c r="L59" s="14" t="str">
        <f t="shared" si="8"/>
        <v/>
      </c>
      <c r="M59" s="6" t="str">
        <f t="shared" si="9"/>
        <v>🟢 SOBRE PISO</v>
      </c>
      <c r="N59" cm="1">
        <f t="array" ref="N59">IFERROR(_xlfn.SWITCH(B59,"1 L",1,"5 L",2,"5 L (VECA)",2.5,"20 L",3,"200 L",4,"250 GR",5,"500 GR",6,"1000 L",7),99)</f>
        <v>4</v>
      </c>
    </row>
    <row r="60" spans="1:14" ht="16" thickBot="1" x14ac:dyDescent="0.25">
      <c r="A60" s="5" t="s">
        <v>30</v>
      </c>
      <c r="B60" s="6" t="s">
        <v>62</v>
      </c>
      <c r="C60" s="28">
        <v>911997</v>
      </c>
      <c r="D60" s="8">
        <v>1000</v>
      </c>
      <c r="E60" s="9">
        <f>IF(C60="","",C60/D60)</f>
        <v>911.99699999999996</v>
      </c>
      <c r="F60" s="10">
        <f>IF(E60="","",E60/(1-$B$3))</f>
        <v>1658.1763636363635</v>
      </c>
      <c r="G60" s="12">
        <f t="shared" si="5"/>
        <v>0.45</v>
      </c>
      <c r="H60" s="28"/>
      <c r="I60" s="29">
        <v>2000</v>
      </c>
      <c r="J60" s="12">
        <f t="shared" si="6"/>
        <v>0.54400150000000003</v>
      </c>
      <c r="K60" s="13">
        <f t="shared" si="7"/>
        <v>0.20614431845718803</v>
      </c>
      <c r="L60" s="14" t="str">
        <f t="shared" si="8"/>
        <v/>
      </c>
      <c r="M60" s="6" t="str">
        <f t="shared" si="9"/>
        <v>🟢 SOBRE PISO</v>
      </c>
      <c r="N60" cm="1">
        <f t="array" ref="N60">IFERROR(_xlfn.SWITCH(B60,"1 L",1,"5 L",2,"5 L (VECA)",2.5,"20 L",3,"200 L",4,"250 GR",5,"500 GR",6,"1000 L",7),99)</f>
        <v>7</v>
      </c>
    </row>
    <row r="61" spans="1:14" ht="16" thickBot="1" x14ac:dyDescent="0.25">
      <c r="A61" s="5" t="s">
        <v>31</v>
      </c>
      <c r="B61" s="6" t="s">
        <v>18</v>
      </c>
      <c r="C61" s="7">
        <v>3110</v>
      </c>
      <c r="D61" s="8">
        <v>1</v>
      </c>
      <c r="E61" s="9">
        <f>C61/D61</f>
        <v>3110</v>
      </c>
      <c r="F61" s="10">
        <f>E61/(1-$B$3)</f>
        <v>5654.545454545454</v>
      </c>
      <c r="G61" s="12">
        <f t="shared" si="5"/>
        <v>0.45</v>
      </c>
      <c r="H61" s="7">
        <v>5806</v>
      </c>
      <c r="I61" s="11">
        <v>6000</v>
      </c>
      <c r="J61" s="12">
        <f t="shared" si="6"/>
        <v>0.48166666666666669</v>
      </c>
      <c r="K61" s="13">
        <f t="shared" si="7"/>
        <v>6.1093247588424528E-2</v>
      </c>
      <c r="L61" s="14">
        <f t="shared" si="8"/>
        <v>194</v>
      </c>
      <c r="M61" s="6" t="str">
        <f t="shared" si="9"/>
        <v>🟢 SOBRE PISO</v>
      </c>
      <c r="N61" cm="1">
        <f t="array" ref="N61">IFERROR(_xlfn.SWITCH(B61,"1 L",1,"5 L",2,"5 L (VECA)",2.5,"20 L",3,"200 L",4,"250 GR",5,"500 GR",6,"1000 L",7),99)</f>
        <v>1</v>
      </c>
    </row>
    <row r="62" spans="1:14" x14ac:dyDescent="0.2">
      <c r="A62" s="5" t="s">
        <v>31</v>
      </c>
      <c r="B62" s="6" t="s">
        <v>19</v>
      </c>
      <c r="C62" s="7">
        <v>9971</v>
      </c>
      <c r="D62" s="8">
        <v>5</v>
      </c>
      <c r="E62" s="9">
        <f>C62/D62</f>
        <v>1994.2</v>
      </c>
      <c r="F62" s="10">
        <f>E62/(1-$B$3)</f>
        <v>3625.8181818181815</v>
      </c>
      <c r="G62" s="12">
        <f t="shared" si="5"/>
        <v>0.45</v>
      </c>
      <c r="H62" s="7">
        <v>4193</v>
      </c>
      <c r="I62" s="11">
        <v>5000</v>
      </c>
      <c r="J62" s="12">
        <f t="shared" si="6"/>
        <v>0.60116000000000003</v>
      </c>
      <c r="K62" s="13">
        <f t="shared" si="7"/>
        <v>0.37899909738240911</v>
      </c>
      <c r="L62" s="14">
        <f t="shared" si="8"/>
        <v>807</v>
      </c>
      <c r="M62" s="6" t="str">
        <f t="shared" si="9"/>
        <v>🟢 SOBRE PISO</v>
      </c>
      <c r="N62" cm="1">
        <f t="array" ref="N62">IFERROR(_xlfn.SWITCH(B62,"1 L",1,"5 L",2,"5 L (VECA)",2.5,"20 L",3,"200 L",4,"250 GR",5,"500 GR",6,"1000 L",7),99)</f>
        <v>2</v>
      </c>
    </row>
    <row r="63" spans="1:14" x14ac:dyDescent="0.2">
      <c r="A63" s="5" t="s">
        <v>31</v>
      </c>
      <c r="B63" s="6" t="s">
        <v>20</v>
      </c>
      <c r="C63" s="7">
        <v>25543</v>
      </c>
      <c r="D63" s="8">
        <v>20</v>
      </c>
      <c r="E63" s="9">
        <f>C63/D63</f>
        <v>1277.1500000000001</v>
      </c>
      <c r="F63" s="10">
        <f>E63/(1-$B$3)</f>
        <v>2322.090909090909</v>
      </c>
      <c r="G63" s="12">
        <f t="shared" si="5"/>
        <v>0.45</v>
      </c>
      <c r="H63" s="7">
        <v>4177</v>
      </c>
      <c r="I63" s="11">
        <v>4000</v>
      </c>
      <c r="J63" s="12">
        <f t="shared" si="6"/>
        <v>0.68071249999999994</v>
      </c>
      <c r="K63" s="13">
        <f t="shared" si="7"/>
        <v>0.72258544415299697</v>
      </c>
      <c r="L63" s="14">
        <f t="shared" si="8"/>
        <v>-177</v>
      </c>
      <c r="M63" s="6" t="str">
        <f t="shared" si="9"/>
        <v>🟢 SOBRE PISO</v>
      </c>
      <c r="N63" cm="1">
        <f t="array" ref="N63">IFERROR(_xlfn.SWITCH(B63,"1 L",1,"5 L",2,"5 L (VECA)",2.5,"20 L",3,"200 L",4,"250 GR",5,"500 GR",6,"1000 L",7),99)</f>
        <v>3</v>
      </c>
    </row>
    <row r="64" spans="1:14" ht="16" thickBot="1" x14ac:dyDescent="0.25">
      <c r="A64" s="5" t="s">
        <v>31</v>
      </c>
      <c r="B64" s="6" t="s">
        <v>22</v>
      </c>
      <c r="C64" s="28">
        <v>199124</v>
      </c>
      <c r="D64" s="8">
        <v>200</v>
      </c>
      <c r="E64" s="9">
        <f>IF(C64="","",C64/D64)</f>
        <v>995.62</v>
      </c>
      <c r="F64" s="10">
        <f>IF(E64="","",E64/(1-$B$3))</f>
        <v>1810.2181818181816</v>
      </c>
      <c r="G64" s="12">
        <f t="shared" si="5"/>
        <v>0.45</v>
      </c>
      <c r="H64" s="28"/>
      <c r="I64" s="29">
        <v>3000</v>
      </c>
      <c r="J64" s="12">
        <f t="shared" si="6"/>
        <v>0.66812666666666676</v>
      </c>
      <c r="K64" s="13">
        <f t="shared" si="7"/>
        <v>0.65725879351559846</v>
      </c>
      <c r="L64" s="14" t="str">
        <f t="shared" si="8"/>
        <v/>
      </c>
      <c r="M64" s="6" t="str">
        <f t="shared" si="9"/>
        <v>🟢 SOBRE PISO</v>
      </c>
      <c r="N64" cm="1">
        <f t="array" ref="N64">IFERROR(_xlfn.SWITCH(B64,"1 L",1,"5 L",2,"5 L (VECA)",2.5,"20 L",3,"200 L",4,"250 GR",5,"500 GR",6,"1000 L",7),99)</f>
        <v>4</v>
      </c>
    </row>
    <row r="65" spans="1:14" ht="16" thickBot="1" x14ac:dyDescent="0.25">
      <c r="A65" s="5" t="s">
        <v>31</v>
      </c>
      <c r="B65" s="6" t="s">
        <v>62</v>
      </c>
      <c r="C65" s="28">
        <v>932488</v>
      </c>
      <c r="D65" s="8">
        <v>1000</v>
      </c>
      <c r="E65" s="9">
        <f>IF(C65="","",C65/D65)</f>
        <v>932.48800000000006</v>
      </c>
      <c r="F65" s="10">
        <f>IF(E65="","",E65/(1-$B$3))</f>
        <v>1695.4327272727273</v>
      </c>
      <c r="G65" s="12">
        <f t="shared" si="5"/>
        <v>0.45</v>
      </c>
      <c r="H65" s="28"/>
      <c r="I65" s="29">
        <v>2000</v>
      </c>
      <c r="J65" s="12">
        <f t="shared" si="6"/>
        <v>0.53375600000000001</v>
      </c>
      <c r="K65" s="13">
        <f t="shared" si="7"/>
        <v>0.17963984523125226</v>
      </c>
      <c r="L65" s="14" t="str">
        <f t="shared" si="8"/>
        <v/>
      </c>
      <c r="M65" s="6" t="str">
        <f t="shared" si="9"/>
        <v>🟢 SOBRE PISO</v>
      </c>
      <c r="N65" cm="1">
        <f t="array" ref="N65">IFERROR(_xlfn.SWITCH(B65,"1 L",1,"5 L",2,"5 L (VECA)",2.5,"20 L",3,"200 L",4,"250 GR",5,"500 GR",6,"1000 L",7),99)</f>
        <v>7</v>
      </c>
    </row>
    <row r="66" spans="1:14" ht="16" thickBot="1" x14ac:dyDescent="0.25">
      <c r="A66" s="5" t="s">
        <v>32</v>
      </c>
      <c r="B66" s="6" t="s">
        <v>18</v>
      </c>
      <c r="C66" s="7">
        <v>3194</v>
      </c>
      <c r="D66" s="8">
        <v>1</v>
      </c>
      <c r="E66" s="9">
        <f>C66/D66</f>
        <v>3194</v>
      </c>
      <c r="F66" s="10">
        <f>E66/(1-$B$3)</f>
        <v>5807.272727272727</v>
      </c>
      <c r="G66" s="12">
        <f t="shared" si="5"/>
        <v>0.45</v>
      </c>
      <c r="H66" s="7">
        <v>6557</v>
      </c>
      <c r="I66" s="11">
        <v>7500</v>
      </c>
      <c r="J66" s="12">
        <f t="shared" si="6"/>
        <v>0.57413333333333338</v>
      </c>
      <c r="K66" s="13">
        <f t="shared" si="7"/>
        <v>0.29148403256105204</v>
      </c>
      <c r="L66" s="14">
        <f t="shared" si="8"/>
        <v>943</v>
      </c>
      <c r="M66" s="6" t="str">
        <f t="shared" si="9"/>
        <v>🟢 SOBRE PISO</v>
      </c>
      <c r="N66" cm="1">
        <f t="array" ref="N66">IFERROR(_xlfn.SWITCH(B66,"1 L",1,"5 L",2,"5 L (VECA)",2.5,"20 L",3,"200 L",4,"250 GR",5,"500 GR",6,"1000 L",7),99)</f>
        <v>1</v>
      </c>
    </row>
    <row r="67" spans="1:14" x14ac:dyDescent="0.2">
      <c r="A67" s="5" t="s">
        <v>32</v>
      </c>
      <c r="B67" s="6" t="s">
        <v>19</v>
      </c>
      <c r="C67" s="7">
        <v>10388</v>
      </c>
      <c r="D67" s="8">
        <v>5</v>
      </c>
      <c r="E67" s="9">
        <f>C67/D67</f>
        <v>2077.6</v>
      </c>
      <c r="F67" s="10">
        <f>E67/(1-$B$3)</f>
        <v>3777.454545454545</v>
      </c>
      <c r="G67" s="12">
        <f t="shared" si="5"/>
        <v>0.45</v>
      </c>
      <c r="H67" s="7">
        <v>5340</v>
      </c>
      <c r="I67" s="11">
        <v>6000</v>
      </c>
      <c r="J67" s="12">
        <f t="shared" si="6"/>
        <v>0.65373333333333339</v>
      </c>
      <c r="K67" s="13">
        <f t="shared" si="7"/>
        <v>0.58837119753561817</v>
      </c>
      <c r="L67" s="14">
        <f t="shared" si="8"/>
        <v>660</v>
      </c>
      <c r="M67" s="6" t="str">
        <f t="shared" si="9"/>
        <v>🟢 SOBRE PISO</v>
      </c>
      <c r="N67" cm="1">
        <f t="array" ref="N67">IFERROR(_xlfn.SWITCH(B67,"1 L",1,"5 L",2,"5 L (VECA)",2.5,"20 L",3,"200 L",4,"250 GR",5,"500 GR",6,"1000 L",7),99)</f>
        <v>2</v>
      </c>
    </row>
    <row r="68" spans="1:14" x14ac:dyDescent="0.2">
      <c r="A68" s="5" t="s">
        <v>32</v>
      </c>
      <c r="B68" s="6" t="s">
        <v>20</v>
      </c>
      <c r="C68" s="7">
        <v>27211</v>
      </c>
      <c r="D68" s="8">
        <v>20</v>
      </c>
      <c r="E68" s="9">
        <f>C68/D68</f>
        <v>1360.55</v>
      </c>
      <c r="F68" s="10">
        <f>E68/(1-$B$3)</f>
        <v>2473.7272727272725</v>
      </c>
      <c r="G68" s="12">
        <f t="shared" si="5"/>
        <v>0.45</v>
      </c>
      <c r="H68" s="7">
        <v>5270</v>
      </c>
      <c r="I68" s="11">
        <v>5000</v>
      </c>
      <c r="J68" s="12">
        <f t="shared" si="6"/>
        <v>0.72788999999999993</v>
      </c>
      <c r="K68" s="13">
        <f t="shared" si="7"/>
        <v>1.0212414097240088</v>
      </c>
      <c r="L68" s="14">
        <f t="shared" si="8"/>
        <v>-270</v>
      </c>
      <c r="M68" s="6" t="str">
        <f t="shared" si="9"/>
        <v>🟢 SOBRE PISO</v>
      </c>
      <c r="N68" cm="1">
        <f t="array" ref="N68">IFERROR(_xlfn.SWITCH(B68,"1 L",1,"5 L",2,"5 L (VECA)",2.5,"20 L",3,"200 L",4,"250 GR",5,"500 GR",6,"1000 L",7),99)</f>
        <v>3</v>
      </c>
    </row>
    <row r="69" spans="1:14" ht="16" thickBot="1" x14ac:dyDescent="0.25">
      <c r="A69" s="5" t="s">
        <v>32</v>
      </c>
      <c r="B69" s="6" t="s">
        <v>22</v>
      </c>
      <c r="C69" s="28">
        <v>215805</v>
      </c>
      <c r="D69" s="8">
        <v>200</v>
      </c>
      <c r="E69" s="9">
        <f>IF(C69="","",C69/D69)</f>
        <v>1079.0250000000001</v>
      </c>
      <c r="F69" s="10">
        <f>IF(E69="","",E69/(1-$B$3))</f>
        <v>1961.8636363636363</v>
      </c>
      <c r="G69" s="12">
        <f t="shared" si="5"/>
        <v>0.45</v>
      </c>
      <c r="H69" s="28"/>
      <c r="I69" s="29">
        <v>4000</v>
      </c>
      <c r="J69" s="12">
        <f t="shared" si="6"/>
        <v>0.73024374999999997</v>
      </c>
      <c r="K69" s="13">
        <f t="shared" si="7"/>
        <v>1.0388776905076342</v>
      </c>
      <c r="L69" s="14" t="str">
        <f t="shared" si="8"/>
        <v/>
      </c>
      <c r="M69" s="6" t="str">
        <f t="shared" si="9"/>
        <v>🟢 SOBRE PISO</v>
      </c>
      <c r="N69" cm="1">
        <f t="array" ref="N69">IFERROR(_xlfn.SWITCH(B69,"1 L",1,"5 L",2,"5 L (VECA)",2.5,"20 L",3,"200 L",4,"250 GR",5,"500 GR",6,"1000 L",7),99)</f>
        <v>4</v>
      </c>
    </row>
    <row r="70" spans="1:14" ht="16" thickBot="1" x14ac:dyDescent="0.25">
      <c r="A70" s="5" t="s">
        <v>32</v>
      </c>
      <c r="B70" s="6" t="s">
        <v>62</v>
      </c>
      <c r="C70" s="28">
        <v>1015893</v>
      </c>
      <c r="D70" s="8">
        <v>1000</v>
      </c>
      <c r="E70" s="9">
        <f>IF(C70="","",C70/D70)</f>
        <v>1015.893</v>
      </c>
      <c r="F70" s="10">
        <f>IF(E70="","",E70/(1-$B$3))</f>
        <v>1847.0781818181817</v>
      </c>
      <c r="G70" s="12">
        <f t="shared" ref="G70:G101" si="10">$B$3</f>
        <v>0.45</v>
      </c>
      <c r="H70" s="28"/>
      <c r="I70" s="29">
        <v>3000</v>
      </c>
      <c r="J70" s="12">
        <f t="shared" ref="J70:J101" si="11">IF(I70="","",(I70-E70)/I70)</f>
        <v>0.66136899999999998</v>
      </c>
      <c r="K70" s="13">
        <f t="shared" ref="K70:K101" si="12">IF(I70="","",(I70-F70)/F70)</f>
        <v>0.62418679920030951</v>
      </c>
      <c r="L70" s="14" t="str">
        <f t="shared" ref="L70:L101" si="13">IF(OR(I70="",H70=""),"",I70-H70)</f>
        <v/>
      </c>
      <c r="M70" s="6" t="str">
        <f t="shared" ref="M70:M101" si="14">IF(I70="","⚪ SIN PROPUESTA",IF(I70&lt;F70*0.95,"🔴 BAJO PISO",IF(I70&gt;F70*1.05,"🟢 SOBRE PISO","🟡 EN PISO")))</f>
        <v>🟢 SOBRE PISO</v>
      </c>
      <c r="N70" cm="1">
        <f t="array" ref="N70">IFERROR(_xlfn.SWITCH(B70,"1 L",1,"5 L",2,"5 L (VECA)",2.5,"20 L",3,"200 L",4,"250 GR",5,"500 GR",6,"1000 L",7),99)</f>
        <v>7</v>
      </c>
    </row>
    <row r="71" spans="1:14" ht="16" thickBot="1" x14ac:dyDescent="0.25">
      <c r="A71" s="5" t="s">
        <v>33</v>
      </c>
      <c r="B71" s="6" t="s">
        <v>18</v>
      </c>
      <c r="C71" s="7">
        <v>3154</v>
      </c>
      <c r="D71" s="8">
        <v>1</v>
      </c>
      <c r="E71" s="9">
        <f>C71/D71</f>
        <v>3154</v>
      </c>
      <c r="F71" s="10">
        <f>E71/(1-$B$3)</f>
        <v>5734.545454545454</v>
      </c>
      <c r="G71" s="12">
        <f t="shared" si="10"/>
        <v>0.45</v>
      </c>
      <c r="H71" s="7">
        <v>8150</v>
      </c>
      <c r="I71" s="11">
        <v>8000</v>
      </c>
      <c r="J71" s="12">
        <f t="shared" si="11"/>
        <v>0.60575000000000001</v>
      </c>
      <c r="K71" s="13">
        <f t="shared" si="12"/>
        <v>0.39505389980976552</v>
      </c>
      <c r="L71" s="14">
        <f t="shared" si="13"/>
        <v>-150</v>
      </c>
      <c r="M71" s="6" t="str">
        <f t="shared" si="14"/>
        <v>🟢 SOBRE PISO</v>
      </c>
      <c r="N71" cm="1">
        <f t="array" ref="N71">IFERROR(_xlfn.SWITCH(B71,"1 L",1,"5 L",2,"5 L (VECA)",2.5,"20 L",3,"200 L",4,"250 GR",5,"500 GR",6,"1000 L",7),99)</f>
        <v>1</v>
      </c>
    </row>
    <row r="72" spans="1:14" x14ac:dyDescent="0.2">
      <c r="A72" s="5" t="s">
        <v>33</v>
      </c>
      <c r="B72" s="6" t="s">
        <v>19</v>
      </c>
      <c r="C72" s="7">
        <v>10190</v>
      </c>
      <c r="D72" s="8">
        <v>5</v>
      </c>
      <c r="E72" s="9">
        <f>C72/D72</f>
        <v>2038</v>
      </c>
      <c r="F72" s="10">
        <f>E72/(1-$B$3)</f>
        <v>3705.454545454545</v>
      </c>
      <c r="G72" s="12">
        <f t="shared" si="10"/>
        <v>0.45</v>
      </c>
      <c r="H72" s="7">
        <v>3540</v>
      </c>
      <c r="I72" s="11">
        <v>6800</v>
      </c>
      <c r="J72" s="12">
        <f t="shared" si="11"/>
        <v>0.70029411764705884</v>
      </c>
      <c r="K72" s="13">
        <f t="shared" si="12"/>
        <v>0.83513248282630048</v>
      </c>
      <c r="L72" s="14">
        <f t="shared" si="13"/>
        <v>3260</v>
      </c>
      <c r="M72" s="6" t="str">
        <f t="shared" si="14"/>
        <v>🟢 SOBRE PISO</v>
      </c>
      <c r="N72" cm="1">
        <f t="array" ref="N72">IFERROR(_xlfn.SWITCH(B72,"1 L",1,"5 L",2,"5 L (VECA)",2.5,"20 L",3,"200 L",4,"250 GR",5,"500 GR",6,"1000 L",7),99)</f>
        <v>2</v>
      </c>
    </row>
    <row r="73" spans="1:14" x14ac:dyDescent="0.2">
      <c r="A73" s="5" t="s">
        <v>33</v>
      </c>
      <c r="B73" s="6" t="s">
        <v>20</v>
      </c>
      <c r="C73" s="28">
        <v>26419</v>
      </c>
      <c r="D73" s="8">
        <v>20</v>
      </c>
      <c r="E73" s="9">
        <f>IF(C73="","",C73/D73)</f>
        <v>1320.95</v>
      </c>
      <c r="F73" s="10">
        <f>IF(E73="","",E73/(1-$B$3))</f>
        <v>2401.7272727272725</v>
      </c>
      <c r="G73" s="12">
        <f t="shared" si="10"/>
        <v>0.45</v>
      </c>
      <c r="H73" s="28"/>
      <c r="I73" s="29">
        <v>5000</v>
      </c>
      <c r="J73" s="12">
        <f t="shared" si="11"/>
        <v>0.73581000000000008</v>
      </c>
      <c r="K73" s="13">
        <f t="shared" si="12"/>
        <v>1.0818350429615051</v>
      </c>
      <c r="L73" s="14" t="str">
        <f t="shared" si="13"/>
        <v/>
      </c>
      <c r="M73" s="6" t="str">
        <f t="shared" si="14"/>
        <v>🟢 SOBRE PISO</v>
      </c>
      <c r="N73" cm="1">
        <f t="array" ref="N73">IFERROR(_xlfn.SWITCH(B73,"1 L",1,"5 L",2,"5 L (VECA)",2.5,"20 L",3,"200 L",4,"250 GR",5,"500 GR",6,"1000 L",7),99)</f>
        <v>3</v>
      </c>
    </row>
    <row r="74" spans="1:14" ht="16" thickBot="1" x14ac:dyDescent="0.25">
      <c r="A74" s="5" t="s">
        <v>33</v>
      </c>
      <c r="B74" s="6" t="s">
        <v>22</v>
      </c>
      <c r="C74" s="28">
        <v>207883</v>
      </c>
      <c r="D74" s="8">
        <v>200</v>
      </c>
      <c r="E74" s="9">
        <f>IF(C74="","",C74/D74)</f>
        <v>1039.415</v>
      </c>
      <c r="F74" s="10">
        <f>IF(E74="","",E74/(1-$B$3))</f>
        <v>1889.8454545454542</v>
      </c>
      <c r="G74" s="12">
        <f t="shared" si="10"/>
        <v>0.45</v>
      </c>
      <c r="H74" s="28"/>
      <c r="I74" s="29">
        <v>4000</v>
      </c>
      <c r="J74" s="12">
        <f t="shared" si="11"/>
        <v>0.74014625000000001</v>
      </c>
      <c r="K74" s="13">
        <f t="shared" si="12"/>
        <v>1.1165751889283879</v>
      </c>
      <c r="L74" s="14" t="str">
        <f t="shared" si="13"/>
        <v/>
      </c>
      <c r="M74" s="6" t="str">
        <f t="shared" si="14"/>
        <v>🟢 SOBRE PISO</v>
      </c>
      <c r="N74" cm="1">
        <f t="array" ref="N74">IFERROR(_xlfn.SWITCH(B74,"1 L",1,"5 L",2,"5 L (VECA)",2.5,"20 L",3,"200 L",4,"250 GR",5,"500 GR",6,"1000 L",7),99)</f>
        <v>4</v>
      </c>
    </row>
    <row r="75" spans="1:14" ht="16" thickBot="1" x14ac:dyDescent="0.25">
      <c r="A75" s="5" t="s">
        <v>33</v>
      </c>
      <c r="B75" s="6" t="s">
        <v>62</v>
      </c>
      <c r="C75" s="28">
        <v>976283</v>
      </c>
      <c r="D75" s="8">
        <v>1000</v>
      </c>
      <c r="E75" s="9">
        <f>IF(C75="","",C75/D75)</f>
        <v>976.28300000000002</v>
      </c>
      <c r="F75" s="10">
        <f>IF(E75="","",E75/(1-$B$3))</f>
        <v>1775.06</v>
      </c>
      <c r="G75" s="12">
        <f t="shared" si="10"/>
        <v>0.45</v>
      </c>
      <c r="H75" s="28"/>
      <c r="I75" s="29">
        <v>3000</v>
      </c>
      <c r="J75" s="12">
        <f t="shared" si="11"/>
        <v>0.67457233333333333</v>
      </c>
      <c r="K75" s="13">
        <f t="shared" si="12"/>
        <v>0.69008371548004022</v>
      </c>
      <c r="L75" s="14" t="str">
        <f t="shared" si="13"/>
        <v/>
      </c>
      <c r="M75" s="6" t="str">
        <f t="shared" si="14"/>
        <v>🟢 SOBRE PISO</v>
      </c>
      <c r="N75" cm="1">
        <f t="array" ref="N75">IFERROR(_xlfn.SWITCH(B75,"1 L",1,"5 L",2,"5 L (VECA)",2.5,"20 L",3,"200 L",4,"250 GR",5,"500 GR",6,"1000 L",7),99)</f>
        <v>7</v>
      </c>
    </row>
    <row r="76" spans="1:14" ht="16" thickBot="1" x14ac:dyDescent="0.25">
      <c r="A76" s="5" t="s">
        <v>52</v>
      </c>
      <c r="B76" s="6" t="s">
        <v>18</v>
      </c>
      <c r="C76" s="7">
        <v>3931</v>
      </c>
      <c r="D76" s="8">
        <v>1</v>
      </c>
      <c r="E76" s="9">
        <f>C76/D76</f>
        <v>3931</v>
      </c>
      <c r="F76" s="10">
        <f>E76/(1-$B$3)</f>
        <v>7147.272727272727</v>
      </c>
      <c r="G76" s="12">
        <f t="shared" si="10"/>
        <v>0.45</v>
      </c>
      <c r="H76" s="7"/>
      <c r="I76" s="11">
        <v>8000</v>
      </c>
      <c r="J76" s="12">
        <f t="shared" si="11"/>
        <v>0.50862499999999999</v>
      </c>
      <c r="K76" s="13">
        <f t="shared" si="12"/>
        <v>0.11930806410582553</v>
      </c>
      <c r="L76" s="14" t="str">
        <f t="shared" si="13"/>
        <v/>
      </c>
      <c r="M76" s="6" t="str">
        <f t="shared" si="14"/>
        <v>🟢 SOBRE PISO</v>
      </c>
      <c r="N76" cm="1">
        <f t="array" ref="N76">IFERROR(_xlfn.SWITCH(B76,"1 L",1,"5 L",2,"5 L (VECA)",2.5,"20 L",3,"200 L",4,"250 GR",5,"500 GR",6,"1000 L",7),99)</f>
        <v>1</v>
      </c>
    </row>
    <row r="77" spans="1:14" x14ac:dyDescent="0.2">
      <c r="A77" s="5" t="s">
        <v>52</v>
      </c>
      <c r="B77" s="6" t="s">
        <v>19</v>
      </c>
      <c r="C77" s="7">
        <v>14073</v>
      </c>
      <c r="D77" s="8">
        <v>5</v>
      </c>
      <c r="E77" s="9">
        <f>C77/D77</f>
        <v>2814.6</v>
      </c>
      <c r="F77" s="10">
        <f>E77/(1-$B$3)</f>
        <v>5117.454545454545</v>
      </c>
      <c r="G77" s="12">
        <f t="shared" si="10"/>
        <v>0.45</v>
      </c>
      <c r="H77" s="7"/>
      <c r="I77" s="11">
        <v>6800</v>
      </c>
      <c r="J77" s="12">
        <f t="shared" si="11"/>
        <v>0.58608823529411769</v>
      </c>
      <c r="K77" s="13">
        <f t="shared" si="12"/>
        <v>0.32878561784978338</v>
      </c>
      <c r="L77" s="14" t="str">
        <f t="shared" si="13"/>
        <v/>
      </c>
      <c r="M77" s="6" t="str">
        <f t="shared" si="14"/>
        <v>🟢 SOBRE PISO</v>
      </c>
      <c r="N77" cm="1">
        <f t="array" ref="N77">IFERROR(_xlfn.SWITCH(B77,"1 L",1,"5 L",2,"5 L (VECA)",2.5,"20 L",3,"200 L",4,"250 GR",5,"500 GR",6,"1000 L",7),99)</f>
        <v>2</v>
      </c>
    </row>
    <row r="78" spans="1:14" x14ac:dyDescent="0.2">
      <c r="A78" s="5" t="s">
        <v>52</v>
      </c>
      <c r="B78" s="6" t="s">
        <v>20</v>
      </c>
      <c r="C78" s="7">
        <v>41951</v>
      </c>
      <c r="D78" s="8">
        <v>20</v>
      </c>
      <c r="E78" s="9">
        <f>C78/D78</f>
        <v>2097.5500000000002</v>
      </c>
      <c r="F78" s="10">
        <f>E78/(1-$B$3)</f>
        <v>3813.727272727273</v>
      </c>
      <c r="G78" s="12">
        <f t="shared" si="10"/>
        <v>0.45</v>
      </c>
      <c r="H78" s="7"/>
      <c r="I78" s="11">
        <v>5500</v>
      </c>
      <c r="J78" s="12">
        <f t="shared" si="11"/>
        <v>0.61862727272727269</v>
      </c>
      <c r="K78" s="13">
        <f t="shared" si="12"/>
        <v>0.44215870896998871</v>
      </c>
      <c r="L78" s="14" t="str">
        <f t="shared" si="13"/>
        <v/>
      </c>
      <c r="M78" s="6" t="str">
        <f t="shared" si="14"/>
        <v>🟢 SOBRE PISO</v>
      </c>
      <c r="N78" cm="1">
        <f t="array" ref="N78">IFERROR(_xlfn.SWITCH(B78,"1 L",1,"5 L",2,"5 L (VECA)",2.5,"20 L",3,"200 L",4,"250 GR",5,"500 GR",6,"1000 L",7),99)</f>
        <v>3</v>
      </c>
    </row>
    <row r="79" spans="1:14" ht="16" thickBot="1" x14ac:dyDescent="0.25">
      <c r="A79" s="5" t="s">
        <v>52</v>
      </c>
      <c r="B79" s="6" t="s">
        <v>22</v>
      </c>
      <c r="C79" s="28">
        <v>363198</v>
      </c>
      <c r="D79" s="8">
        <v>200</v>
      </c>
      <c r="E79" s="9">
        <f>IF(C79="","",C79/D79)</f>
        <v>1815.99</v>
      </c>
      <c r="F79" s="10">
        <f>IF(E79="","",E79/(1-$B$3))</f>
        <v>3301.7999999999997</v>
      </c>
      <c r="G79" s="12">
        <f t="shared" si="10"/>
        <v>0.45</v>
      </c>
      <c r="H79" s="28"/>
      <c r="I79" s="29">
        <v>4500</v>
      </c>
      <c r="J79" s="12">
        <f t="shared" si="11"/>
        <v>0.59644666666666668</v>
      </c>
      <c r="K79" s="13">
        <f t="shared" si="12"/>
        <v>0.36289296747228794</v>
      </c>
      <c r="L79" s="14" t="str">
        <f t="shared" si="13"/>
        <v/>
      </c>
      <c r="M79" s="6" t="str">
        <f t="shared" si="14"/>
        <v>🟢 SOBRE PISO</v>
      </c>
      <c r="N79" cm="1">
        <f t="array" ref="N79">IFERROR(_xlfn.SWITCH(B79,"1 L",1,"5 L",2,"5 L (VECA)",2.5,"20 L",3,"200 L",4,"250 GR",5,"500 GR",6,"1000 L",7),99)</f>
        <v>4</v>
      </c>
    </row>
    <row r="80" spans="1:14" ht="16" thickBot="1" x14ac:dyDescent="0.25">
      <c r="A80" s="5" t="s">
        <v>52</v>
      </c>
      <c r="B80" s="6" t="s">
        <v>62</v>
      </c>
      <c r="C80" s="28">
        <v>1752858</v>
      </c>
      <c r="D80" s="8">
        <v>1000</v>
      </c>
      <c r="E80" s="9">
        <f>IF(C80="","",C80/D80)</f>
        <v>1752.8579999999999</v>
      </c>
      <c r="F80" s="10">
        <f>IF(E80="","",E80/(1-$B$3))</f>
        <v>3187.014545454545</v>
      </c>
      <c r="G80" s="12">
        <f t="shared" si="10"/>
        <v>0.45</v>
      </c>
      <c r="H80" s="28"/>
      <c r="I80" s="29">
        <v>3500</v>
      </c>
      <c r="J80" s="12">
        <f t="shared" si="11"/>
        <v>0.49918342857142861</v>
      </c>
      <c r="K80" s="13">
        <f t="shared" si="12"/>
        <v>9.8206471944675661E-2</v>
      </c>
      <c r="L80" s="14" t="str">
        <f t="shared" si="13"/>
        <v/>
      </c>
      <c r="M80" s="6" t="str">
        <f t="shared" si="14"/>
        <v>🟢 SOBRE PISO</v>
      </c>
      <c r="N80" cm="1">
        <f t="array" ref="N80">IFERROR(_xlfn.SWITCH(B80,"1 L",1,"5 L",2,"5 L (VECA)",2.5,"20 L",3,"200 L",4,"250 GR",5,"500 GR",6,"1000 L",7),99)</f>
        <v>7</v>
      </c>
    </row>
    <row r="81" spans="1:14" ht="16" thickBot="1" x14ac:dyDescent="0.25">
      <c r="A81" s="5" t="s">
        <v>34</v>
      </c>
      <c r="B81" s="6" t="s">
        <v>18</v>
      </c>
      <c r="C81" s="7">
        <v>3278</v>
      </c>
      <c r="D81" s="8">
        <v>1</v>
      </c>
      <c r="E81" s="9">
        <f>C81/D81</f>
        <v>3278</v>
      </c>
      <c r="F81" s="10">
        <f>E81/(1-$B$3)</f>
        <v>5959.9999999999991</v>
      </c>
      <c r="G81" s="12">
        <f t="shared" si="10"/>
        <v>0.45</v>
      </c>
      <c r="H81" s="7">
        <v>4446</v>
      </c>
      <c r="I81" s="11">
        <v>6000</v>
      </c>
      <c r="J81" s="12">
        <f t="shared" si="11"/>
        <v>0.45366666666666666</v>
      </c>
      <c r="K81" s="13">
        <f t="shared" si="12"/>
        <v>6.7114093959733077E-3</v>
      </c>
      <c r="L81" s="14">
        <f t="shared" si="13"/>
        <v>1554</v>
      </c>
      <c r="M81" s="6" t="str">
        <f t="shared" si="14"/>
        <v>🟡 EN PISO</v>
      </c>
      <c r="N81" cm="1">
        <f t="array" ref="N81">IFERROR(_xlfn.SWITCH(B81,"1 L",1,"5 L",2,"5 L (VECA)",2.5,"20 L",3,"200 L",4,"250 GR",5,"500 GR",6,"1000 L",7),99)</f>
        <v>1</v>
      </c>
    </row>
    <row r="82" spans="1:14" x14ac:dyDescent="0.2">
      <c r="A82" s="5" t="s">
        <v>34</v>
      </c>
      <c r="B82" s="6" t="s">
        <v>19</v>
      </c>
      <c r="C82" s="7">
        <v>10809</v>
      </c>
      <c r="D82" s="8">
        <v>5</v>
      </c>
      <c r="E82" s="9">
        <f>C82/D82</f>
        <v>2161.8000000000002</v>
      </c>
      <c r="F82" s="10">
        <f>E82/(1-$B$3)</f>
        <v>3930.5454545454545</v>
      </c>
      <c r="G82" s="12">
        <f t="shared" si="10"/>
        <v>0.45</v>
      </c>
      <c r="H82" s="7">
        <v>3956</v>
      </c>
      <c r="I82" s="11">
        <v>4000</v>
      </c>
      <c r="J82" s="12">
        <f t="shared" si="11"/>
        <v>0.45954999999999996</v>
      </c>
      <c r="K82" s="13">
        <f t="shared" si="12"/>
        <v>1.7670459802016848E-2</v>
      </c>
      <c r="L82" s="14">
        <f t="shared" si="13"/>
        <v>44</v>
      </c>
      <c r="M82" s="6" t="str">
        <f t="shared" si="14"/>
        <v>🟡 EN PISO</v>
      </c>
      <c r="N82" cm="1">
        <f t="array" ref="N82">IFERROR(_xlfn.SWITCH(B82,"1 L",1,"5 L",2,"5 L (VECA)",2.5,"20 L",3,"200 L",4,"250 GR",5,"500 GR",6,"1000 L",7),99)</f>
        <v>2</v>
      </c>
    </row>
    <row r="83" spans="1:14" x14ac:dyDescent="0.2">
      <c r="A83" s="5" t="s">
        <v>34</v>
      </c>
      <c r="B83" s="6" t="s">
        <v>20</v>
      </c>
      <c r="C83" s="7">
        <v>28894</v>
      </c>
      <c r="D83" s="8">
        <v>20</v>
      </c>
      <c r="E83" s="9">
        <f>C83/D83</f>
        <v>1444.7</v>
      </c>
      <c r="F83" s="10">
        <f>E83/(1-$B$3)</f>
        <v>2626.7272727272725</v>
      </c>
      <c r="G83" s="12">
        <f t="shared" si="10"/>
        <v>0.45</v>
      </c>
      <c r="H83" s="7">
        <v>3110</v>
      </c>
      <c r="I83" s="11">
        <v>3200</v>
      </c>
      <c r="J83" s="12">
        <f t="shared" si="11"/>
        <v>0.54853125000000003</v>
      </c>
      <c r="K83" s="13">
        <f t="shared" si="12"/>
        <v>0.21824600263030397</v>
      </c>
      <c r="L83" s="14">
        <f t="shared" si="13"/>
        <v>90</v>
      </c>
      <c r="M83" s="6" t="str">
        <f t="shared" si="14"/>
        <v>🟢 SOBRE PISO</v>
      </c>
      <c r="N83" cm="1">
        <f t="array" ref="N83">IFERROR(_xlfn.SWITCH(B83,"1 L",1,"5 L",2,"5 L (VECA)",2.5,"20 L",3,"200 L",4,"250 GR",5,"500 GR",6,"1000 L",7),99)</f>
        <v>3</v>
      </c>
    </row>
    <row r="84" spans="1:14" ht="16" thickBot="1" x14ac:dyDescent="0.25">
      <c r="A84" s="5" t="s">
        <v>34</v>
      </c>
      <c r="B84" s="6" t="s">
        <v>22</v>
      </c>
      <c r="C84" s="28">
        <v>232630</v>
      </c>
      <c r="D84" s="8">
        <v>200</v>
      </c>
      <c r="E84" s="9">
        <f>IF(C84="","",C84/D84)</f>
        <v>1163.1500000000001</v>
      </c>
      <c r="F84" s="10">
        <f>IF(E84="","",E84/(1-$B$3))</f>
        <v>2114.818181818182</v>
      </c>
      <c r="G84" s="12">
        <f t="shared" si="10"/>
        <v>0.45</v>
      </c>
      <c r="H84" s="28"/>
      <c r="I84" s="29">
        <v>2800</v>
      </c>
      <c r="J84" s="12">
        <f t="shared" si="11"/>
        <v>0.5845892857142857</v>
      </c>
      <c r="K84" s="13">
        <f t="shared" si="12"/>
        <v>0.32399088681597377</v>
      </c>
      <c r="L84" s="14" t="str">
        <f t="shared" si="13"/>
        <v/>
      </c>
      <c r="M84" s="6" t="str">
        <f t="shared" si="14"/>
        <v>🟢 SOBRE PISO</v>
      </c>
      <c r="N84" cm="1">
        <f t="array" ref="N84">IFERROR(_xlfn.SWITCH(B84,"1 L",1,"5 L",2,"5 L (VECA)",2.5,"20 L",3,"200 L",4,"250 GR",5,"500 GR",6,"1000 L",7),99)</f>
        <v>4</v>
      </c>
    </row>
    <row r="85" spans="1:14" ht="16" thickBot="1" x14ac:dyDescent="0.25">
      <c r="A85" s="5" t="s">
        <v>34</v>
      </c>
      <c r="B85" s="6" t="s">
        <v>62</v>
      </c>
      <c r="C85" s="28">
        <v>1100020</v>
      </c>
      <c r="D85" s="8">
        <v>1000</v>
      </c>
      <c r="E85" s="9">
        <f>IF(C85="","",C85/D85)</f>
        <v>1100.02</v>
      </c>
      <c r="F85" s="10">
        <f>IF(E85="","",E85/(1-$B$3))</f>
        <v>2000.0363636363634</v>
      </c>
      <c r="G85" s="12">
        <f t="shared" si="10"/>
        <v>0.45</v>
      </c>
      <c r="H85" s="28"/>
      <c r="I85" s="29">
        <v>2200</v>
      </c>
      <c r="J85" s="12">
        <f t="shared" si="11"/>
        <v>0.4999909090909091</v>
      </c>
      <c r="K85" s="13">
        <f t="shared" si="12"/>
        <v>9.998000036362989E-2</v>
      </c>
      <c r="L85" s="14" t="str">
        <f t="shared" si="13"/>
        <v/>
      </c>
      <c r="M85" s="6" t="str">
        <f t="shared" si="14"/>
        <v>🟢 SOBRE PISO</v>
      </c>
      <c r="N85" cm="1">
        <f t="array" ref="N85">IFERROR(_xlfn.SWITCH(B85,"1 L",1,"5 L",2,"5 L (VECA)",2.5,"20 L",3,"200 L",4,"250 GR",5,"500 GR",6,"1000 L",7),99)</f>
        <v>7</v>
      </c>
    </row>
    <row r="86" spans="1:14" ht="16" thickBot="1" x14ac:dyDescent="0.25">
      <c r="A86" s="5" t="s">
        <v>35</v>
      </c>
      <c r="B86" s="6" t="s">
        <v>18</v>
      </c>
      <c r="C86" s="7">
        <v>4366</v>
      </c>
      <c r="D86" s="8">
        <v>1</v>
      </c>
      <c r="E86" s="9">
        <f>C86/D86</f>
        <v>4366</v>
      </c>
      <c r="F86" s="10">
        <f>E86/(1-$B$3)</f>
        <v>7938.1818181818171</v>
      </c>
      <c r="G86" s="12">
        <f t="shared" si="10"/>
        <v>0.45</v>
      </c>
      <c r="H86" s="7">
        <v>7028</v>
      </c>
      <c r="I86" s="11">
        <v>8000</v>
      </c>
      <c r="J86" s="12">
        <f t="shared" si="11"/>
        <v>0.45424999999999999</v>
      </c>
      <c r="K86" s="13">
        <f t="shared" si="12"/>
        <v>7.7874484654147039E-3</v>
      </c>
      <c r="L86" s="14">
        <f t="shared" si="13"/>
        <v>972</v>
      </c>
      <c r="M86" s="6" t="str">
        <f t="shared" si="14"/>
        <v>🟡 EN PISO</v>
      </c>
      <c r="N86" cm="1">
        <f t="array" ref="N86">IFERROR(_xlfn.SWITCH(B86,"1 L",1,"5 L",2,"5 L (VECA)",2.5,"20 L",3,"200 L",4,"250 GR",5,"500 GR",6,"1000 L",7),99)</f>
        <v>1</v>
      </c>
    </row>
    <row r="87" spans="1:14" x14ac:dyDescent="0.2">
      <c r="A87" s="5" t="s">
        <v>35</v>
      </c>
      <c r="B87" s="6" t="s">
        <v>19</v>
      </c>
      <c r="C87" s="7">
        <v>16249</v>
      </c>
      <c r="D87" s="8">
        <v>5</v>
      </c>
      <c r="E87" s="9">
        <f>C87/D87</f>
        <v>3249.8</v>
      </c>
      <c r="F87" s="10">
        <f>E87/(1-$B$3)</f>
        <v>5908.727272727273</v>
      </c>
      <c r="G87" s="12">
        <f t="shared" si="10"/>
        <v>0.45</v>
      </c>
      <c r="H87" s="7">
        <v>5653</v>
      </c>
      <c r="I87" s="11">
        <v>6500</v>
      </c>
      <c r="J87" s="12">
        <f t="shared" si="11"/>
        <v>0.50003076923076917</v>
      </c>
      <c r="K87" s="13">
        <f t="shared" si="12"/>
        <v>0.10006769647362911</v>
      </c>
      <c r="L87" s="14">
        <f t="shared" si="13"/>
        <v>847</v>
      </c>
      <c r="M87" s="6" t="str">
        <f t="shared" si="14"/>
        <v>🟢 SOBRE PISO</v>
      </c>
      <c r="N87" cm="1">
        <f t="array" ref="N87">IFERROR(_xlfn.SWITCH(B87,"1 L",1,"5 L",2,"5 L (VECA)",2.5,"20 L",3,"200 L",4,"250 GR",5,"500 GR",6,"1000 L",7),99)</f>
        <v>2</v>
      </c>
    </row>
    <row r="88" spans="1:14" x14ac:dyDescent="0.2">
      <c r="A88" s="5" t="s">
        <v>35</v>
      </c>
      <c r="B88" s="6" t="s">
        <v>20</v>
      </c>
      <c r="C88" s="7">
        <v>50656</v>
      </c>
      <c r="D88" s="8">
        <v>20</v>
      </c>
      <c r="E88" s="9">
        <f>C88/D88</f>
        <v>2532.8000000000002</v>
      </c>
      <c r="F88" s="10">
        <f>E88/(1-$B$3)</f>
        <v>4605.090909090909</v>
      </c>
      <c r="G88" s="12">
        <f t="shared" si="10"/>
        <v>0.45</v>
      </c>
      <c r="H88" s="7">
        <v>5236</v>
      </c>
      <c r="I88" s="11">
        <v>5500</v>
      </c>
      <c r="J88" s="12">
        <f t="shared" si="11"/>
        <v>0.53949090909090902</v>
      </c>
      <c r="K88" s="13">
        <f t="shared" si="12"/>
        <v>0.19433038534428304</v>
      </c>
      <c r="L88" s="14">
        <f t="shared" si="13"/>
        <v>264</v>
      </c>
      <c r="M88" s="6" t="str">
        <f t="shared" si="14"/>
        <v>🟢 SOBRE PISO</v>
      </c>
      <c r="N88" cm="1">
        <f t="array" ref="N88">IFERROR(_xlfn.SWITCH(B88,"1 L",1,"5 L",2,"5 L (VECA)",2.5,"20 L",3,"200 L",4,"250 GR",5,"500 GR",6,"1000 L",7),99)</f>
        <v>3</v>
      </c>
    </row>
    <row r="89" spans="1:14" ht="16" thickBot="1" x14ac:dyDescent="0.25">
      <c r="A89" s="5" t="s">
        <v>35</v>
      </c>
      <c r="B89" s="6" t="s">
        <v>22</v>
      </c>
      <c r="C89" s="7">
        <v>450254</v>
      </c>
      <c r="D89" s="8">
        <v>200</v>
      </c>
      <c r="E89" s="9">
        <f>C89/D89</f>
        <v>2251.27</v>
      </c>
      <c r="F89" s="10">
        <f>E89/(1-$B$3)</f>
        <v>4093.2181818181816</v>
      </c>
      <c r="G89" s="12">
        <f t="shared" si="10"/>
        <v>0.45</v>
      </c>
      <c r="H89" s="7">
        <v>4500</v>
      </c>
      <c r="I89" s="11">
        <v>4500</v>
      </c>
      <c r="J89" s="12">
        <f t="shared" si="11"/>
        <v>0.49971777777777776</v>
      </c>
      <c r="K89" s="13">
        <f t="shared" si="12"/>
        <v>9.9379461370693034E-2</v>
      </c>
      <c r="L89" s="14">
        <f t="shared" si="13"/>
        <v>0</v>
      </c>
      <c r="M89" s="6" t="str">
        <f t="shared" si="14"/>
        <v>🟢 SOBRE PISO</v>
      </c>
      <c r="N89" cm="1">
        <f t="array" ref="N89">IFERROR(_xlfn.SWITCH(B89,"1 L",1,"5 L",2,"5 L (VECA)",2.5,"20 L",3,"200 L",4,"250 GR",5,"500 GR",6,"1000 L",7),99)</f>
        <v>4</v>
      </c>
    </row>
    <row r="90" spans="1:14" ht="16" thickBot="1" x14ac:dyDescent="0.25">
      <c r="A90" s="5" t="s">
        <v>35</v>
      </c>
      <c r="B90" s="6" t="s">
        <v>62</v>
      </c>
      <c r="C90" s="7">
        <v>2188140</v>
      </c>
      <c r="D90" s="8">
        <v>1000</v>
      </c>
      <c r="E90" s="9">
        <f>IF(C90="","",C90/D90)</f>
        <v>2188.14</v>
      </c>
      <c r="F90" s="10">
        <f>IF(E90="","",E90/(1-$B$3))</f>
        <v>3978.4363636363632</v>
      </c>
      <c r="G90" s="12">
        <f t="shared" si="10"/>
        <v>0.45</v>
      </c>
      <c r="H90" s="7"/>
      <c r="I90" s="11">
        <v>4000</v>
      </c>
      <c r="J90" s="12">
        <f t="shared" si="11"/>
        <v>0.45296500000000001</v>
      </c>
      <c r="K90" s="13">
        <f t="shared" si="12"/>
        <v>5.4201285109728896E-3</v>
      </c>
      <c r="L90" s="14" t="str">
        <f t="shared" si="13"/>
        <v/>
      </c>
      <c r="M90" s="6" t="str">
        <f t="shared" si="14"/>
        <v>🟡 EN PISO</v>
      </c>
      <c r="N90" cm="1">
        <f t="array" ref="N90">IFERROR(_xlfn.SWITCH(B90,"1 L",1,"5 L",2,"5 L (VECA)",2.5,"20 L",3,"200 L",4,"250 GR",5,"500 GR",6,"1000 L",7),99)</f>
        <v>7</v>
      </c>
    </row>
    <row r="91" spans="1:14" ht="16" thickBot="1" x14ac:dyDescent="0.25">
      <c r="A91" s="5" t="s">
        <v>36</v>
      </c>
      <c r="B91" s="6" t="s">
        <v>18</v>
      </c>
      <c r="C91" s="7">
        <v>4666</v>
      </c>
      <c r="D91" s="8">
        <v>1</v>
      </c>
      <c r="E91" s="9">
        <f>C91/D91</f>
        <v>4666</v>
      </c>
      <c r="F91" s="10">
        <f>E91/(1-$B$3)</f>
        <v>8483.6363636363621</v>
      </c>
      <c r="G91" s="12">
        <f t="shared" si="10"/>
        <v>0.45</v>
      </c>
      <c r="H91" s="7">
        <v>7175</v>
      </c>
      <c r="I91" s="11">
        <v>8000</v>
      </c>
      <c r="J91" s="12">
        <f t="shared" si="11"/>
        <v>0.41675000000000001</v>
      </c>
      <c r="K91" s="13">
        <f t="shared" si="12"/>
        <v>-5.7008144020574206E-2</v>
      </c>
      <c r="L91" s="14">
        <f t="shared" si="13"/>
        <v>825</v>
      </c>
      <c r="M91" s="6" t="str">
        <f t="shared" si="14"/>
        <v>🔴 BAJO PISO</v>
      </c>
      <c r="N91" cm="1">
        <f t="array" ref="N91">IFERROR(_xlfn.SWITCH(B91,"1 L",1,"5 L",2,"5 L (VECA)",2.5,"20 L",3,"200 L",4,"250 GR",5,"500 GR",6,"1000 L",7),99)</f>
        <v>1</v>
      </c>
    </row>
    <row r="92" spans="1:14" x14ac:dyDescent="0.2">
      <c r="A92" s="5" t="s">
        <v>36</v>
      </c>
      <c r="B92" s="6" t="s">
        <v>19</v>
      </c>
      <c r="C92" s="28">
        <v>17752</v>
      </c>
      <c r="D92" s="8">
        <v>5</v>
      </c>
      <c r="E92" s="9">
        <f>IF(C92="","",C92/D92)</f>
        <v>3550.4</v>
      </c>
      <c r="F92" s="10">
        <f>IF(E92="","",E92/(1-$B$3))</f>
        <v>6455.272727272727</v>
      </c>
      <c r="G92" s="12">
        <f t="shared" si="10"/>
        <v>0.45</v>
      </c>
      <c r="H92" s="28"/>
      <c r="I92" s="29">
        <v>7000</v>
      </c>
      <c r="J92" s="12">
        <f t="shared" si="11"/>
        <v>0.49279999999999996</v>
      </c>
      <c r="K92" s="13">
        <f t="shared" si="12"/>
        <v>8.4384858044164082E-2</v>
      </c>
      <c r="L92" s="14" t="str">
        <f t="shared" si="13"/>
        <v/>
      </c>
      <c r="M92" s="6" t="str">
        <f t="shared" si="14"/>
        <v>🟢 SOBRE PISO</v>
      </c>
      <c r="N92" cm="1">
        <f t="array" ref="N92">IFERROR(_xlfn.SWITCH(B92,"1 L",1,"5 L",2,"5 L (VECA)",2.5,"20 L",3,"200 L",4,"250 GR",5,"500 GR",6,"1000 L",7),99)</f>
        <v>2</v>
      </c>
    </row>
    <row r="93" spans="1:14" x14ac:dyDescent="0.2">
      <c r="A93" s="5" t="s">
        <v>36</v>
      </c>
      <c r="B93" s="6" t="s">
        <v>20</v>
      </c>
      <c r="C93" s="28">
        <v>56668</v>
      </c>
      <c r="D93" s="8">
        <v>20</v>
      </c>
      <c r="E93" s="9">
        <f>IF(C93="","",C93/D93)</f>
        <v>2833.4</v>
      </c>
      <c r="F93" s="10">
        <f>IF(E93="","",E93/(1-$B$3))</f>
        <v>5151.6363636363631</v>
      </c>
      <c r="G93" s="12">
        <f t="shared" si="10"/>
        <v>0.45</v>
      </c>
      <c r="H93" s="28"/>
      <c r="I93" s="29">
        <v>6000</v>
      </c>
      <c r="J93" s="12">
        <f t="shared" si="11"/>
        <v>0.52776666666666661</v>
      </c>
      <c r="K93" s="13">
        <f t="shared" si="12"/>
        <v>0.16467847815345535</v>
      </c>
      <c r="L93" s="14" t="str">
        <f t="shared" si="13"/>
        <v/>
      </c>
      <c r="M93" s="6" t="str">
        <f t="shared" si="14"/>
        <v>🟢 SOBRE PISO</v>
      </c>
      <c r="N93" cm="1">
        <f t="array" ref="N93">IFERROR(_xlfn.SWITCH(B93,"1 L",1,"5 L",2,"5 L (VECA)",2.5,"20 L",3,"200 L",4,"250 GR",5,"500 GR",6,"1000 L",7),99)</f>
        <v>3</v>
      </c>
    </row>
    <row r="94" spans="1:14" ht="16" thickBot="1" x14ac:dyDescent="0.25">
      <c r="A94" s="5" t="s">
        <v>36</v>
      </c>
      <c r="B94" s="6" t="s">
        <v>22</v>
      </c>
      <c r="C94" s="28">
        <v>510365</v>
      </c>
      <c r="D94" s="8">
        <v>200</v>
      </c>
      <c r="E94" s="9">
        <f>IF(C94="","",C94/D94)</f>
        <v>2551.8249999999998</v>
      </c>
      <c r="F94" s="10">
        <f>IF(E94="","",E94/(1-$B$3))</f>
        <v>4639.6818181818171</v>
      </c>
      <c r="G94" s="12">
        <f t="shared" si="10"/>
        <v>0.45</v>
      </c>
      <c r="H94" s="28"/>
      <c r="I94" s="29">
        <v>5000</v>
      </c>
      <c r="J94" s="12">
        <f t="shared" si="11"/>
        <v>0.48963500000000004</v>
      </c>
      <c r="K94" s="13">
        <f t="shared" si="12"/>
        <v>7.7660106002567036E-2</v>
      </c>
      <c r="L94" s="14" t="str">
        <f t="shared" si="13"/>
        <v/>
      </c>
      <c r="M94" s="6" t="str">
        <f t="shared" si="14"/>
        <v>🟢 SOBRE PISO</v>
      </c>
      <c r="N94" cm="1">
        <f t="array" ref="N94">IFERROR(_xlfn.SWITCH(B94,"1 L",1,"5 L",2,"5 L (VECA)",2.5,"20 L",3,"200 L",4,"250 GR",5,"500 GR",6,"1000 L",7),99)</f>
        <v>4</v>
      </c>
    </row>
    <row r="95" spans="1:14" ht="16" thickBot="1" x14ac:dyDescent="0.25">
      <c r="A95" s="5" t="s">
        <v>36</v>
      </c>
      <c r="B95" s="6" t="s">
        <v>62</v>
      </c>
      <c r="C95" s="28">
        <v>2488696</v>
      </c>
      <c r="D95" s="8">
        <v>1000</v>
      </c>
      <c r="E95" s="9">
        <f>IF(C95="","",C95/D95)</f>
        <v>2488.6959999999999</v>
      </c>
      <c r="F95" s="10">
        <f>IF(E95="","",E95/(1-$B$3))</f>
        <v>4524.9018181818174</v>
      </c>
      <c r="G95" s="12">
        <f t="shared" si="10"/>
        <v>0.45</v>
      </c>
      <c r="H95" s="28"/>
      <c r="I95" s="29">
        <v>4800</v>
      </c>
      <c r="J95" s="12">
        <f t="shared" si="11"/>
        <v>0.48152166666666668</v>
      </c>
      <c r="K95" s="13">
        <f t="shared" si="12"/>
        <v>6.079649744283773E-2</v>
      </c>
      <c r="L95" s="14" t="str">
        <f t="shared" si="13"/>
        <v/>
      </c>
      <c r="M95" s="6" t="str">
        <f t="shared" si="14"/>
        <v>🟢 SOBRE PISO</v>
      </c>
      <c r="N95" cm="1">
        <f t="array" ref="N95">IFERROR(_xlfn.SWITCH(B95,"1 L",1,"5 L",2,"5 L (VECA)",2.5,"20 L",3,"200 L",4,"250 GR",5,"500 GR",6,"1000 L",7),99)</f>
        <v>7</v>
      </c>
    </row>
    <row r="96" spans="1:14" ht="16" thickBot="1" x14ac:dyDescent="0.25">
      <c r="A96" s="5" t="s">
        <v>37</v>
      </c>
      <c r="B96" s="6" t="s">
        <v>18</v>
      </c>
      <c r="C96" s="7">
        <v>4047</v>
      </c>
      <c r="D96" s="8">
        <v>1</v>
      </c>
      <c r="E96" s="9">
        <f>C96/D96</f>
        <v>4047</v>
      </c>
      <c r="F96" s="10">
        <f>E96/(1-$B$3)</f>
        <v>7358.181818181818</v>
      </c>
      <c r="G96" s="12">
        <f t="shared" si="10"/>
        <v>0.45</v>
      </c>
      <c r="H96" s="7">
        <v>6927</v>
      </c>
      <c r="I96" s="11">
        <v>8000</v>
      </c>
      <c r="J96" s="12">
        <f t="shared" si="11"/>
        <v>0.49412499999999998</v>
      </c>
      <c r="K96" s="13">
        <f t="shared" si="12"/>
        <v>8.7225105016061302E-2</v>
      </c>
      <c r="L96" s="14">
        <f t="shared" si="13"/>
        <v>1073</v>
      </c>
      <c r="M96" s="6" t="str">
        <f t="shared" si="14"/>
        <v>🟢 SOBRE PISO</v>
      </c>
      <c r="N96" cm="1">
        <f t="array" ref="N96">IFERROR(_xlfn.SWITCH(B96,"1 L",1,"5 L",2,"5 L (VECA)",2.5,"20 L",3,"200 L",4,"250 GR",5,"500 GR",6,"1000 L",7),99)</f>
        <v>1</v>
      </c>
    </row>
    <row r="97" spans="1:14" x14ac:dyDescent="0.2">
      <c r="A97" s="5" t="s">
        <v>37</v>
      </c>
      <c r="B97" s="6" t="s">
        <v>19</v>
      </c>
      <c r="C97" s="7">
        <v>14657</v>
      </c>
      <c r="D97" s="8">
        <v>5</v>
      </c>
      <c r="E97" s="9">
        <f>C97/D97</f>
        <v>2931.4</v>
      </c>
      <c r="F97" s="10">
        <f>E97/(1-$B$3)</f>
        <v>5329.818181818182</v>
      </c>
      <c r="G97" s="12">
        <f t="shared" si="10"/>
        <v>0.45</v>
      </c>
      <c r="H97" s="7">
        <v>7000</v>
      </c>
      <c r="I97" s="11">
        <v>7200</v>
      </c>
      <c r="J97" s="12">
        <f t="shared" si="11"/>
        <v>0.59286111111111117</v>
      </c>
      <c r="K97" s="13">
        <f t="shared" si="12"/>
        <v>0.35089035955516129</v>
      </c>
      <c r="L97" s="14">
        <f t="shared" si="13"/>
        <v>200</v>
      </c>
      <c r="M97" s="6" t="str">
        <f t="shared" si="14"/>
        <v>🟢 SOBRE PISO</v>
      </c>
      <c r="N97" cm="1">
        <f t="array" ref="N97">IFERROR(_xlfn.SWITCH(B97,"1 L",1,"5 L",2,"5 L (VECA)",2.5,"20 L",3,"200 L",4,"250 GR",5,"500 GR",6,"1000 L",7),99)</f>
        <v>2</v>
      </c>
    </row>
    <row r="98" spans="1:14" x14ac:dyDescent="0.2">
      <c r="A98" s="5" t="s">
        <v>37</v>
      </c>
      <c r="B98" s="6" t="s">
        <v>20</v>
      </c>
      <c r="C98" s="28">
        <v>44287</v>
      </c>
      <c r="D98" s="8">
        <v>20</v>
      </c>
      <c r="E98" s="9">
        <f>IF(C98="","",C98/D98)</f>
        <v>2214.35</v>
      </c>
      <c r="F98" s="10">
        <f>IF(E98="","",E98/(1-$B$3))</f>
        <v>4026.0909090909086</v>
      </c>
      <c r="G98" s="12">
        <f t="shared" si="10"/>
        <v>0.45</v>
      </c>
      <c r="H98" s="28"/>
      <c r="I98" s="29">
        <v>6800</v>
      </c>
      <c r="J98" s="12">
        <f t="shared" si="11"/>
        <v>0.67436029411764697</v>
      </c>
      <c r="K98" s="13">
        <f t="shared" si="12"/>
        <v>0.68898322306771764</v>
      </c>
      <c r="L98" s="14" t="str">
        <f t="shared" si="13"/>
        <v/>
      </c>
      <c r="M98" s="6" t="str">
        <f t="shared" si="14"/>
        <v>🟢 SOBRE PISO</v>
      </c>
      <c r="N98" cm="1">
        <f t="array" ref="N98">IFERROR(_xlfn.SWITCH(B98,"1 L",1,"5 L",2,"5 L (VECA)",2.5,"20 L",3,"200 L",4,"250 GR",5,"500 GR",6,"1000 L",7),99)</f>
        <v>3</v>
      </c>
    </row>
    <row r="99" spans="1:14" ht="16" thickBot="1" x14ac:dyDescent="0.25">
      <c r="A99" s="5" t="s">
        <v>37</v>
      </c>
      <c r="B99" s="6" t="s">
        <v>22</v>
      </c>
      <c r="C99" s="28">
        <v>386562</v>
      </c>
      <c r="D99" s="8">
        <v>200</v>
      </c>
      <c r="E99" s="9">
        <f>IF(C99="","",C99/D99)</f>
        <v>1932.81</v>
      </c>
      <c r="F99" s="10">
        <f>IF(E99="","",E99/(1-$B$3))</f>
        <v>3514.2</v>
      </c>
      <c r="G99" s="12">
        <f t="shared" si="10"/>
        <v>0.45</v>
      </c>
      <c r="H99" s="28"/>
      <c r="I99" s="29">
        <v>5500</v>
      </c>
      <c r="J99" s="12">
        <f t="shared" si="11"/>
        <v>0.64858000000000005</v>
      </c>
      <c r="K99" s="13">
        <f t="shared" si="12"/>
        <v>0.5650788230607251</v>
      </c>
      <c r="L99" s="14" t="str">
        <f t="shared" si="13"/>
        <v/>
      </c>
      <c r="M99" s="6" t="str">
        <f t="shared" si="14"/>
        <v>🟢 SOBRE PISO</v>
      </c>
      <c r="N99" cm="1">
        <f t="array" ref="N99">IFERROR(_xlfn.SWITCH(B99,"1 L",1,"5 L",2,"5 L (VECA)",2.5,"20 L",3,"200 L",4,"250 GR",5,"500 GR",6,"1000 L",7),99)</f>
        <v>4</v>
      </c>
    </row>
    <row r="100" spans="1:14" ht="16" thickBot="1" x14ac:dyDescent="0.25">
      <c r="A100" s="5" t="s">
        <v>37</v>
      </c>
      <c r="B100" s="6" t="s">
        <v>62</v>
      </c>
      <c r="C100" s="28">
        <v>1869680</v>
      </c>
      <c r="D100" s="8">
        <v>1000</v>
      </c>
      <c r="E100" s="9">
        <f>IF(C100="","",C100/D100)</f>
        <v>1869.68</v>
      </c>
      <c r="F100" s="10">
        <f>IF(E100="","",E100/(1-$B$3))</f>
        <v>3399.4181818181814</v>
      </c>
      <c r="G100" s="12">
        <f t="shared" si="10"/>
        <v>0.45</v>
      </c>
      <c r="H100" s="28"/>
      <c r="I100" s="29">
        <v>4000</v>
      </c>
      <c r="J100" s="12">
        <f t="shared" si="11"/>
        <v>0.53257999999999994</v>
      </c>
      <c r="K100" s="13">
        <f t="shared" si="12"/>
        <v>0.1766719438620514</v>
      </c>
      <c r="L100" s="14" t="str">
        <f t="shared" si="13"/>
        <v/>
      </c>
      <c r="M100" s="6" t="str">
        <f t="shared" si="14"/>
        <v>🟢 SOBRE PISO</v>
      </c>
      <c r="N100" cm="1">
        <f t="array" ref="N100">IFERROR(_xlfn.SWITCH(B100,"1 L",1,"5 L",2,"5 L (VECA)",2.5,"20 L",3,"200 L",4,"250 GR",5,"500 GR",6,"1000 L",7),99)</f>
        <v>7</v>
      </c>
    </row>
    <row r="101" spans="1:14" ht="16" thickBot="1" x14ac:dyDescent="0.25">
      <c r="A101" s="5" t="s">
        <v>38</v>
      </c>
      <c r="B101" s="6" t="s">
        <v>18</v>
      </c>
      <c r="C101" s="7">
        <v>3705</v>
      </c>
      <c r="D101" s="8">
        <v>1</v>
      </c>
      <c r="E101" s="9">
        <f>C101/D101</f>
        <v>3705</v>
      </c>
      <c r="F101" s="10">
        <f>E101/(1-$B$3)</f>
        <v>6736.363636363636</v>
      </c>
      <c r="G101" s="12">
        <f t="shared" si="10"/>
        <v>0.45</v>
      </c>
      <c r="H101" s="7">
        <v>5817</v>
      </c>
      <c r="I101" s="11">
        <v>6800</v>
      </c>
      <c r="J101" s="12">
        <f t="shared" si="11"/>
        <v>0.4551470588235294</v>
      </c>
      <c r="K101" s="13">
        <f t="shared" si="12"/>
        <v>9.4466936572200223E-3</v>
      </c>
      <c r="L101" s="14">
        <f t="shared" si="13"/>
        <v>983</v>
      </c>
      <c r="M101" s="6" t="str">
        <f t="shared" si="14"/>
        <v>🟡 EN PISO</v>
      </c>
      <c r="N101" cm="1">
        <f t="array" ref="N101">IFERROR(_xlfn.SWITCH(B101,"1 L",1,"5 L",2,"5 L (VECA)",2.5,"20 L",3,"200 L",4,"250 GR",5,"500 GR",6,"1000 L",7),99)</f>
        <v>1</v>
      </c>
    </row>
    <row r="102" spans="1:14" x14ac:dyDescent="0.2">
      <c r="A102" s="5" t="s">
        <v>38</v>
      </c>
      <c r="B102" s="6" t="s">
        <v>19</v>
      </c>
      <c r="C102" s="7">
        <v>12944</v>
      </c>
      <c r="D102" s="8">
        <v>5</v>
      </c>
      <c r="E102" s="9">
        <f>C102/D102</f>
        <v>2588.8000000000002</v>
      </c>
      <c r="F102" s="10">
        <f>E102/(1-$B$3)</f>
        <v>4706.909090909091</v>
      </c>
      <c r="G102" s="12">
        <f t="shared" ref="G102:G133" si="15">$B$3</f>
        <v>0.45</v>
      </c>
      <c r="H102" s="7">
        <v>4184</v>
      </c>
      <c r="I102" s="11">
        <v>5000</v>
      </c>
      <c r="J102" s="12">
        <f t="shared" ref="J102:J133" si="16">IF(I102="","",(I102-E102)/I102)</f>
        <v>0.48223999999999995</v>
      </c>
      <c r="K102" s="13">
        <f t="shared" ref="K102:K133" si="17">IF(I102="","",(I102-F102)/F102)</f>
        <v>6.2268232385661294E-2</v>
      </c>
      <c r="L102" s="14">
        <f t="shared" ref="L102:L133" si="18">IF(OR(I102="",H102=""),"",I102-H102)</f>
        <v>816</v>
      </c>
      <c r="M102" s="6" t="str">
        <f t="shared" ref="M102:M133" si="19">IF(I102="","⚪ SIN PROPUESTA",IF(I102&lt;F102*0.95,"🔴 BAJO PISO",IF(I102&gt;F102*1.05,"🟢 SOBRE PISO","🟡 EN PISO")))</f>
        <v>🟢 SOBRE PISO</v>
      </c>
      <c r="N102" cm="1">
        <f t="array" ref="N102">IFERROR(_xlfn.SWITCH(B102,"1 L",1,"5 L",2,"5 L (VECA)",2.5,"20 L",3,"200 L",4,"250 GR",5,"500 GR",6,"1000 L",7),99)</f>
        <v>2</v>
      </c>
    </row>
    <row r="103" spans="1:14" x14ac:dyDescent="0.2">
      <c r="A103" s="5" t="s">
        <v>38</v>
      </c>
      <c r="B103" s="6" t="s">
        <v>39</v>
      </c>
      <c r="C103" s="7">
        <v>12944</v>
      </c>
      <c r="D103" s="8">
        <v>5</v>
      </c>
      <c r="E103" s="9">
        <f>C103/D103</f>
        <v>2588.8000000000002</v>
      </c>
      <c r="F103" s="10">
        <f>E103/(1-$B$3)</f>
        <v>4706.909090909091</v>
      </c>
      <c r="G103" s="12">
        <f t="shared" si="15"/>
        <v>0.45</v>
      </c>
      <c r="H103" s="7">
        <v>4714</v>
      </c>
      <c r="I103" s="11">
        <v>5000</v>
      </c>
      <c r="J103" s="12">
        <f t="shared" si="16"/>
        <v>0.48223999999999995</v>
      </c>
      <c r="K103" s="13">
        <f t="shared" si="17"/>
        <v>6.2268232385661294E-2</v>
      </c>
      <c r="L103" s="14">
        <f t="shared" si="18"/>
        <v>286</v>
      </c>
      <c r="M103" s="6" t="str">
        <f t="shared" si="19"/>
        <v>🟢 SOBRE PISO</v>
      </c>
      <c r="N103" cm="1">
        <f t="array" ref="N103">IFERROR(_xlfn.SWITCH(B103,"1 L",1,"5 L",2,"5 L (VECA)",2.5,"20 L",3,"200 L",4,"250 GR",5,"500 GR",6,"1000 L",7),99)</f>
        <v>2.5</v>
      </c>
    </row>
    <row r="104" spans="1:14" x14ac:dyDescent="0.2">
      <c r="A104" s="5" t="s">
        <v>38</v>
      </c>
      <c r="B104" s="6" t="s">
        <v>20</v>
      </c>
      <c r="C104" s="7">
        <v>37435</v>
      </c>
      <c r="D104" s="8">
        <v>20</v>
      </c>
      <c r="E104" s="9">
        <f>C104/D104</f>
        <v>1871.75</v>
      </c>
      <c r="F104" s="10">
        <f>E104/(1-$B$3)</f>
        <v>3403.181818181818</v>
      </c>
      <c r="G104" s="12">
        <f t="shared" si="15"/>
        <v>0.45</v>
      </c>
      <c r="H104" s="7">
        <v>3610</v>
      </c>
      <c r="I104" s="11">
        <v>3800</v>
      </c>
      <c r="J104" s="12">
        <f t="shared" si="16"/>
        <v>0.50743421052631577</v>
      </c>
      <c r="K104" s="13">
        <f t="shared" si="17"/>
        <v>0.11660211032456264</v>
      </c>
      <c r="L104" s="14">
        <f t="shared" si="18"/>
        <v>190</v>
      </c>
      <c r="M104" s="6" t="str">
        <f t="shared" si="19"/>
        <v>🟢 SOBRE PISO</v>
      </c>
      <c r="N104" cm="1">
        <f t="array" ref="N104">IFERROR(_xlfn.SWITCH(B104,"1 L",1,"5 L",2,"5 L (VECA)",2.5,"20 L",3,"200 L",4,"250 GR",5,"500 GR",6,"1000 L",7),99)</f>
        <v>3</v>
      </c>
    </row>
    <row r="105" spans="1:14" ht="16" thickBot="1" x14ac:dyDescent="0.25">
      <c r="A105" s="5" t="s">
        <v>38</v>
      </c>
      <c r="B105" s="6" t="s">
        <v>22</v>
      </c>
      <c r="C105" s="28">
        <v>318039</v>
      </c>
      <c r="D105" s="8">
        <v>200</v>
      </c>
      <c r="E105" s="9">
        <f>IF(C105="","",C105/D105)</f>
        <v>1590.1949999999999</v>
      </c>
      <c r="F105" s="10">
        <f>IF(E105="","",E105/(1-$B$3))</f>
        <v>2891.2636363636361</v>
      </c>
      <c r="G105" s="12">
        <f t="shared" si="15"/>
        <v>0.45</v>
      </c>
      <c r="H105" s="28"/>
      <c r="I105" s="29">
        <v>3000</v>
      </c>
      <c r="J105" s="12">
        <f t="shared" si="16"/>
        <v>0.46993500000000005</v>
      </c>
      <c r="K105" s="13">
        <f t="shared" si="17"/>
        <v>3.7608595172290274E-2</v>
      </c>
      <c r="L105" s="14" t="str">
        <f t="shared" si="18"/>
        <v/>
      </c>
      <c r="M105" s="6" t="str">
        <f t="shared" si="19"/>
        <v>🟡 EN PISO</v>
      </c>
      <c r="N105" cm="1">
        <f t="array" ref="N105">IFERROR(_xlfn.SWITCH(B105,"1 L",1,"5 L",2,"5 L (VECA)",2.5,"20 L",3,"200 L",4,"250 GR",5,"500 GR",6,"1000 L",7),99)</f>
        <v>4</v>
      </c>
    </row>
    <row r="106" spans="1:14" ht="16" thickBot="1" x14ac:dyDescent="0.25">
      <c r="A106" s="5" t="s">
        <v>38</v>
      </c>
      <c r="B106" s="6" t="s">
        <v>62</v>
      </c>
      <c r="C106" s="28">
        <v>1527065</v>
      </c>
      <c r="D106" s="8">
        <v>1000</v>
      </c>
      <c r="E106" s="9">
        <f>IF(C106="","",C106/D106)</f>
        <v>1527.0650000000001</v>
      </c>
      <c r="F106" s="10">
        <f>IF(E106="","",E106/(1-$B$3))</f>
        <v>2776.4818181818182</v>
      </c>
      <c r="G106" s="12">
        <f t="shared" si="15"/>
        <v>0.45</v>
      </c>
      <c r="H106" s="28"/>
      <c r="I106" s="29">
        <v>2800</v>
      </c>
      <c r="J106" s="12">
        <f t="shared" si="16"/>
        <v>0.45461964285714285</v>
      </c>
      <c r="K106" s="13">
        <f t="shared" si="17"/>
        <v>8.4704973265708992E-3</v>
      </c>
      <c r="L106" s="14" t="str">
        <f t="shared" si="18"/>
        <v/>
      </c>
      <c r="M106" s="6" t="str">
        <f t="shared" si="19"/>
        <v>🟡 EN PISO</v>
      </c>
      <c r="N106" cm="1">
        <f t="array" ref="N106">IFERROR(_xlfn.SWITCH(B106,"1 L",1,"5 L",2,"5 L (VECA)",2.5,"20 L",3,"200 L",4,"250 GR",5,"500 GR",6,"1000 L",7),99)</f>
        <v>7</v>
      </c>
    </row>
    <row r="107" spans="1:14" ht="16" thickBot="1" x14ac:dyDescent="0.25">
      <c r="A107" s="5" t="s">
        <v>40</v>
      </c>
      <c r="B107" s="6" t="s">
        <v>18</v>
      </c>
      <c r="C107" s="7">
        <v>3946</v>
      </c>
      <c r="D107" s="8">
        <v>1</v>
      </c>
      <c r="E107" s="9">
        <f>C107/D107</f>
        <v>3946</v>
      </c>
      <c r="F107" s="10">
        <f>E107/(1-$B$3)</f>
        <v>7174.545454545454</v>
      </c>
      <c r="G107" s="12">
        <f t="shared" si="15"/>
        <v>0.45</v>
      </c>
      <c r="H107" s="7">
        <v>5445</v>
      </c>
      <c r="I107" s="11">
        <v>7200</v>
      </c>
      <c r="J107" s="12">
        <f t="shared" si="16"/>
        <v>0.45194444444444443</v>
      </c>
      <c r="K107" s="13">
        <f t="shared" si="17"/>
        <v>3.5478966041561769E-3</v>
      </c>
      <c r="L107" s="14">
        <f t="shared" si="18"/>
        <v>1755</v>
      </c>
      <c r="M107" s="6" t="str">
        <f t="shared" si="19"/>
        <v>🟡 EN PISO</v>
      </c>
      <c r="N107" cm="1">
        <f t="array" ref="N107">IFERROR(_xlfn.SWITCH(B107,"1 L",1,"5 L",2,"5 L (VECA)",2.5,"20 L",3,"200 L",4,"250 GR",5,"500 GR",6,"1000 L",7),99)</f>
        <v>1</v>
      </c>
    </row>
    <row r="108" spans="1:14" x14ac:dyDescent="0.2">
      <c r="A108" s="5" t="s">
        <v>40</v>
      </c>
      <c r="B108" s="6" t="s">
        <v>19</v>
      </c>
      <c r="C108" s="7">
        <v>14150</v>
      </c>
      <c r="D108" s="8">
        <v>5</v>
      </c>
      <c r="E108" s="9">
        <f>C108/D108</f>
        <v>2830</v>
      </c>
      <c r="F108" s="10">
        <f>E108/(1-$B$3)</f>
        <v>5145.454545454545</v>
      </c>
      <c r="G108" s="12">
        <f t="shared" si="15"/>
        <v>0.45</v>
      </c>
      <c r="H108" s="7">
        <v>3693</v>
      </c>
      <c r="I108" s="11">
        <v>6800</v>
      </c>
      <c r="J108" s="12">
        <f t="shared" si="16"/>
        <v>0.58382352941176474</v>
      </c>
      <c r="K108" s="13">
        <f t="shared" si="17"/>
        <v>0.32155477031802132</v>
      </c>
      <c r="L108" s="14">
        <f t="shared" si="18"/>
        <v>3107</v>
      </c>
      <c r="M108" s="6" t="str">
        <f t="shared" si="19"/>
        <v>🟢 SOBRE PISO</v>
      </c>
      <c r="N108" cm="1">
        <f t="array" ref="N108">IFERROR(_xlfn.SWITCH(B108,"1 L",1,"5 L",2,"5 L (VECA)",2.5,"20 L",3,"200 L",4,"250 GR",5,"500 GR",6,"1000 L",7),99)</f>
        <v>2</v>
      </c>
    </row>
    <row r="109" spans="1:14" x14ac:dyDescent="0.2">
      <c r="A109" s="5" t="s">
        <v>40</v>
      </c>
      <c r="B109" s="6" t="s">
        <v>20</v>
      </c>
      <c r="C109" s="7">
        <v>42259</v>
      </c>
      <c r="D109" s="8">
        <v>20</v>
      </c>
      <c r="E109" s="9">
        <f>C109/D109</f>
        <v>2112.9499999999998</v>
      </c>
      <c r="F109" s="10">
        <f>E109/(1-$B$3)</f>
        <v>3841.7272727272721</v>
      </c>
      <c r="G109" s="12">
        <f t="shared" si="15"/>
        <v>0.45</v>
      </c>
      <c r="H109" s="7">
        <v>4000</v>
      </c>
      <c r="I109" s="11">
        <v>4800</v>
      </c>
      <c r="J109" s="12">
        <f t="shared" si="16"/>
        <v>0.55980208333333337</v>
      </c>
      <c r="K109" s="13">
        <f t="shared" si="17"/>
        <v>0.24943798954068977</v>
      </c>
      <c r="L109" s="14">
        <f t="shared" si="18"/>
        <v>800</v>
      </c>
      <c r="M109" s="6" t="str">
        <f t="shared" si="19"/>
        <v>🟢 SOBRE PISO</v>
      </c>
      <c r="N109" cm="1">
        <f t="array" ref="N109">IFERROR(_xlfn.SWITCH(B109,"1 L",1,"5 L",2,"5 L (VECA)",2.5,"20 L",3,"200 L",4,"250 GR",5,"500 GR",6,"1000 L",7),99)</f>
        <v>3</v>
      </c>
    </row>
    <row r="110" spans="1:14" ht="16" thickBot="1" x14ac:dyDescent="0.25">
      <c r="A110" s="5" t="s">
        <v>40</v>
      </c>
      <c r="B110" s="6" t="s">
        <v>22</v>
      </c>
      <c r="C110" s="28">
        <v>366281</v>
      </c>
      <c r="D110" s="8">
        <v>200</v>
      </c>
      <c r="E110" s="9">
        <f>IF(C110="","",C110/D110)</f>
        <v>1831.405</v>
      </c>
      <c r="F110" s="10">
        <f>IF(E110="","",E110/(1-$B$3))</f>
        <v>3329.8272727272724</v>
      </c>
      <c r="G110" s="12">
        <f t="shared" si="15"/>
        <v>0.45</v>
      </c>
      <c r="H110" s="28"/>
      <c r="I110" s="29">
        <v>4000</v>
      </c>
      <c r="J110" s="12">
        <f t="shared" si="16"/>
        <v>0.54214875000000007</v>
      </c>
      <c r="K110" s="13">
        <f t="shared" si="17"/>
        <v>0.2012635108018162</v>
      </c>
      <c r="L110" s="14" t="str">
        <f t="shared" si="18"/>
        <v/>
      </c>
      <c r="M110" s="6" t="str">
        <f t="shared" si="19"/>
        <v>🟢 SOBRE PISO</v>
      </c>
      <c r="N110" cm="1">
        <f t="array" ref="N110">IFERROR(_xlfn.SWITCH(B110,"1 L",1,"5 L",2,"5 L (VECA)",2.5,"20 L",3,"200 L",4,"250 GR",5,"500 GR",6,"1000 L",7),99)</f>
        <v>4</v>
      </c>
    </row>
    <row r="111" spans="1:14" ht="16" thickBot="1" x14ac:dyDescent="0.25">
      <c r="A111" s="5" t="s">
        <v>40</v>
      </c>
      <c r="B111" s="6" t="s">
        <v>62</v>
      </c>
      <c r="C111" s="28">
        <v>1768276</v>
      </c>
      <c r="D111" s="8">
        <v>1000</v>
      </c>
      <c r="E111" s="9">
        <f>IF(C111="","",C111/D111)</f>
        <v>1768.2760000000001</v>
      </c>
      <c r="F111" s="10">
        <f>IF(E111="","",E111/(1-$B$3))</f>
        <v>3215.0472727272727</v>
      </c>
      <c r="G111" s="12">
        <f t="shared" si="15"/>
        <v>0.45</v>
      </c>
      <c r="H111" s="28"/>
      <c r="I111" s="29">
        <v>3500</v>
      </c>
      <c r="J111" s="12">
        <f t="shared" si="16"/>
        <v>0.49477828571428567</v>
      </c>
      <c r="K111" s="13">
        <f t="shared" si="17"/>
        <v>8.8630960325198113E-2</v>
      </c>
      <c r="L111" s="14" t="str">
        <f t="shared" si="18"/>
        <v/>
      </c>
      <c r="M111" s="6" t="str">
        <f t="shared" si="19"/>
        <v>🟢 SOBRE PISO</v>
      </c>
      <c r="N111" cm="1">
        <f t="array" ref="N111">IFERROR(_xlfn.SWITCH(B111,"1 L",1,"5 L",2,"5 L (VECA)",2.5,"20 L",3,"200 L",4,"250 GR",5,"500 GR",6,"1000 L",7),99)</f>
        <v>7</v>
      </c>
    </row>
    <row r="112" spans="1:14" ht="16" thickBot="1" x14ac:dyDescent="0.25">
      <c r="A112" s="5" t="s">
        <v>41</v>
      </c>
      <c r="B112" s="6" t="s">
        <v>18</v>
      </c>
      <c r="C112" s="7">
        <v>3671</v>
      </c>
      <c r="D112" s="8">
        <v>1</v>
      </c>
      <c r="E112" s="9">
        <f>C112/D112</f>
        <v>3671</v>
      </c>
      <c r="F112" s="10">
        <f>E112/(1-$B$3)</f>
        <v>6674.545454545454</v>
      </c>
      <c r="G112" s="12">
        <f t="shared" si="15"/>
        <v>0.45</v>
      </c>
      <c r="H112" s="7"/>
      <c r="I112" s="11">
        <v>7000</v>
      </c>
      <c r="J112" s="12">
        <f t="shared" si="16"/>
        <v>0.47557142857142859</v>
      </c>
      <c r="K112" s="13">
        <f t="shared" si="17"/>
        <v>4.8760555706891931E-2</v>
      </c>
      <c r="L112" s="14" t="str">
        <f t="shared" si="18"/>
        <v/>
      </c>
      <c r="M112" s="6" t="str">
        <f t="shared" si="19"/>
        <v>🟡 EN PISO</v>
      </c>
      <c r="N112" cm="1">
        <f t="array" ref="N112">IFERROR(_xlfn.SWITCH(B112,"1 L",1,"5 L",2,"5 L (VECA)",2.5,"20 L",3,"200 L",4,"250 GR",5,"500 GR",6,"1000 L",7),99)</f>
        <v>1</v>
      </c>
    </row>
    <row r="113" spans="1:14" x14ac:dyDescent="0.2">
      <c r="A113" s="5" t="s">
        <v>41</v>
      </c>
      <c r="B113" s="6" t="s">
        <v>19</v>
      </c>
      <c r="C113" s="7">
        <v>12777</v>
      </c>
      <c r="D113" s="8">
        <v>5</v>
      </c>
      <c r="E113" s="9">
        <f>C113/D113</f>
        <v>2555.4</v>
      </c>
      <c r="F113" s="10">
        <f>E113/(1-$B$3)</f>
        <v>4646.181818181818</v>
      </c>
      <c r="G113" s="12">
        <f t="shared" si="15"/>
        <v>0.45</v>
      </c>
      <c r="H113" s="7"/>
      <c r="I113" s="11">
        <v>6000</v>
      </c>
      <c r="J113" s="12">
        <f t="shared" si="16"/>
        <v>0.57409999999999994</v>
      </c>
      <c r="K113" s="13">
        <f t="shared" si="17"/>
        <v>0.29138295374501061</v>
      </c>
      <c r="L113" s="14" t="str">
        <f t="shared" si="18"/>
        <v/>
      </c>
      <c r="M113" s="6" t="str">
        <f t="shared" si="19"/>
        <v>🟢 SOBRE PISO</v>
      </c>
      <c r="N113" cm="1">
        <f t="array" ref="N113">IFERROR(_xlfn.SWITCH(B113,"1 L",1,"5 L",2,"5 L (VECA)",2.5,"20 L",3,"200 L",4,"250 GR",5,"500 GR",6,"1000 L",7),99)</f>
        <v>2</v>
      </c>
    </row>
    <row r="114" spans="1:14" x14ac:dyDescent="0.2">
      <c r="A114" s="5" t="s">
        <v>41</v>
      </c>
      <c r="B114" s="6" t="s">
        <v>20</v>
      </c>
      <c r="C114" s="7">
        <v>36768</v>
      </c>
      <c r="D114" s="8">
        <v>20</v>
      </c>
      <c r="E114" s="9">
        <f>C114/D114</f>
        <v>1838.4</v>
      </c>
      <c r="F114" s="10">
        <f>E114/(1-$B$3)</f>
        <v>3342.5454545454545</v>
      </c>
      <c r="G114" s="12">
        <f t="shared" si="15"/>
        <v>0.45</v>
      </c>
      <c r="H114" s="7">
        <v>3027</v>
      </c>
      <c r="I114" s="11">
        <v>4500</v>
      </c>
      <c r="J114" s="12">
        <f t="shared" si="16"/>
        <v>0.5914666666666667</v>
      </c>
      <c r="K114" s="13">
        <f t="shared" si="17"/>
        <v>0.34627937336814624</v>
      </c>
      <c r="L114" s="14">
        <f t="shared" si="18"/>
        <v>1473</v>
      </c>
      <c r="M114" s="6" t="str">
        <f t="shared" si="19"/>
        <v>🟢 SOBRE PISO</v>
      </c>
      <c r="N114" cm="1">
        <f t="array" ref="N114">IFERROR(_xlfn.SWITCH(B114,"1 L",1,"5 L",2,"5 L (VECA)",2.5,"20 L",3,"200 L",4,"250 GR",5,"500 GR",6,"1000 L",7),99)</f>
        <v>3</v>
      </c>
    </row>
    <row r="115" spans="1:14" ht="16" thickBot="1" x14ac:dyDescent="0.25">
      <c r="A115" s="5" t="s">
        <v>41</v>
      </c>
      <c r="B115" s="6" t="s">
        <v>22</v>
      </c>
      <c r="C115" s="28">
        <v>311371</v>
      </c>
      <c r="D115" s="8">
        <v>200</v>
      </c>
      <c r="E115" s="9">
        <f>IF(C115="","",C115/D115)</f>
        <v>1556.855</v>
      </c>
      <c r="F115" s="10">
        <f>IF(E115="","",E115/(1-$B$3))</f>
        <v>2830.6454545454544</v>
      </c>
      <c r="G115" s="12">
        <f t="shared" si="15"/>
        <v>0.45</v>
      </c>
      <c r="H115" s="28"/>
      <c r="I115" s="29">
        <v>3800</v>
      </c>
      <c r="J115" s="12">
        <f t="shared" si="16"/>
        <v>0.59030131578947365</v>
      </c>
      <c r="K115" s="13">
        <f t="shared" si="17"/>
        <v>0.34245000337218306</v>
      </c>
      <c r="L115" s="14" t="str">
        <f t="shared" si="18"/>
        <v/>
      </c>
      <c r="M115" s="6" t="str">
        <f t="shared" si="19"/>
        <v>🟢 SOBRE PISO</v>
      </c>
      <c r="N115" cm="1">
        <f t="array" ref="N115">IFERROR(_xlfn.SWITCH(B115,"1 L",1,"5 L",2,"5 L (VECA)",2.5,"20 L",3,"200 L",4,"250 GR",5,"500 GR",6,"1000 L",7),99)</f>
        <v>4</v>
      </c>
    </row>
    <row r="116" spans="1:14" ht="16" thickBot="1" x14ac:dyDescent="0.25">
      <c r="A116" s="5" t="s">
        <v>41</v>
      </c>
      <c r="B116" s="6" t="s">
        <v>62</v>
      </c>
      <c r="C116" s="28">
        <v>1493723</v>
      </c>
      <c r="D116" s="8">
        <v>1000</v>
      </c>
      <c r="E116" s="9">
        <f>IF(C116="","",C116/D116)</f>
        <v>1493.723</v>
      </c>
      <c r="F116" s="10">
        <f>IF(E116="","",E116/(1-$B$3))</f>
        <v>2715.8599999999997</v>
      </c>
      <c r="G116" s="12">
        <f t="shared" si="15"/>
        <v>0.45</v>
      </c>
      <c r="H116" s="28"/>
      <c r="I116" s="29">
        <v>3000</v>
      </c>
      <c r="J116" s="12">
        <f t="shared" si="16"/>
        <v>0.50209233333333336</v>
      </c>
      <c r="K116" s="13">
        <f t="shared" si="17"/>
        <v>0.10462247685815924</v>
      </c>
      <c r="L116" s="14" t="str">
        <f t="shared" si="18"/>
        <v/>
      </c>
      <c r="M116" s="6" t="str">
        <f t="shared" si="19"/>
        <v>🟢 SOBRE PISO</v>
      </c>
      <c r="N116" cm="1">
        <f t="array" ref="N116">IFERROR(_xlfn.SWITCH(B116,"1 L",1,"5 L",2,"5 L (VECA)",2.5,"20 L",3,"200 L",4,"250 GR",5,"500 GR",6,"1000 L",7),99)</f>
        <v>7</v>
      </c>
    </row>
    <row r="117" spans="1:14" ht="16" thickBot="1" x14ac:dyDescent="0.25">
      <c r="A117" s="5" t="s">
        <v>42</v>
      </c>
      <c r="B117" s="6" t="s">
        <v>18</v>
      </c>
      <c r="C117" s="7">
        <v>4474</v>
      </c>
      <c r="D117" s="8">
        <v>1</v>
      </c>
      <c r="E117" s="9">
        <f>C117/D117</f>
        <v>4474</v>
      </c>
      <c r="F117" s="10">
        <f>E117/(1-$B$3)</f>
        <v>8134.545454545454</v>
      </c>
      <c r="G117" s="12">
        <f t="shared" si="15"/>
        <v>0.45</v>
      </c>
      <c r="H117" s="7">
        <v>9900</v>
      </c>
      <c r="I117" s="11">
        <v>10000</v>
      </c>
      <c r="J117" s="12">
        <f t="shared" si="16"/>
        <v>0.55259999999999998</v>
      </c>
      <c r="K117" s="13">
        <f t="shared" si="17"/>
        <v>0.22932498882431837</v>
      </c>
      <c r="L117" s="14">
        <f t="shared" si="18"/>
        <v>100</v>
      </c>
      <c r="M117" s="6" t="str">
        <f t="shared" si="19"/>
        <v>🟢 SOBRE PISO</v>
      </c>
      <c r="N117" cm="1">
        <f t="array" ref="N117">IFERROR(_xlfn.SWITCH(B117,"1 L",1,"5 L",2,"5 L (VECA)",2.5,"20 L",3,"200 L",4,"250 GR",5,"500 GR",6,"1000 L",7),99)</f>
        <v>1</v>
      </c>
    </row>
    <row r="118" spans="1:14" x14ac:dyDescent="0.2">
      <c r="A118" s="5" t="s">
        <v>42</v>
      </c>
      <c r="B118" s="6" t="s">
        <v>19</v>
      </c>
      <c r="C118" s="7">
        <v>16791</v>
      </c>
      <c r="D118" s="8">
        <v>5</v>
      </c>
      <c r="E118" s="9">
        <f>C118/D118</f>
        <v>3358.2</v>
      </c>
      <c r="F118" s="10">
        <f>E118/(1-$B$3)</f>
        <v>6105.8181818181811</v>
      </c>
      <c r="G118" s="12">
        <f t="shared" si="15"/>
        <v>0.45</v>
      </c>
      <c r="H118" s="7"/>
      <c r="I118" s="11">
        <v>9000</v>
      </c>
      <c r="J118" s="12">
        <f t="shared" si="16"/>
        <v>0.62686666666666668</v>
      </c>
      <c r="K118" s="13">
        <f t="shared" si="17"/>
        <v>0.47400393067714863</v>
      </c>
      <c r="L118" s="14" t="str">
        <f t="shared" si="18"/>
        <v/>
      </c>
      <c r="M118" s="6" t="str">
        <f t="shared" si="19"/>
        <v>🟢 SOBRE PISO</v>
      </c>
      <c r="N118" cm="1">
        <f t="array" ref="N118">IFERROR(_xlfn.SWITCH(B118,"1 L",1,"5 L",2,"5 L (VECA)",2.5,"20 L",3,"200 L",4,"250 GR",5,"500 GR",6,"1000 L",7),99)</f>
        <v>2</v>
      </c>
    </row>
    <row r="119" spans="1:14" x14ac:dyDescent="0.2">
      <c r="A119" s="5" t="s">
        <v>42</v>
      </c>
      <c r="B119" s="6" t="s">
        <v>20</v>
      </c>
      <c r="C119" s="28">
        <v>26412</v>
      </c>
      <c r="D119" s="8">
        <v>20</v>
      </c>
      <c r="E119" s="9">
        <f>IF(C119="","",C119/D119)</f>
        <v>1320.6</v>
      </c>
      <c r="F119" s="10">
        <f>IF(E119="","",E119/(1-$B$3))</f>
        <v>2401.0909090909086</v>
      </c>
      <c r="G119" s="12">
        <f t="shared" si="15"/>
        <v>0.45</v>
      </c>
      <c r="H119" s="28">
        <v>8476</v>
      </c>
      <c r="I119" s="29">
        <v>8500</v>
      </c>
      <c r="J119" s="12">
        <f t="shared" si="16"/>
        <v>0.84463529411764704</v>
      </c>
      <c r="K119" s="13">
        <f t="shared" si="17"/>
        <v>2.5400575495986684</v>
      </c>
      <c r="L119" s="14">
        <f t="shared" si="18"/>
        <v>24</v>
      </c>
      <c r="M119" s="6" t="str">
        <f t="shared" si="19"/>
        <v>🟢 SOBRE PISO</v>
      </c>
      <c r="N119" cm="1">
        <f t="array" ref="N119">IFERROR(_xlfn.SWITCH(B119,"1 L",1,"5 L",2,"5 L (VECA)",2.5,"20 L",3,"200 L",4,"250 GR",5,"500 GR",6,"1000 L",7),99)</f>
        <v>3</v>
      </c>
    </row>
    <row r="120" spans="1:14" ht="16" thickBot="1" x14ac:dyDescent="0.25">
      <c r="A120" s="5" t="s">
        <v>42</v>
      </c>
      <c r="B120" s="6" t="s">
        <v>22</v>
      </c>
      <c r="C120" s="28">
        <v>235969</v>
      </c>
      <c r="D120" s="8">
        <v>200</v>
      </c>
      <c r="E120" s="9">
        <f>IF(C120="","",C120/D120)</f>
        <v>1179.845</v>
      </c>
      <c r="F120" s="10">
        <f>IF(E120="","",E120/(1-$B$3))</f>
        <v>2145.1727272727271</v>
      </c>
      <c r="G120" s="12">
        <f t="shared" si="15"/>
        <v>0.45</v>
      </c>
      <c r="H120" s="28"/>
      <c r="I120" s="29">
        <v>7000</v>
      </c>
      <c r="J120" s="12">
        <f t="shared" si="16"/>
        <v>0.83145071428571427</v>
      </c>
      <c r="K120" s="13">
        <f t="shared" si="17"/>
        <v>2.2631404972687093</v>
      </c>
      <c r="L120" s="14" t="str">
        <f t="shared" si="18"/>
        <v/>
      </c>
      <c r="M120" s="6" t="str">
        <f t="shared" si="19"/>
        <v>🟢 SOBRE PISO</v>
      </c>
      <c r="N120" cm="1">
        <f t="array" ref="N120">IFERROR(_xlfn.SWITCH(B120,"1 L",1,"5 L",2,"5 L (VECA)",2.5,"20 L",3,"200 L",4,"250 GR",5,"500 GR",6,"1000 L",7),99)</f>
        <v>4</v>
      </c>
    </row>
    <row r="121" spans="1:14" ht="16" thickBot="1" x14ac:dyDescent="0.25">
      <c r="A121" s="5" t="s">
        <v>42</v>
      </c>
      <c r="B121" s="6" t="s">
        <v>62</v>
      </c>
      <c r="C121" s="28">
        <v>1148280</v>
      </c>
      <c r="D121" s="8">
        <v>1000</v>
      </c>
      <c r="E121" s="9">
        <f>IF(C121="","",C121/D121)</f>
        <v>1148.28</v>
      </c>
      <c r="F121" s="10">
        <f>IF(E121="","",E121/(1-$B$3))</f>
        <v>2087.7818181818179</v>
      </c>
      <c r="G121" s="12">
        <f t="shared" si="15"/>
        <v>0.45</v>
      </c>
      <c r="H121" s="28"/>
      <c r="I121" s="29">
        <v>5800</v>
      </c>
      <c r="J121" s="12">
        <f t="shared" si="16"/>
        <v>0.80202068965517248</v>
      </c>
      <c r="K121" s="13">
        <f t="shared" si="17"/>
        <v>1.7780680670219811</v>
      </c>
      <c r="L121" s="14" t="str">
        <f t="shared" si="18"/>
        <v/>
      </c>
      <c r="M121" s="6" t="str">
        <f t="shared" si="19"/>
        <v>🟢 SOBRE PISO</v>
      </c>
      <c r="N121" cm="1">
        <f t="array" ref="N121">IFERROR(_xlfn.SWITCH(B121,"1 L",1,"5 L",2,"5 L (VECA)",2.5,"20 L",3,"200 L",4,"250 GR",5,"500 GR",6,"1000 L",7),99)</f>
        <v>7</v>
      </c>
    </row>
    <row r="122" spans="1:14" ht="16" thickBot="1" x14ac:dyDescent="0.25">
      <c r="A122" s="5" t="s">
        <v>43</v>
      </c>
      <c r="B122" s="6" t="s">
        <v>18</v>
      </c>
      <c r="C122" s="7">
        <v>4153</v>
      </c>
      <c r="D122" s="8">
        <v>1</v>
      </c>
      <c r="E122" s="9">
        <f>C122/D122</f>
        <v>4153</v>
      </c>
      <c r="F122" s="10">
        <f>E122/(1-$B$3)</f>
        <v>7550.9090909090901</v>
      </c>
      <c r="G122" s="12">
        <f t="shared" si="15"/>
        <v>0.45</v>
      </c>
      <c r="H122" s="7"/>
      <c r="I122" s="11">
        <v>12000</v>
      </c>
      <c r="J122" s="12">
        <f t="shared" si="16"/>
        <v>0.6539166666666667</v>
      </c>
      <c r="K122" s="13">
        <f t="shared" si="17"/>
        <v>0.58921261738502306</v>
      </c>
      <c r="L122" s="14" t="str">
        <f t="shared" si="18"/>
        <v/>
      </c>
      <c r="M122" s="6" t="str">
        <f t="shared" si="19"/>
        <v>🟢 SOBRE PISO</v>
      </c>
      <c r="N122" cm="1">
        <f t="array" ref="N122">IFERROR(_xlfn.SWITCH(B122,"1 L",1,"5 L",2,"5 L (VECA)",2.5,"20 L",3,"200 L",4,"250 GR",5,"500 GR",6,"1000 L",7),99)</f>
        <v>1</v>
      </c>
    </row>
    <row r="123" spans="1:14" x14ac:dyDescent="0.2">
      <c r="A123" s="5" t="s">
        <v>43</v>
      </c>
      <c r="B123" s="6" t="s">
        <v>19</v>
      </c>
      <c r="C123" s="7">
        <v>15184</v>
      </c>
      <c r="D123" s="8">
        <v>5</v>
      </c>
      <c r="E123" s="9">
        <f>C123/D123</f>
        <v>3036.8</v>
      </c>
      <c r="F123" s="10">
        <f>E123/(1-$B$3)</f>
        <v>5521.454545454545</v>
      </c>
      <c r="G123" s="12">
        <f t="shared" si="15"/>
        <v>0.45</v>
      </c>
      <c r="H123" s="7">
        <v>10508</v>
      </c>
      <c r="I123" s="11">
        <v>10800</v>
      </c>
      <c r="J123" s="12">
        <f t="shared" si="16"/>
        <v>0.7188148148148148</v>
      </c>
      <c r="K123" s="13">
        <f t="shared" si="17"/>
        <v>0.95600632244467876</v>
      </c>
      <c r="L123" s="14">
        <f t="shared" si="18"/>
        <v>292</v>
      </c>
      <c r="M123" s="6" t="str">
        <f t="shared" si="19"/>
        <v>🟢 SOBRE PISO</v>
      </c>
      <c r="N123" cm="1">
        <f t="array" ref="N123">IFERROR(_xlfn.SWITCH(B123,"1 L",1,"5 L",2,"5 L (VECA)",2.5,"20 L",3,"200 L",4,"250 GR",5,"500 GR",6,"1000 L",7),99)</f>
        <v>2</v>
      </c>
    </row>
    <row r="124" spans="1:14" x14ac:dyDescent="0.2">
      <c r="A124" s="5" t="s">
        <v>43</v>
      </c>
      <c r="B124" s="6" t="s">
        <v>20</v>
      </c>
      <c r="C124" s="28">
        <v>46394</v>
      </c>
      <c r="D124" s="8">
        <v>20</v>
      </c>
      <c r="E124" s="9">
        <f>IF(C124="","",C124/D124)</f>
        <v>2319.6999999999998</v>
      </c>
      <c r="F124" s="10">
        <f>IF(E124="","",E124/(1-$B$3))</f>
        <v>4217.6363636363631</v>
      </c>
      <c r="G124" s="12">
        <f t="shared" si="15"/>
        <v>0.45</v>
      </c>
      <c r="H124" s="28">
        <v>10351</v>
      </c>
      <c r="I124" s="29">
        <v>10000</v>
      </c>
      <c r="J124" s="12">
        <f t="shared" si="16"/>
        <v>0.76802999999999999</v>
      </c>
      <c r="K124" s="13">
        <f t="shared" si="17"/>
        <v>1.3709962495150239</v>
      </c>
      <c r="L124" s="14">
        <f t="shared" si="18"/>
        <v>-351</v>
      </c>
      <c r="M124" s="6" t="str">
        <f t="shared" si="19"/>
        <v>🟢 SOBRE PISO</v>
      </c>
      <c r="N124" cm="1">
        <f t="array" ref="N124">IFERROR(_xlfn.SWITCH(B124,"1 L",1,"5 L",2,"5 L (VECA)",2.5,"20 L",3,"200 L",4,"250 GR",5,"500 GR",6,"1000 L",7),99)</f>
        <v>3</v>
      </c>
    </row>
    <row r="125" spans="1:14" ht="16" thickBot="1" x14ac:dyDescent="0.25">
      <c r="A125" s="5" t="s">
        <v>43</v>
      </c>
      <c r="B125" s="6" t="s">
        <v>22</v>
      </c>
      <c r="C125" s="28">
        <v>407630</v>
      </c>
      <c r="D125" s="8">
        <v>200</v>
      </c>
      <c r="E125" s="9">
        <f>IF(C125="","",C125/D125)</f>
        <v>2038.15</v>
      </c>
      <c r="F125" s="10">
        <f>IF(E125="","",E125/(1-$B$3))</f>
        <v>3705.7272727272725</v>
      </c>
      <c r="G125" s="12">
        <f t="shared" si="15"/>
        <v>0.45</v>
      </c>
      <c r="H125" s="28"/>
      <c r="I125" s="29">
        <v>8800</v>
      </c>
      <c r="J125" s="12">
        <f t="shared" si="16"/>
        <v>0.76839204545454554</v>
      </c>
      <c r="K125" s="13">
        <f t="shared" si="17"/>
        <v>1.3747025488801121</v>
      </c>
      <c r="L125" s="14" t="str">
        <f t="shared" si="18"/>
        <v/>
      </c>
      <c r="M125" s="6" t="str">
        <f t="shared" si="19"/>
        <v>🟢 SOBRE PISO</v>
      </c>
      <c r="N125" cm="1">
        <f t="array" ref="N125">IFERROR(_xlfn.SWITCH(B125,"1 L",1,"5 L",2,"5 L (VECA)",2.5,"20 L",3,"200 L",4,"250 GR",5,"500 GR",6,"1000 L",7),99)</f>
        <v>4</v>
      </c>
    </row>
    <row r="126" spans="1:14" ht="16" thickBot="1" x14ac:dyDescent="0.25">
      <c r="A126" s="5" t="s">
        <v>43</v>
      </c>
      <c r="B126" s="6" t="s">
        <v>62</v>
      </c>
      <c r="C126" s="28">
        <v>1975020</v>
      </c>
      <c r="D126" s="8">
        <v>1000</v>
      </c>
      <c r="E126" s="9">
        <f>IF(C126="","",C126/D126)</f>
        <v>1975.02</v>
      </c>
      <c r="F126" s="10">
        <f>IF(E126="","",E126/(1-$B$3))</f>
        <v>3590.9454545454541</v>
      </c>
      <c r="G126" s="12">
        <f t="shared" si="15"/>
        <v>0.45</v>
      </c>
      <c r="H126" s="28"/>
      <c r="I126" s="29">
        <v>7000</v>
      </c>
      <c r="J126" s="12">
        <f t="shared" si="16"/>
        <v>0.71785428571428567</v>
      </c>
      <c r="K126" s="13">
        <f t="shared" si="17"/>
        <v>0.94934734838128243</v>
      </c>
      <c r="L126" s="14" t="str">
        <f t="shared" si="18"/>
        <v/>
      </c>
      <c r="M126" s="6" t="str">
        <f t="shared" si="19"/>
        <v>🟢 SOBRE PISO</v>
      </c>
      <c r="N126" cm="1">
        <f t="array" ref="N126">IFERROR(_xlfn.SWITCH(B126,"1 L",1,"5 L",2,"5 L (VECA)",2.5,"20 L",3,"200 L",4,"250 GR",5,"500 GR",6,"1000 L",7),99)</f>
        <v>7</v>
      </c>
    </row>
    <row r="127" spans="1:14" ht="16" thickBot="1" x14ac:dyDescent="0.25">
      <c r="A127" s="5" t="s">
        <v>44</v>
      </c>
      <c r="B127" s="6" t="s">
        <v>18</v>
      </c>
      <c r="C127" s="7">
        <v>3706</v>
      </c>
      <c r="D127" s="8">
        <v>1</v>
      </c>
      <c r="E127" s="9">
        <f>C127/D127</f>
        <v>3706</v>
      </c>
      <c r="F127" s="10">
        <f>E127/(1-$B$3)</f>
        <v>6738.181818181818</v>
      </c>
      <c r="G127" s="12">
        <f t="shared" si="15"/>
        <v>0.45</v>
      </c>
      <c r="H127" s="7">
        <v>9022</v>
      </c>
      <c r="I127" s="11">
        <v>9000</v>
      </c>
      <c r="J127" s="12">
        <f t="shared" si="16"/>
        <v>0.5882222222222222</v>
      </c>
      <c r="K127" s="13">
        <f t="shared" si="17"/>
        <v>0.335671883432272</v>
      </c>
      <c r="L127" s="14">
        <f t="shared" si="18"/>
        <v>-22</v>
      </c>
      <c r="M127" s="6" t="str">
        <f t="shared" si="19"/>
        <v>🟢 SOBRE PISO</v>
      </c>
      <c r="N127" cm="1">
        <f t="array" ref="N127">IFERROR(_xlfn.SWITCH(B127,"1 L",1,"5 L",2,"5 L (VECA)",2.5,"20 L",3,"200 L",4,"250 GR",5,"500 GR",6,"1000 L",7),99)</f>
        <v>1</v>
      </c>
    </row>
    <row r="128" spans="1:14" x14ac:dyDescent="0.2">
      <c r="A128" s="5" t="s">
        <v>44</v>
      </c>
      <c r="B128" s="6" t="s">
        <v>19</v>
      </c>
      <c r="C128" s="7">
        <v>12951</v>
      </c>
      <c r="D128" s="8">
        <v>5</v>
      </c>
      <c r="E128" s="9">
        <f>C128/D128</f>
        <v>2590.1999999999998</v>
      </c>
      <c r="F128" s="10">
        <f>E128/(1-$B$3)</f>
        <v>4709.454545454545</v>
      </c>
      <c r="G128" s="12">
        <f t="shared" si="15"/>
        <v>0.45</v>
      </c>
      <c r="H128" s="7">
        <v>5769</v>
      </c>
      <c r="I128" s="11">
        <v>6500</v>
      </c>
      <c r="J128" s="12">
        <f t="shared" si="16"/>
        <v>0.6015076923076923</v>
      </c>
      <c r="K128" s="13">
        <f t="shared" si="17"/>
        <v>0.38020230098061936</v>
      </c>
      <c r="L128" s="14">
        <f t="shared" si="18"/>
        <v>731</v>
      </c>
      <c r="M128" s="6" t="str">
        <f t="shared" si="19"/>
        <v>🟢 SOBRE PISO</v>
      </c>
      <c r="N128" cm="1">
        <f t="array" ref="N128">IFERROR(_xlfn.SWITCH(B128,"1 L",1,"5 L",2,"5 L (VECA)",2.5,"20 L",3,"200 L",4,"250 GR",5,"500 GR",6,"1000 L",7),99)</f>
        <v>2</v>
      </c>
    </row>
    <row r="129" spans="1:14" x14ac:dyDescent="0.2">
      <c r="A129" s="5" t="s">
        <v>44</v>
      </c>
      <c r="B129" s="6" t="s">
        <v>20</v>
      </c>
      <c r="C129" s="7">
        <v>37464</v>
      </c>
      <c r="D129" s="8">
        <v>20</v>
      </c>
      <c r="E129" s="9">
        <f>C129/D129</f>
        <v>1873.2</v>
      </c>
      <c r="F129" s="10">
        <f>E129/(1-$B$3)</f>
        <v>3405.8181818181815</v>
      </c>
      <c r="G129" s="12">
        <f t="shared" si="15"/>
        <v>0.45</v>
      </c>
      <c r="H129" s="7">
        <v>5062</v>
      </c>
      <c r="I129" s="11">
        <v>5500</v>
      </c>
      <c r="J129" s="12">
        <f t="shared" si="16"/>
        <v>0.6594181818181819</v>
      </c>
      <c r="K129" s="13">
        <f t="shared" si="17"/>
        <v>0.61488362161007915</v>
      </c>
      <c r="L129" s="14">
        <f t="shared" si="18"/>
        <v>438</v>
      </c>
      <c r="M129" s="6" t="str">
        <f t="shared" si="19"/>
        <v>🟢 SOBRE PISO</v>
      </c>
      <c r="N129" cm="1">
        <f t="array" ref="N129">IFERROR(_xlfn.SWITCH(B129,"1 L",1,"5 L",2,"5 L (VECA)",2.5,"20 L",3,"200 L",4,"250 GR",5,"500 GR",6,"1000 L",7),99)</f>
        <v>3</v>
      </c>
    </row>
    <row r="130" spans="1:14" ht="16" thickBot="1" x14ac:dyDescent="0.25">
      <c r="A130" s="5" t="s">
        <v>44</v>
      </c>
      <c r="B130" s="6" t="s">
        <v>22</v>
      </c>
      <c r="C130" s="28">
        <v>318330</v>
      </c>
      <c r="D130" s="8">
        <v>200</v>
      </c>
      <c r="E130" s="9">
        <f>IF(C130="","",C130/D130)</f>
        <v>1591.65</v>
      </c>
      <c r="F130" s="10">
        <f>IF(E130="","",E130/(1-$B$3))</f>
        <v>2893.909090909091</v>
      </c>
      <c r="G130" s="12">
        <f t="shared" si="15"/>
        <v>0.45</v>
      </c>
      <c r="H130" s="28"/>
      <c r="I130" s="29">
        <v>4000</v>
      </c>
      <c r="J130" s="12">
        <f t="shared" si="16"/>
        <v>0.6020875</v>
      </c>
      <c r="K130" s="13">
        <f t="shared" si="17"/>
        <v>0.38221342631860017</v>
      </c>
      <c r="L130" s="14" t="str">
        <f t="shared" si="18"/>
        <v/>
      </c>
      <c r="M130" s="6" t="str">
        <f t="shared" si="19"/>
        <v>🟢 SOBRE PISO</v>
      </c>
      <c r="N130" cm="1">
        <f t="array" ref="N130">IFERROR(_xlfn.SWITCH(B130,"1 L",1,"5 L",2,"5 L (VECA)",2.5,"20 L",3,"200 L",4,"250 GR",5,"500 GR",6,"1000 L",7),99)</f>
        <v>4</v>
      </c>
    </row>
    <row r="131" spans="1:14" ht="16" thickBot="1" x14ac:dyDescent="0.25">
      <c r="A131" s="5" t="s">
        <v>44</v>
      </c>
      <c r="B131" s="6" t="s">
        <v>62</v>
      </c>
      <c r="C131" s="28">
        <v>1528520</v>
      </c>
      <c r="D131" s="8">
        <v>1000</v>
      </c>
      <c r="E131" s="9">
        <f>IF(C131="","",C131/D131)</f>
        <v>1528.52</v>
      </c>
      <c r="F131" s="10">
        <f>IF(E131="","",E131/(1-$B$3))</f>
        <v>2779.1272727272726</v>
      </c>
      <c r="G131" s="12">
        <f t="shared" si="15"/>
        <v>0.45</v>
      </c>
      <c r="H131" s="28"/>
      <c r="I131" s="29">
        <v>2800</v>
      </c>
      <c r="J131" s="12">
        <f t="shared" si="16"/>
        <v>0.4541</v>
      </c>
      <c r="K131" s="13">
        <f t="shared" si="17"/>
        <v>7.5105330646638999E-3</v>
      </c>
      <c r="L131" s="14" t="str">
        <f t="shared" si="18"/>
        <v/>
      </c>
      <c r="M131" s="6" t="str">
        <f t="shared" si="19"/>
        <v>🟡 EN PISO</v>
      </c>
      <c r="N131" cm="1">
        <f t="array" ref="N131">IFERROR(_xlfn.SWITCH(B131,"1 L",1,"5 L",2,"5 L (VECA)",2.5,"20 L",3,"200 L",4,"250 GR",5,"500 GR",6,"1000 L",7),99)</f>
        <v>7</v>
      </c>
    </row>
    <row r="132" spans="1:14" ht="16" thickBot="1" x14ac:dyDescent="0.25">
      <c r="A132" s="5" t="s">
        <v>55</v>
      </c>
      <c r="B132" s="6" t="s">
        <v>50</v>
      </c>
      <c r="C132" s="7">
        <v>10500</v>
      </c>
      <c r="D132" s="8">
        <v>1</v>
      </c>
      <c r="E132" s="9">
        <f t="shared" ref="E132:E141" si="20">C132/D132</f>
        <v>10500</v>
      </c>
      <c r="F132" s="10">
        <f t="shared" ref="F132:F141" si="21">E132/(1-$B$3)</f>
        <v>19090.909090909088</v>
      </c>
      <c r="G132" s="12">
        <f t="shared" si="15"/>
        <v>0.45</v>
      </c>
      <c r="H132" s="7"/>
      <c r="I132" s="11">
        <v>40000</v>
      </c>
      <c r="J132" s="12">
        <f t="shared" si="16"/>
        <v>0.73750000000000004</v>
      </c>
      <c r="K132" s="13">
        <f t="shared" si="17"/>
        <v>1.0952380952380956</v>
      </c>
      <c r="L132" s="14" t="str">
        <f t="shared" si="18"/>
        <v/>
      </c>
      <c r="M132" s="6" t="str">
        <f t="shared" si="19"/>
        <v>🟢 SOBRE PISO</v>
      </c>
      <c r="N132" cm="1">
        <f t="array" ref="N132">IFERROR(_xlfn.SWITCH(B132,"1 L",1,"5 L",2,"5 L (VECA)",2.5,"20 L",3,"200 L",4,"250 GR",5,"500 GR",6,"1000 L",7),99)</f>
        <v>6</v>
      </c>
    </row>
    <row r="133" spans="1:14" x14ac:dyDescent="0.2">
      <c r="A133" s="5" t="s">
        <v>45</v>
      </c>
      <c r="B133" s="6" t="s">
        <v>46</v>
      </c>
      <c r="C133" s="7">
        <v>8500</v>
      </c>
      <c r="D133" s="8">
        <v>1</v>
      </c>
      <c r="E133" s="9">
        <f t="shared" si="20"/>
        <v>8500</v>
      </c>
      <c r="F133" s="10">
        <f t="shared" si="21"/>
        <v>15454.545454545454</v>
      </c>
      <c r="G133" s="12">
        <f t="shared" si="15"/>
        <v>0.45</v>
      </c>
      <c r="H133" s="7">
        <v>33250</v>
      </c>
      <c r="I133" s="11">
        <v>33500</v>
      </c>
      <c r="J133" s="12">
        <f t="shared" si="16"/>
        <v>0.74626865671641796</v>
      </c>
      <c r="K133" s="13">
        <f t="shared" si="17"/>
        <v>1.1676470588235293</v>
      </c>
      <c r="L133" s="14">
        <f t="shared" si="18"/>
        <v>250</v>
      </c>
      <c r="M133" s="6" t="str">
        <f t="shared" si="19"/>
        <v>🟢 SOBRE PISO</v>
      </c>
      <c r="N133" cm="1">
        <f t="array" ref="N133">IFERROR(_xlfn.SWITCH(B133,"1 L",1,"5 L",2,"5 L (VECA)",2.5,"20 L",3,"200 L",4,"250 GR",5,"500 GR",6,"1000 L",7),99)</f>
        <v>5</v>
      </c>
    </row>
    <row r="134" spans="1:14" x14ac:dyDescent="0.2">
      <c r="A134" s="5" t="s">
        <v>47</v>
      </c>
      <c r="B134" s="6" t="s">
        <v>46</v>
      </c>
      <c r="C134" s="7">
        <v>8500</v>
      </c>
      <c r="D134" s="8">
        <v>1</v>
      </c>
      <c r="E134" s="9">
        <f t="shared" si="20"/>
        <v>8500</v>
      </c>
      <c r="F134" s="10">
        <f t="shared" si="21"/>
        <v>15454.545454545454</v>
      </c>
      <c r="G134" s="12">
        <f t="shared" ref="G134:G143" si="22">$B$3</f>
        <v>0.45</v>
      </c>
      <c r="H134" s="7">
        <v>34788</v>
      </c>
      <c r="I134" s="11">
        <v>34800</v>
      </c>
      <c r="J134" s="12">
        <f t="shared" ref="J134:J165" si="23">IF(I134="","",(I134-E134)/I134)</f>
        <v>0.75574712643678166</v>
      </c>
      <c r="K134" s="13">
        <f t="shared" ref="K134:K143" si="24">IF(I134="","",(I134-F134)/F134)</f>
        <v>1.2517647058823529</v>
      </c>
      <c r="L134" s="14">
        <f t="shared" ref="L134:L143" si="25">IF(OR(I134="",H134=""),"",I134-H134)</f>
        <v>12</v>
      </c>
      <c r="M134" s="6" t="str">
        <f t="shared" ref="M134:M143" si="26">IF(I134="","⚪ SIN PROPUESTA",IF(I134&lt;F134*0.95,"🔴 BAJO PISO",IF(I134&gt;F134*1.05,"🟢 SOBRE PISO","🟡 EN PISO")))</f>
        <v>🟢 SOBRE PISO</v>
      </c>
      <c r="N134" cm="1">
        <f t="array" ref="N134">IFERROR(_xlfn.SWITCH(B134,"1 L",1,"5 L",2,"5 L (VECA)",2.5,"20 L",3,"200 L",4,"250 GR",5,"500 GR",6,"1000 L",7),99)</f>
        <v>5</v>
      </c>
    </row>
    <row r="135" spans="1:14" x14ac:dyDescent="0.2">
      <c r="A135" s="5" t="s">
        <v>53</v>
      </c>
      <c r="B135" s="6" t="s">
        <v>50</v>
      </c>
      <c r="C135" s="7">
        <v>10500</v>
      </c>
      <c r="D135" s="8">
        <v>1</v>
      </c>
      <c r="E135" s="9">
        <f t="shared" si="20"/>
        <v>10500</v>
      </c>
      <c r="F135" s="10">
        <f t="shared" si="21"/>
        <v>19090.909090909088</v>
      </c>
      <c r="G135" s="12">
        <f t="shared" si="22"/>
        <v>0.45</v>
      </c>
      <c r="H135" s="7"/>
      <c r="I135" s="11">
        <v>35000</v>
      </c>
      <c r="J135" s="12">
        <f t="shared" si="23"/>
        <v>0.7</v>
      </c>
      <c r="K135" s="13">
        <f t="shared" si="24"/>
        <v>0.83333333333333359</v>
      </c>
      <c r="L135" s="14" t="str">
        <f t="shared" si="25"/>
        <v/>
      </c>
      <c r="M135" s="6" t="str">
        <f t="shared" si="26"/>
        <v>🟢 SOBRE PISO</v>
      </c>
      <c r="N135" cm="1">
        <f t="array" ref="N135">IFERROR(_xlfn.SWITCH(B135,"1 L",1,"5 L",2,"5 L (VECA)",2.5,"20 L",3,"200 L",4,"250 GR",5,"500 GR",6,"1000 L",7),99)</f>
        <v>6</v>
      </c>
    </row>
    <row r="136" spans="1:14" x14ac:dyDescent="0.2">
      <c r="A136" s="5" t="s">
        <v>54</v>
      </c>
      <c r="B136" s="6" t="s">
        <v>50</v>
      </c>
      <c r="C136" s="7">
        <v>10500</v>
      </c>
      <c r="D136" s="8">
        <v>1</v>
      </c>
      <c r="E136" s="9">
        <f t="shared" si="20"/>
        <v>10500</v>
      </c>
      <c r="F136" s="10">
        <f t="shared" si="21"/>
        <v>19090.909090909088</v>
      </c>
      <c r="G136" s="12">
        <f t="shared" si="22"/>
        <v>0.45</v>
      </c>
      <c r="H136" s="7"/>
      <c r="I136" s="11">
        <v>28000</v>
      </c>
      <c r="J136" s="12">
        <f t="shared" si="23"/>
        <v>0.625</v>
      </c>
      <c r="K136" s="13">
        <f t="shared" si="24"/>
        <v>0.4666666666666669</v>
      </c>
      <c r="L136" s="14" t="str">
        <f t="shared" si="25"/>
        <v/>
      </c>
      <c r="M136" s="6" t="str">
        <f t="shared" si="26"/>
        <v>🟢 SOBRE PISO</v>
      </c>
      <c r="N136" cm="1">
        <f t="array" ref="N136">IFERROR(_xlfn.SWITCH(B136,"1 L",1,"5 L",2,"5 L (VECA)",2.5,"20 L",3,"200 L",4,"250 GR",5,"500 GR",6,"1000 L",7),99)</f>
        <v>6</v>
      </c>
    </row>
    <row r="137" spans="1:14" x14ac:dyDescent="0.2">
      <c r="A137" s="5" t="s">
        <v>48</v>
      </c>
      <c r="B137" s="6" t="s">
        <v>46</v>
      </c>
      <c r="C137" s="7">
        <v>10500</v>
      </c>
      <c r="D137" s="8">
        <v>1</v>
      </c>
      <c r="E137" s="9">
        <f t="shared" si="20"/>
        <v>10500</v>
      </c>
      <c r="F137" s="10">
        <f t="shared" si="21"/>
        <v>19090.909090909088</v>
      </c>
      <c r="G137" s="12">
        <f t="shared" si="22"/>
        <v>0.45</v>
      </c>
      <c r="H137" s="7">
        <v>30227</v>
      </c>
      <c r="I137" s="11">
        <v>31000</v>
      </c>
      <c r="J137" s="12">
        <f t="shared" si="23"/>
        <v>0.66129032258064513</v>
      </c>
      <c r="K137" s="13">
        <f t="shared" si="24"/>
        <v>0.62380952380952404</v>
      </c>
      <c r="L137" s="14">
        <f t="shared" si="25"/>
        <v>773</v>
      </c>
      <c r="M137" s="6" t="str">
        <f t="shared" si="26"/>
        <v>🟢 SOBRE PISO</v>
      </c>
      <c r="N137" cm="1">
        <f t="array" ref="N137">IFERROR(_xlfn.SWITCH(B137,"1 L",1,"5 L",2,"5 L (VECA)",2.5,"20 L",3,"200 L",4,"250 GR",5,"500 GR",6,"1000 L",7),99)</f>
        <v>5</v>
      </c>
    </row>
    <row r="138" spans="1:14" x14ac:dyDescent="0.2">
      <c r="A138" s="5" t="s">
        <v>49</v>
      </c>
      <c r="B138" s="6" t="s">
        <v>50</v>
      </c>
      <c r="C138" s="7">
        <v>10500</v>
      </c>
      <c r="D138" s="8">
        <v>1</v>
      </c>
      <c r="E138" s="9">
        <f t="shared" si="20"/>
        <v>10500</v>
      </c>
      <c r="F138" s="10">
        <f t="shared" si="21"/>
        <v>19090.909090909088</v>
      </c>
      <c r="G138" s="12">
        <f t="shared" si="22"/>
        <v>0.45</v>
      </c>
      <c r="H138" s="7">
        <v>36332</v>
      </c>
      <c r="I138" s="11">
        <v>36500</v>
      </c>
      <c r="J138" s="12">
        <f t="shared" si="23"/>
        <v>0.71232876712328763</v>
      </c>
      <c r="K138" s="13">
        <f t="shared" si="24"/>
        <v>0.91190476190476222</v>
      </c>
      <c r="L138" s="14">
        <f t="shared" si="25"/>
        <v>168</v>
      </c>
      <c r="M138" s="6" t="str">
        <f t="shared" si="26"/>
        <v>🟢 SOBRE PISO</v>
      </c>
      <c r="N138" cm="1">
        <f t="array" ref="N138">IFERROR(_xlfn.SWITCH(B138,"1 L",1,"5 L",2,"5 L (VECA)",2.5,"20 L",3,"200 L",4,"250 GR",5,"500 GR",6,"1000 L",7),99)</f>
        <v>6</v>
      </c>
    </row>
    <row r="139" spans="1:14" x14ac:dyDescent="0.2">
      <c r="A139" s="5" t="s">
        <v>56</v>
      </c>
      <c r="B139" s="6" t="s">
        <v>18</v>
      </c>
      <c r="C139" s="7">
        <v>3990</v>
      </c>
      <c r="D139" s="8">
        <v>1</v>
      </c>
      <c r="E139" s="9">
        <f t="shared" si="20"/>
        <v>3990</v>
      </c>
      <c r="F139" s="10">
        <f t="shared" si="21"/>
        <v>7254.545454545454</v>
      </c>
      <c r="G139" s="12">
        <f t="shared" si="22"/>
        <v>0.45</v>
      </c>
      <c r="H139" s="7"/>
      <c r="I139" s="11">
        <v>7500</v>
      </c>
      <c r="J139" s="12">
        <f t="shared" si="23"/>
        <v>0.46800000000000003</v>
      </c>
      <c r="K139" s="13">
        <f t="shared" si="24"/>
        <v>3.3834586466165481E-2</v>
      </c>
      <c r="L139" s="14" t="str">
        <f t="shared" si="25"/>
        <v/>
      </c>
      <c r="M139" s="6" t="str">
        <f t="shared" si="26"/>
        <v>🟡 EN PISO</v>
      </c>
      <c r="N139" cm="1">
        <f t="array" ref="N139">IFERROR(_xlfn.SWITCH(B139,"1 L",1,"5 L",2,"5 L (VECA)",2.5,"20 L",3,"200 L",4,"250 GR",5,"500 GR",6,"1000 L",7),99)</f>
        <v>1</v>
      </c>
    </row>
    <row r="140" spans="1:14" x14ac:dyDescent="0.2">
      <c r="A140" s="5" t="s">
        <v>56</v>
      </c>
      <c r="B140" s="6" t="s">
        <v>19</v>
      </c>
      <c r="C140" s="7">
        <v>14372</v>
      </c>
      <c r="D140" s="8">
        <v>5</v>
      </c>
      <c r="E140" s="9">
        <f t="shared" si="20"/>
        <v>2874.4</v>
      </c>
      <c r="F140" s="10">
        <f t="shared" si="21"/>
        <v>5226.181818181818</v>
      </c>
      <c r="G140" s="12">
        <f t="shared" si="22"/>
        <v>0.45</v>
      </c>
      <c r="H140" s="7"/>
      <c r="I140" s="11">
        <v>6800</v>
      </c>
      <c r="J140" s="12">
        <f t="shared" si="23"/>
        <v>0.57729411764705885</v>
      </c>
      <c r="K140" s="13">
        <f t="shared" si="24"/>
        <v>0.30114110770943503</v>
      </c>
      <c r="L140" s="14" t="str">
        <f t="shared" si="25"/>
        <v/>
      </c>
      <c r="M140" s="6" t="str">
        <f t="shared" si="26"/>
        <v>🟢 SOBRE PISO</v>
      </c>
      <c r="N140" cm="1">
        <f t="array" ref="N140">IFERROR(_xlfn.SWITCH(B140,"1 L",1,"5 L",2,"5 L (VECA)",2.5,"20 L",3,"200 L",4,"250 GR",5,"500 GR",6,"1000 L",7),99)</f>
        <v>2</v>
      </c>
    </row>
    <row r="141" spans="1:14" ht="16" thickBot="1" x14ac:dyDescent="0.25">
      <c r="A141" s="5" t="s">
        <v>56</v>
      </c>
      <c r="B141" s="6" t="s">
        <v>20</v>
      </c>
      <c r="C141" s="7">
        <v>43146</v>
      </c>
      <c r="D141" s="8">
        <v>20</v>
      </c>
      <c r="E141" s="9">
        <f t="shared" si="20"/>
        <v>2157.3000000000002</v>
      </c>
      <c r="F141" s="10">
        <f t="shared" si="21"/>
        <v>3922.3636363636365</v>
      </c>
      <c r="G141" s="12">
        <f t="shared" si="22"/>
        <v>0.45</v>
      </c>
      <c r="H141" s="7"/>
      <c r="I141" s="11">
        <v>5000</v>
      </c>
      <c r="J141" s="12">
        <f t="shared" si="23"/>
        <v>0.56853999999999993</v>
      </c>
      <c r="K141" s="13">
        <f t="shared" si="24"/>
        <v>0.27474157511704439</v>
      </c>
      <c r="L141" s="14" t="str">
        <f t="shared" si="25"/>
        <v/>
      </c>
      <c r="M141" s="6" t="str">
        <f t="shared" si="26"/>
        <v>🟢 SOBRE PISO</v>
      </c>
      <c r="N141" cm="1">
        <f t="array" ref="N141">IFERROR(_xlfn.SWITCH(B141,"1 L",1,"5 L",2,"5 L (VECA)",2.5,"20 L",3,"200 L",4,"250 GR",5,"500 GR",6,"1000 L",7),99)</f>
        <v>3</v>
      </c>
    </row>
    <row r="142" spans="1:14" ht="16" thickBot="1" x14ac:dyDescent="0.25">
      <c r="A142" s="5" t="s">
        <v>56</v>
      </c>
      <c r="B142" s="6" t="s">
        <v>22</v>
      </c>
      <c r="C142" s="28">
        <v>375152</v>
      </c>
      <c r="D142" s="8">
        <v>200</v>
      </c>
      <c r="E142" s="9">
        <f>IF(C142="","",C142/D142)</f>
        <v>1875.76</v>
      </c>
      <c r="F142" s="10">
        <f>IF(E142="","",E142/(1-$B$3))</f>
        <v>3410.4727272727268</v>
      </c>
      <c r="G142" s="12">
        <f t="shared" si="22"/>
        <v>0.45</v>
      </c>
      <c r="H142" s="28"/>
      <c r="I142" s="29">
        <v>4000</v>
      </c>
      <c r="J142" s="12">
        <f t="shared" si="23"/>
        <v>0.53105999999999998</v>
      </c>
      <c r="K142" s="13">
        <f t="shared" si="24"/>
        <v>0.1728579349170471</v>
      </c>
      <c r="L142" s="14" t="str">
        <f t="shared" si="25"/>
        <v/>
      </c>
      <c r="M142" s="6" t="str">
        <f t="shared" si="26"/>
        <v>🟢 SOBRE PISO</v>
      </c>
      <c r="N142" cm="1">
        <f t="array" ref="N142">IFERROR(_xlfn.SWITCH(B142,"1 L",1,"5 L",2,"5 L (VECA)",2.5,"20 L",3,"200 L",4,"250 GR",5,"500 GR",6,"1000 L",7),99)</f>
        <v>4</v>
      </c>
    </row>
    <row r="143" spans="1:14" ht="16" thickBot="1" x14ac:dyDescent="0.25">
      <c r="A143" s="20" t="s">
        <v>56</v>
      </c>
      <c r="B143" s="21" t="s">
        <v>62</v>
      </c>
      <c r="C143" s="30">
        <v>1812632</v>
      </c>
      <c r="D143" s="22">
        <v>1000</v>
      </c>
      <c r="E143" s="23">
        <f>IF(C143="","",C143/D143)</f>
        <v>1812.6320000000001</v>
      </c>
      <c r="F143" s="24">
        <f>IF(E143="","",E143/(1-$B$3))</f>
        <v>3295.6945454545453</v>
      </c>
      <c r="G143" s="25">
        <f t="shared" si="22"/>
        <v>0.45</v>
      </c>
      <c r="H143" s="30"/>
      <c r="I143" s="29">
        <v>3800</v>
      </c>
      <c r="J143" s="25">
        <f t="shared" si="23"/>
        <v>0.52299157894736836</v>
      </c>
      <c r="K143" s="26">
        <f t="shared" si="24"/>
        <v>0.15301947665052815</v>
      </c>
      <c r="L143" s="27" t="str">
        <f t="shared" si="25"/>
        <v/>
      </c>
      <c r="M143" s="21" t="str">
        <f t="shared" si="26"/>
        <v>🟢 SOBRE PISO</v>
      </c>
      <c r="N143" cm="1">
        <f t="array" ref="N143">IFERROR(_xlfn.SWITCH(B143,"1 L",1,"5 L",2,"5 L (VECA)",2.5,"20 L",3,"200 L",4,"250 GR",5,"500 GR",6,"1000 L",7),99)</f>
        <v>7</v>
      </c>
    </row>
  </sheetData>
  <autoFilter ref="A5:M141" xr:uid="{00000000-0009-0000-0000-000000000000}">
    <sortState xmlns:xlrd2="http://schemas.microsoft.com/office/spreadsheetml/2017/richdata2" ref="A6:M144">
      <sortCondition ref="A5:A144"/>
    </sortState>
  </autoFilter>
  <mergeCells count="3">
    <mergeCell ref="A1:M1"/>
    <mergeCell ref="A2:M2"/>
    <mergeCell ref="C3:F3"/>
  </mergeCells>
  <conditionalFormatting sqref="J6:J143">
    <cfRule type="cellIs" dxfId="5" priority="2" operator="lessThan">
      <formula>$B$3</formula>
    </cfRule>
    <cfRule type="cellIs" dxfId="4" priority="3" operator="greaterThanOrEqual">
      <formula>$B$3</formula>
    </cfRule>
  </conditionalFormatting>
  <conditionalFormatting sqref="L6:L143">
    <cfRule type="cellIs" dxfId="3" priority="6" operator="lessThan">
      <formula>0</formula>
    </cfRule>
    <cfRule type="cellIs" dxfId="2" priority="7" operator="greaterThan">
      <formula>0</formula>
    </cfRule>
  </conditionalFormatting>
  <conditionalFormatting sqref="M6:M143">
    <cfRule type="expression" dxfId="1" priority="4">
      <formula>SEARCH("BAJO",M6)&gt;0</formula>
    </cfRule>
    <cfRule type="expression" dxfId="0" priority="5">
      <formula>SEARCH("SOBRE",M6)&gt;0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1CF3C-7D55-B549-9BA0-4E714E0502DA}">
  <sheetPr>
    <tabColor rgb="FF7AB648"/>
  </sheetPr>
  <dimension ref="B1:D142"/>
  <sheetViews>
    <sheetView showGridLines="0" tabSelected="1" zoomScaleNormal="100" workbookViewId="0">
      <pane ySplit="4" topLeftCell="A5" activePane="bottomLeft" state="frozen"/>
      <selection pane="bottomLeft" activeCell="D15" sqref="D15"/>
    </sheetView>
  </sheetViews>
  <sheetFormatPr baseColWidth="10" defaultColWidth="8.6640625" defaultRowHeight="15" x14ac:dyDescent="0.2"/>
  <cols>
    <col min="2" max="2" width="30.1640625" customWidth="1"/>
    <col min="3" max="3" width="21.6640625" customWidth="1"/>
    <col min="4" max="4" width="27.5" style="16" customWidth="1"/>
  </cols>
  <sheetData>
    <row r="1" spans="2:4" ht="29" customHeight="1" x14ac:dyDescent="0.2">
      <c r="B1" s="33" t="s">
        <v>59</v>
      </c>
      <c r="C1" s="33"/>
      <c r="D1" s="33"/>
    </row>
    <row r="2" spans="2:4" ht="38" customHeight="1" x14ac:dyDescent="0.2">
      <c r="B2" s="32" t="s">
        <v>60</v>
      </c>
      <c r="C2" s="32"/>
      <c r="D2" s="32"/>
    </row>
    <row r="3" spans="2:4" ht="44" customHeight="1" x14ac:dyDescent="0.2">
      <c r="B3" s="31" t="s">
        <v>61</v>
      </c>
      <c r="C3" s="31"/>
      <c r="D3" s="31"/>
    </row>
    <row r="4" spans="2:4" ht="48" customHeight="1" x14ac:dyDescent="0.2">
      <c r="B4" s="17" t="s">
        <v>4</v>
      </c>
      <c r="C4" s="17" t="s">
        <v>5</v>
      </c>
      <c r="D4" s="17" t="s">
        <v>58</v>
      </c>
    </row>
    <row r="5" spans="2:4" ht="19" x14ac:dyDescent="0.2">
      <c r="B5" s="18" t="str">
        <f>'Pricing Piso Chile'!A6</f>
        <v>AV ALGAP 30</v>
      </c>
      <c r="C5" s="18" t="str">
        <f>'Pricing Piso Chile'!B6</f>
        <v>1 L</v>
      </c>
      <c r="D5" s="19">
        <f>'Pricing Piso Chile'!I6</f>
        <v>6800</v>
      </c>
    </row>
    <row r="6" spans="2:4" ht="19" x14ac:dyDescent="0.2">
      <c r="B6" s="18" t="str">
        <f>'Pricing Piso Chile'!A7</f>
        <v>AV ALGAP 30</v>
      </c>
      <c r="C6" s="18" t="str">
        <f>'Pricing Piso Chile'!B7</f>
        <v>5 L</v>
      </c>
      <c r="D6" s="19">
        <f>'Pricing Piso Chile'!I7</f>
        <v>5000</v>
      </c>
    </row>
    <row r="7" spans="2:4" ht="19" x14ac:dyDescent="0.2">
      <c r="B7" s="18" t="str">
        <f>'Pricing Piso Chile'!A8</f>
        <v>AV ALGAP 30</v>
      </c>
      <c r="C7" s="18" t="str">
        <f>'Pricing Piso Chile'!B8</f>
        <v>20 L</v>
      </c>
      <c r="D7" s="19">
        <f>'Pricing Piso Chile'!I8</f>
        <v>4000</v>
      </c>
    </row>
    <row r="8" spans="2:4" ht="19" x14ac:dyDescent="0.2">
      <c r="B8" s="18" t="str">
        <f>'Pricing Piso Chile'!A9</f>
        <v>AV ALGAP 30</v>
      </c>
      <c r="C8" s="18" t="str">
        <f>'Pricing Piso Chile'!B9</f>
        <v>200 L</v>
      </c>
      <c r="D8" s="19">
        <f>'Pricing Piso Chile'!I9</f>
        <v>3500</v>
      </c>
    </row>
    <row r="9" spans="2:4" ht="19" x14ac:dyDescent="0.2">
      <c r="B9" s="18" t="str">
        <f>'Pricing Piso Chile'!A10</f>
        <v>AV ALGAP 30</v>
      </c>
      <c r="C9" s="18" t="str">
        <f>'Pricing Piso Chile'!B10</f>
        <v>1000 L</v>
      </c>
      <c r="D9" s="19">
        <f>'Pricing Piso Chile'!I10</f>
        <v>3000</v>
      </c>
    </row>
    <row r="10" spans="2:4" ht="19" x14ac:dyDescent="0.2">
      <c r="B10" s="18" t="str">
        <f>'Pricing Piso Chile'!A11</f>
        <v>AV AMIN</v>
      </c>
      <c r="C10" s="18" t="str">
        <f>'Pricing Piso Chile'!B11</f>
        <v>1 L</v>
      </c>
      <c r="D10" s="19">
        <f>'Pricing Piso Chile'!I11</f>
        <v>7800</v>
      </c>
    </row>
    <row r="11" spans="2:4" ht="19" x14ac:dyDescent="0.2">
      <c r="B11" s="18" t="str">
        <f>'Pricing Piso Chile'!A12</f>
        <v>AV AMIN</v>
      </c>
      <c r="C11" s="18" t="str">
        <f>'Pricing Piso Chile'!B12</f>
        <v>5 L</v>
      </c>
      <c r="D11" s="19">
        <f>'Pricing Piso Chile'!I12</f>
        <v>7000</v>
      </c>
    </row>
    <row r="12" spans="2:4" ht="19" x14ac:dyDescent="0.2">
      <c r="B12" s="18" t="str">
        <f>'Pricing Piso Chile'!A13</f>
        <v>AV AMIN</v>
      </c>
      <c r="C12" s="18" t="str">
        <f>'Pricing Piso Chile'!B13</f>
        <v>20 L</v>
      </c>
      <c r="D12" s="19">
        <f>'Pricing Piso Chile'!I13</f>
        <v>5500</v>
      </c>
    </row>
    <row r="13" spans="2:4" ht="19" x14ac:dyDescent="0.2">
      <c r="B13" s="18" t="str">
        <f>'Pricing Piso Chile'!A14</f>
        <v>AV AMIN</v>
      </c>
      <c r="C13" s="18" t="str">
        <f>'Pricing Piso Chile'!B14</f>
        <v>200 L</v>
      </c>
      <c r="D13" s="19">
        <f>'Pricing Piso Chile'!I14</f>
        <v>3500</v>
      </c>
    </row>
    <row r="14" spans="2:4" ht="19" x14ac:dyDescent="0.2">
      <c r="B14" s="18" t="str">
        <f>'Pricing Piso Chile'!A15</f>
        <v>AV AMIN</v>
      </c>
      <c r="C14" s="18" t="str">
        <f>'Pricing Piso Chile'!B15</f>
        <v>1000 L</v>
      </c>
      <c r="D14" s="19">
        <f>'Pricing Piso Chile'!I15</f>
        <v>3000</v>
      </c>
    </row>
    <row r="15" spans="2:4" ht="19" x14ac:dyDescent="0.2">
      <c r="B15" s="18" t="str">
        <f>'Pricing Piso Chile'!A16</f>
        <v>AV AMIN SUGAR</v>
      </c>
      <c r="C15" s="18" t="str">
        <f>'Pricing Piso Chile'!B16</f>
        <v>1 L</v>
      </c>
      <c r="D15" s="19">
        <f>'Pricing Piso Chile'!I16</f>
        <v>9000</v>
      </c>
    </row>
    <row r="16" spans="2:4" ht="19" x14ac:dyDescent="0.2">
      <c r="B16" s="18" t="str">
        <f>'Pricing Piso Chile'!A17</f>
        <v>AV AMIN SUGAR</v>
      </c>
      <c r="C16" s="18" t="str">
        <f>'Pricing Piso Chile'!B17</f>
        <v>5 L</v>
      </c>
      <c r="D16" s="19">
        <f>'Pricing Piso Chile'!I17</f>
        <v>8000</v>
      </c>
    </row>
    <row r="17" spans="2:4" ht="19" x14ac:dyDescent="0.2">
      <c r="B17" s="18" t="str">
        <f>'Pricing Piso Chile'!A18</f>
        <v>AV AMIN SUGAR</v>
      </c>
      <c r="C17" s="18" t="str">
        <f>'Pricing Piso Chile'!B18</f>
        <v>20 L</v>
      </c>
      <c r="D17" s="19">
        <f>'Pricing Piso Chile'!I18</f>
        <v>6500</v>
      </c>
    </row>
    <row r="18" spans="2:4" ht="19" x14ac:dyDescent="0.2">
      <c r="B18" s="18" t="str">
        <f>'Pricing Piso Chile'!A19</f>
        <v>AV AMIN SUGAR</v>
      </c>
      <c r="C18" s="18" t="str">
        <f>'Pricing Piso Chile'!B19</f>
        <v>200 L</v>
      </c>
      <c r="D18" s="19">
        <f>'Pricing Piso Chile'!I19</f>
        <v>5000</v>
      </c>
    </row>
    <row r="19" spans="2:4" ht="19" x14ac:dyDescent="0.2">
      <c r="B19" s="18" t="str">
        <f>'Pricing Piso Chile'!A20</f>
        <v>AV AMIN SUGAR</v>
      </c>
      <c r="C19" s="18" t="str">
        <f>'Pricing Piso Chile'!B20</f>
        <v>1000 L</v>
      </c>
      <c r="D19" s="19">
        <f>'Pricing Piso Chile'!I20</f>
        <v>4000</v>
      </c>
    </row>
    <row r="20" spans="2:4" ht="19" x14ac:dyDescent="0.2">
      <c r="B20" s="18" t="str">
        <f>'Pricing Piso Chile'!A21</f>
        <v>AV BALANCE</v>
      </c>
      <c r="C20" s="18" t="str">
        <f>'Pricing Piso Chile'!B21</f>
        <v>1 L</v>
      </c>
      <c r="D20" s="19">
        <f>'Pricing Piso Chile'!I21</f>
        <v>15000</v>
      </c>
    </row>
    <row r="21" spans="2:4" ht="19" x14ac:dyDescent="0.2">
      <c r="B21" s="18" t="str">
        <f>'Pricing Piso Chile'!A22</f>
        <v>AV BALANCE</v>
      </c>
      <c r="C21" s="18" t="str">
        <f>'Pricing Piso Chile'!B22</f>
        <v>5 L</v>
      </c>
      <c r="D21" s="19">
        <f>'Pricing Piso Chile'!I22</f>
        <v>14000</v>
      </c>
    </row>
    <row r="22" spans="2:4" ht="19" x14ac:dyDescent="0.2">
      <c r="B22" s="18" t="str">
        <f>'Pricing Piso Chile'!A23</f>
        <v>AV BALANCE</v>
      </c>
      <c r="C22" s="18" t="str">
        <f>'Pricing Piso Chile'!B23</f>
        <v>20 L</v>
      </c>
      <c r="D22" s="19">
        <f>'Pricing Piso Chile'!I23</f>
        <v>13500</v>
      </c>
    </row>
    <row r="23" spans="2:4" ht="19" x14ac:dyDescent="0.2">
      <c r="B23" s="18" t="str">
        <f>'Pricing Piso Chile'!A24</f>
        <v>AV BALANCE</v>
      </c>
      <c r="C23" s="18" t="str">
        <f>'Pricing Piso Chile'!B24</f>
        <v>200 L</v>
      </c>
      <c r="D23" s="19">
        <f>'Pricing Piso Chile'!I24</f>
        <v>11000</v>
      </c>
    </row>
    <row r="24" spans="2:4" ht="19" x14ac:dyDescent="0.2">
      <c r="B24" s="18" t="str">
        <f>'Pricing Piso Chile'!A25</f>
        <v>AV BALANCE</v>
      </c>
      <c r="C24" s="18" t="str">
        <f>'Pricing Piso Chile'!B25</f>
        <v>1000 L</v>
      </c>
      <c r="D24" s="19">
        <f>'Pricing Piso Chile'!I25</f>
        <v>10000</v>
      </c>
    </row>
    <row r="25" spans="2:4" ht="19" x14ac:dyDescent="0.2">
      <c r="B25" s="18" t="str">
        <f>'Pricing Piso Chile'!A26</f>
        <v>AV BIOSOLARIS</v>
      </c>
      <c r="C25" s="18" t="str">
        <f>'Pricing Piso Chile'!B26</f>
        <v>1 L</v>
      </c>
      <c r="D25" s="19">
        <f>'Pricing Piso Chile'!I26</f>
        <v>16000</v>
      </c>
    </row>
    <row r="26" spans="2:4" ht="19" x14ac:dyDescent="0.2">
      <c r="B26" s="18" t="str">
        <f>'Pricing Piso Chile'!A27</f>
        <v>AV BIOSOLARIS</v>
      </c>
      <c r="C26" s="18" t="str">
        <f>'Pricing Piso Chile'!B27</f>
        <v>5 L</v>
      </c>
      <c r="D26" s="19">
        <f>'Pricing Piso Chile'!I27</f>
        <v>15000</v>
      </c>
    </row>
    <row r="27" spans="2:4" ht="19" x14ac:dyDescent="0.2">
      <c r="B27" s="18" t="str">
        <f>'Pricing Piso Chile'!A28</f>
        <v>AV BIOSOLARIS</v>
      </c>
      <c r="C27" s="18" t="str">
        <f>'Pricing Piso Chile'!B28</f>
        <v>20 L</v>
      </c>
      <c r="D27" s="19">
        <f>'Pricing Piso Chile'!I28</f>
        <v>14000</v>
      </c>
    </row>
    <row r="28" spans="2:4" ht="19" x14ac:dyDescent="0.2">
      <c r="B28" s="18" t="str">
        <f>'Pricing Piso Chile'!A29</f>
        <v>AV BIOSOLARIS</v>
      </c>
      <c r="C28" s="18" t="str">
        <f>'Pricing Piso Chile'!B29</f>
        <v>200 L</v>
      </c>
      <c r="D28" s="19">
        <f>'Pricing Piso Chile'!I29</f>
        <v>13000</v>
      </c>
    </row>
    <row r="29" spans="2:4" ht="19" x14ac:dyDescent="0.2">
      <c r="B29" s="18" t="str">
        <f>'Pricing Piso Chile'!A30</f>
        <v>AV BIOSOLARIS</v>
      </c>
      <c r="C29" s="18" t="str">
        <f>'Pricing Piso Chile'!B30</f>
        <v>1000 L</v>
      </c>
      <c r="D29" s="19">
        <f>'Pricing Piso Chile'!I30</f>
        <v>10000</v>
      </c>
    </row>
    <row r="30" spans="2:4" ht="19" x14ac:dyDescent="0.2">
      <c r="B30" s="18" t="str">
        <f>'Pricing Piso Chile'!A31</f>
        <v>AV BLOOM</v>
      </c>
      <c r="C30" s="18" t="str">
        <f>'Pricing Piso Chile'!B31</f>
        <v>1 L</v>
      </c>
      <c r="D30" s="19">
        <f>'Pricing Piso Chile'!I31</f>
        <v>11000</v>
      </c>
    </row>
    <row r="31" spans="2:4" ht="19" x14ac:dyDescent="0.2">
      <c r="B31" s="18" t="str">
        <f>'Pricing Piso Chile'!A32</f>
        <v>AV BLOOM</v>
      </c>
      <c r="C31" s="18" t="str">
        <f>'Pricing Piso Chile'!B32</f>
        <v>5 L</v>
      </c>
      <c r="D31" s="19">
        <f>'Pricing Piso Chile'!I32</f>
        <v>9500</v>
      </c>
    </row>
    <row r="32" spans="2:4" ht="19" x14ac:dyDescent="0.2">
      <c r="B32" s="18" t="str">
        <f>'Pricing Piso Chile'!A33</f>
        <v>AV BLOOM</v>
      </c>
      <c r="C32" s="18" t="str">
        <f>'Pricing Piso Chile'!B33</f>
        <v>20 L</v>
      </c>
      <c r="D32" s="19">
        <f>'Pricing Piso Chile'!I33</f>
        <v>9000</v>
      </c>
    </row>
    <row r="33" spans="2:4" ht="19" x14ac:dyDescent="0.2">
      <c r="B33" s="18" t="str">
        <f>'Pricing Piso Chile'!A34</f>
        <v>AV BLOOM</v>
      </c>
      <c r="C33" s="18" t="str">
        <f>'Pricing Piso Chile'!B34</f>
        <v>200 L</v>
      </c>
      <c r="D33" s="19">
        <f>'Pricing Piso Chile'!I34</f>
        <v>8000</v>
      </c>
    </row>
    <row r="34" spans="2:4" ht="19" x14ac:dyDescent="0.2">
      <c r="B34" s="18" t="str">
        <f>'Pricing Piso Chile'!A35</f>
        <v>AV BLOOM</v>
      </c>
      <c r="C34" s="18" t="str">
        <f>'Pricing Piso Chile'!B35</f>
        <v>1000 L</v>
      </c>
      <c r="D34" s="19">
        <f>'Pricing Piso Chile'!I35</f>
        <v>7000</v>
      </c>
    </row>
    <row r="35" spans="2:4" ht="19" x14ac:dyDescent="0.2">
      <c r="B35" s="18" t="str">
        <f>'Pricing Piso Chile'!A36</f>
        <v>AV CYTO PRIME</v>
      </c>
      <c r="C35" s="18" t="str">
        <f>'Pricing Piso Chile'!B36</f>
        <v>1 L</v>
      </c>
      <c r="D35" s="19">
        <f>'Pricing Piso Chile'!I36</f>
        <v>18000</v>
      </c>
    </row>
    <row r="36" spans="2:4" ht="19" x14ac:dyDescent="0.2">
      <c r="B36" s="18" t="str">
        <f>'Pricing Piso Chile'!A37</f>
        <v>AV CYTO PRIME</v>
      </c>
      <c r="C36" s="18" t="str">
        <f>'Pricing Piso Chile'!B37</f>
        <v>5 L</v>
      </c>
      <c r="D36" s="19">
        <f>'Pricing Piso Chile'!I37</f>
        <v>17000</v>
      </c>
    </row>
    <row r="37" spans="2:4" ht="19" x14ac:dyDescent="0.2">
      <c r="B37" s="18" t="str">
        <f>'Pricing Piso Chile'!A38</f>
        <v>AV CYTO PRIME</v>
      </c>
      <c r="C37" s="18" t="str">
        <f>'Pricing Piso Chile'!B38</f>
        <v>20 L</v>
      </c>
      <c r="D37" s="19">
        <f>'Pricing Piso Chile'!I38</f>
        <v>15800</v>
      </c>
    </row>
    <row r="38" spans="2:4" ht="19" x14ac:dyDescent="0.2">
      <c r="B38" s="18" t="str">
        <f>'Pricing Piso Chile'!A39</f>
        <v>AV CYTO PRIME</v>
      </c>
      <c r="C38" s="18" t="str">
        <f>'Pricing Piso Chile'!B39</f>
        <v>200 L</v>
      </c>
      <c r="D38" s="19">
        <f>'Pricing Piso Chile'!I39</f>
        <v>14000</v>
      </c>
    </row>
    <row r="39" spans="2:4" ht="19" x14ac:dyDescent="0.2">
      <c r="B39" s="18" t="str">
        <f>'Pricing Piso Chile'!A40</f>
        <v>AV CYTO PRIME</v>
      </c>
      <c r="C39" s="18" t="str">
        <f>'Pricing Piso Chile'!B40</f>
        <v>1000 L</v>
      </c>
      <c r="D39" s="19">
        <f>'Pricing Piso Chile'!I40</f>
        <v>11000</v>
      </c>
    </row>
    <row r="40" spans="2:4" ht="19" x14ac:dyDescent="0.2">
      <c r="B40" s="18" t="str">
        <f>'Pricing Piso Chile'!A41</f>
        <v>AV HUMIC ROOT</v>
      </c>
      <c r="C40" s="18" t="str">
        <f>'Pricing Piso Chile'!B41</f>
        <v>1 L</v>
      </c>
      <c r="D40" s="19">
        <f>'Pricing Piso Chile'!I41</f>
        <v>6500</v>
      </c>
    </row>
    <row r="41" spans="2:4" ht="19" x14ac:dyDescent="0.2">
      <c r="B41" s="18" t="str">
        <f>'Pricing Piso Chile'!A42</f>
        <v>AV HUMIC ROOT</v>
      </c>
      <c r="C41" s="18" t="str">
        <f>'Pricing Piso Chile'!B42</f>
        <v>5 L</v>
      </c>
      <c r="D41" s="19">
        <f>'Pricing Piso Chile'!I42</f>
        <v>5800</v>
      </c>
    </row>
    <row r="42" spans="2:4" ht="19" x14ac:dyDescent="0.2">
      <c r="B42" s="18" t="str">
        <f>'Pricing Piso Chile'!A43</f>
        <v>AV HUMIC ROOT</v>
      </c>
      <c r="C42" s="18" t="str">
        <f>'Pricing Piso Chile'!B43</f>
        <v>20 L</v>
      </c>
      <c r="D42" s="19">
        <f>'Pricing Piso Chile'!I43</f>
        <v>4000</v>
      </c>
    </row>
    <row r="43" spans="2:4" ht="19" x14ac:dyDescent="0.2">
      <c r="B43" s="18" t="str">
        <f>'Pricing Piso Chile'!A44</f>
        <v>AV HUMIC ROOT</v>
      </c>
      <c r="C43" s="18" t="str">
        <f>'Pricing Piso Chile'!B44</f>
        <v>200 L</v>
      </c>
      <c r="D43" s="19">
        <f>'Pricing Piso Chile'!I44</f>
        <v>3200</v>
      </c>
    </row>
    <row r="44" spans="2:4" ht="19" x14ac:dyDescent="0.2">
      <c r="B44" s="18" t="str">
        <f>'Pricing Piso Chile'!A45</f>
        <v>AV HUMIC ROOT</v>
      </c>
      <c r="C44" s="18" t="str">
        <f>'Pricing Piso Chile'!B45</f>
        <v>1000 L</v>
      </c>
      <c r="D44" s="19">
        <f>'Pricing Piso Chile'!I45</f>
        <v>2800</v>
      </c>
    </row>
    <row r="45" spans="2:4" ht="19" x14ac:dyDescent="0.2">
      <c r="B45" s="18" t="str">
        <f>'Pricing Piso Chile'!A46</f>
        <v>AV MAX FULVIC 45%</v>
      </c>
      <c r="C45" s="18" t="str">
        <f>'Pricing Piso Chile'!B46</f>
        <v>1 L</v>
      </c>
      <c r="D45" s="19">
        <f>'Pricing Piso Chile'!I46</f>
        <v>6500</v>
      </c>
    </row>
    <row r="46" spans="2:4" ht="19" x14ac:dyDescent="0.2">
      <c r="B46" s="18" t="str">
        <f>'Pricing Piso Chile'!A47</f>
        <v>AV MAX FULVIC 45%</v>
      </c>
      <c r="C46" s="18" t="str">
        <f>'Pricing Piso Chile'!B47</f>
        <v>5 L</v>
      </c>
      <c r="D46" s="19">
        <f>'Pricing Piso Chile'!I47</f>
        <v>5800</v>
      </c>
    </row>
    <row r="47" spans="2:4" ht="19" x14ac:dyDescent="0.2">
      <c r="B47" s="18" t="str">
        <f>'Pricing Piso Chile'!A48</f>
        <v>AV MAX FULVIC 45%</v>
      </c>
      <c r="C47" s="18" t="str">
        <f>'Pricing Piso Chile'!B48</f>
        <v>20 L</v>
      </c>
      <c r="D47" s="19">
        <f>'Pricing Piso Chile'!I48</f>
        <v>4000</v>
      </c>
    </row>
    <row r="48" spans="2:4" ht="19" x14ac:dyDescent="0.2">
      <c r="B48" s="18" t="str">
        <f>'Pricing Piso Chile'!A49</f>
        <v>AV MAX FULVIC 45%</v>
      </c>
      <c r="C48" s="18" t="str">
        <f>'Pricing Piso Chile'!B49</f>
        <v>200 L</v>
      </c>
      <c r="D48" s="19">
        <f>'Pricing Piso Chile'!I49</f>
        <v>3200</v>
      </c>
    </row>
    <row r="49" spans="2:4" ht="19" x14ac:dyDescent="0.2">
      <c r="B49" s="18" t="str">
        <f>'Pricing Piso Chile'!A50</f>
        <v>AV MAX FULVIC 45%</v>
      </c>
      <c r="C49" s="18" t="str">
        <f>'Pricing Piso Chile'!B50</f>
        <v>1000 L</v>
      </c>
      <c r="D49" s="19">
        <f>'Pricing Piso Chile'!I50</f>
        <v>2800</v>
      </c>
    </row>
    <row r="50" spans="2:4" ht="19" x14ac:dyDescent="0.2">
      <c r="B50" s="18" t="str">
        <f>'Pricing Piso Chile'!A51</f>
        <v>AV MOVE</v>
      </c>
      <c r="C50" s="18" t="str">
        <f>'Pricing Piso Chile'!B51</f>
        <v>1 L</v>
      </c>
      <c r="D50" s="19">
        <f>'Pricing Piso Chile'!I51</f>
        <v>8800</v>
      </c>
    </row>
    <row r="51" spans="2:4" ht="19" x14ac:dyDescent="0.2">
      <c r="B51" s="18" t="str">
        <f>'Pricing Piso Chile'!A52</f>
        <v>AV MOVE</v>
      </c>
      <c r="C51" s="18" t="str">
        <f>'Pricing Piso Chile'!B52</f>
        <v>5 L</v>
      </c>
      <c r="D51" s="19">
        <f>'Pricing Piso Chile'!I52</f>
        <v>7800</v>
      </c>
    </row>
    <row r="52" spans="2:4" ht="19" x14ac:dyDescent="0.2">
      <c r="B52" s="18" t="str">
        <f>'Pricing Piso Chile'!A53</f>
        <v>AV MOVE</v>
      </c>
      <c r="C52" s="18" t="str">
        <f>'Pricing Piso Chile'!B53</f>
        <v>20 L</v>
      </c>
      <c r="D52" s="19">
        <f>'Pricing Piso Chile'!I53</f>
        <v>7500</v>
      </c>
    </row>
    <row r="53" spans="2:4" ht="19" x14ac:dyDescent="0.2">
      <c r="B53" s="18" t="str">
        <f>'Pricing Piso Chile'!A54</f>
        <v>AV MOVE</v>
      </c>
      <c r="C53" s="18" t="str">
        <f>'Pricing Piso Chile'!B54</f>
        <v>200 L</v>
      </c>
      <c r="D53" s="19">
        <f>'Pricing Piso Chile'!I54</f>
        <v>6000</v>
      </c>
    </row>
    <row r="54" spans="2:4" ht="19" x14ac:dyDescent="0.2">
      <c r="B54" s="18" t="str">
        <f>'Pricing Piso Chile'!A55</f>
        <v>AV MOVE</v>
      </c>
      <c r="C54" s="18" t="str">
        <f>'Pricing Piso Chile'!B55</f>
        <v>1000 L</v>
      </c>
      <c r="D54" s="19">
        <f>'Pricing Piso Chile'!I55</f>
        <v>5000</v>
      </c>
    </row>
    <row r="55" spans="2:4" ht="19" x14ac:dyDescent="0.2">
      <c r="B55" s="18" t="str">
        <f>'Pricing Piso Chile'!A56</f>
        <v>AV PLUS BORO</v>
      </c>
      <c r="C55" s="18" t="str">
        <f>'Pricing Piso Chile'!B56</f>
        <v>1 L</v>
      </c>
      <c r="D55" s="19">
        <f>'Pricing Piso Chile'!I56</f>
        <v>6000</v>
      </c>
    </row>
    <row r="56" spans="2:4" ht="19" x14ac:dyDescent="0.2">
      <c r="B56" s="18" t="str">
        <f>'Pricing Piso Chile'!A57</f>
        <v>AV PLUS BORO</v>
      </c>
      <c r="C56" s="18" t="str">
        <f>'Pricing Piso Chile'!B57</f>
        <v>5 L</v>
      </c>
      <c r="D56" s="19">
        <f>'Pricing Piso Chile'!I57</f>
        <v>5000</v>
      </c>
    </row>
    <row r="57" spans="2:4" ht="19" x14ac:dyDescent="0.2">
      <c r="B57" s="18" t="str">
        <f>'Pricing Piso Chile'!A58</f>
        <v>AV PLUS BORO</v>
      </c>
      <c r="C57" s="18" t="str">
        <f>'Pricing Piso Chile'!B58</f>
        <v>20 L</v>
      </c>
      <c r="D57" s="19">
        <f>'Pricing Piso Chile'!I58</f>
        <v>4000</v>
      </c>
    </row>
    <row r="58" spans="2:4" ht="19" x14ac:dyDescent="0.2">
      <c r="B58" s="18" t="str">
        <f>'Pricing Piso Chile'!A59</f>
        <v>AV PLUS BORO</v>
      </c>
      <c r="C58" s="18" t="str">
        <f>'Pricing Piso Chile'!B59</f>
        <v>200 L</v>
      </c>
      <c r="D58" s="19">
        <f>'Pricing Piso Chile'!I59</f>
        <v>3000</v>
      </c>
    </row>
    <row r="59" spans="2:4" ht="19" x14ac:dyDescent="0.2">
      <c r="B59" s="18" t="str">
        <f>'Pricing Piso Chile'!A60</f>
        <v>AV PLUS BORO</v>
      </c>
      <c r="C59" s="18" t="str">
        <f>'Pricing Piso Chile'!B60</f>
        <v>1000 L</v>
      </c>
      <c r="D59" s="19">
        <f>'Pricing Piso Chile'!I60</f>
        <v>2000</v>
      </c>
    </row>
    <row r="60" spans="2:4" ht="19" x14ac:dyDescent="0.2">
      <c r="B60" s="18" t="str">
        <f>'Pricing Piso Chile'!A61</f>
        <v>AV PLUS CALCIO</v>
      </c>
      <c r="C60" s="18" t="str">
        <f>'Pricing Piso Chile'!B61</f>
        <v>1 L</v>
      </c>
      <c r="D60" s="19">
        <f>'Pricing Piso Chile'!I61</f>
        <v>6000</v>
      </c>
    </row>
    <row r="61" spans="2:4" ht="19" x14ac:dyDescent="0.2">
      <c r="B61" s="18" t="str">
        <f>'Pricing Piso Chile'!A62</f>
        <v>AV PLUS CALCIO</v>
      </c>
      <c r="C61" s="18" t="str">
        <f>'Pricing Piso Chile'!B62</f>
        <v>5 L</v>
      </c>
      <c r="D61" s="19">
        <f>'Pricing Piso Chile'!I62</f>
        <v>5000</v>
      </c>
    </row>
    <row r="62" spans="2:4" ht="19" x14ac:dyDescent="0.2">
      <c r="B62" s="18" t="str">
        <f>'Pricing Piso Chile'!A63</f>
        <v>AV PLUS CALCIO</v>
      </c>
      <c r="C62" s="18" t="str">
        <f>'Pricing Piso Chile'!B63</f>
        <v>20 L</v>
      </c>
      <c r="D62" s="19">
        <f>'Pricing Piso Chile'!I63</f>
        <v>4000</v>
      </c>
    </row>
    <row r="63" spans="2:4" ht="19" x14ac:dyDescent="0.2">
      <c r="B63" s="18" t="str">
        <f>'Pricing Piso Chile'!A64</f>
        <v>AV PLUS CALCIO</v>
      </c>
      <c r="C63" s="18" t="str">
        <f>'Pricing Piso Chile'!B64</f>
        <v>200 L</v>
      </c>
      <c r="D63" s="19">
        <f>'Pricing Piso Chile'!I64</f>
        <v>3000</v>
      </c>
    </row>
    <row r="64" spans="2:4" ht="19" x14ac:dyDescent="0.2">
      <c r="B64" s="18" t="str">
        <f>'Pricing Piso Chile'!A65</f>
        <v>AV PLUS CALCIO</v>
      </c>
      <c r="C64" s="18" t="str">
        <f>'Pricing Piso Chile'!B65</f>
        <v>1000 L</v>
      </c>
      <c r="D64" s="19">
        <f>'Pricing Piso Chile'!I65</f>
        <v>2000</v>
      </c>
    </row>
    <row r="65" spans="2:4" ht="19" x14ac:dyDescent="0.2">
      <c r="B65" s="18" t="str">
        <f>'Pricing Piso Chile'!A66</f>
        <v>AV PLUS CALCIO BORO</v>
      </c>
      <c r="C65" s="18" t="str">
        <f>'Pricing Piso Chile'!B66</f>
        <v>1 L</v>
      </c>
      <c r="D65" s="19">
        <f>'Pricing Piso Chile'!I66</f>
        <v>7500</v>
      </c>
    </row>
    <row r="66" spans="2:4" ht="19" x14ac:dyDescent="0.2">
      <c r="B66" s="18" t="str">
        <f>'Pricing Piso Chile'!A67</f>
        <v>AV PLUS CALCIO BORO</v>
      </c>
      <c r="C66" s="18" t="str">
        <f>'Pricing Piso Chile'!B67</f>
        <v>5 L</v>
      </c>
      <c r="D66" s="19">
        <f>'Pricing Piso Chile'!I67</f>
        <v>6000</v>
      </c>
    </row>
    <row r="67" spans="2:4" ht="19" x14ac:dyDescent="0.2">
      <c r="B67" s="18" t="str">
        <f>'Pricing Piso Chile'!A68</f>
        <v>AV PLUS CALCIO BORO</v>
      </c>
      <c r="C67" s="18" t="str">
        <f>'Pricing Piso Chile'!B68</f>
        <v>20 L</v>
      </c>
      <c r="D67" s="19">
        <f>'Pricing Piso Chile'!I68</f>
        <v>5000</v>
      </c>
    </row>
    <row r="68" spans="2:4" ht="19" x14ac:dyDescent="0.2">
      <c r="B68" s="18" t="str">
        <f>'Pricing Piso Chile'!A69</f>
        <v>AV PLUS CALCIO BORO</v>
      </c>
      <c r="C68" s="18" t="str">
        <f>'Pricing Piso Chile'!B69</f>
        <v>200 L</v>
      </c>
      <c r="D68" s="19">
        <f>'Pricing Piso Chile'!I69</f>
        <v>4000</v>
      </c>
    </row>
    <row r="69" spans="2:4" ht="19" x14ac:dyDescent="0.2">
      <c r="B69" s="18" t="str">
        <f>'Pricing Piso Chile'!A70</f>
        <v>AV PLUS CALCIO BORO</v>
      </c>
      <c r="C69" s="18" t="str">
        <f>'Pricing Piso Chile'!B70</f>
        <v>1000 L</v>
      </c>
      <c r="D69" s="19">
        <f>'Pricing Piso Chile'!I70</f>
        <v>3000</v>
      </c>
    </row>
    <row r="70" spans="2:4" ht="19" x14ac:dyDescent="0.2">
      <c r="B70" s="18" t="str">
        <f>'Pricing Piso Chile'!A71</f>
        <v>AV PLUS HIERRO</v>
      </c>
      <c r="C70" s="18" t="str">
        <f>'Pricing Piso Chile'!B71</f>
        <v>1 L</v>
      </c>
      <c r="D70" s="19">
        <f>'Pricing Piso Chile'!I71</f>
        <v>8000</v>
      </c>
    </row>
    <row r="71" spans="2:4" ht="19" x14ac:dyDescent="0.2">
      <c r="B71" s="18" t="str">
        <f>'Pricing Piso Chile'!A72</f>
        <v>AV PLUS HIERRO</v>
      </c>
      <c r="C71" s="18" t="str">
        <f>'Pricing Piso Chile'!B72</f>
        <v>5 L</v>
      </c>
      <c r="D71" s="19">
        <f>'Pricing Piso Chile'!I72</f>
        <v>6800</v>
      </c>
    </row>
    <row r="72" spans="2:4" ht="19" x14ac:dyDescent="0.2">
      <c r="B72" s="18" t="str">
        <f>'Pricing Piso Chile'!A73</f>
        <v>AV PLUS HIERRO</v>
      </c>
      <c r="C72" s="18" t="str">
        <f>'Pricing Piso Chile'!B73</f>
        <v>20 L</v>
      </c>
      <c r="D72" s="19">
        <f>'Pricing Piso Chile'!I73</f>
        <v>5000</v>
      </c>
    </row>
    <row r="73" spans="2:4" ht="19" x14ac:dyDescent="0.2">
      <c r="B73" s="18" t="str">
        <f>'Pricing Piso Chile'!A74</f>
        <v>AV PLUS HIERRO</v>
      </c>
      <c r="C73" s="18" t="str">
        <f>'Pricing Piso Chile'!B74</f>
        <v>200 L</v>
      </c>
      <c r="D73" s="19">
        <f>'Pricing Piso Chile'!I74</f>
        <v>4000</v>
      </c>
    </row>
    <row r="74" spans="2:4" ht="19" x14ac:dyDescent="0.2">
      <c r="B74" s="18" t="str">
        <f>'Pricing Piso Chile'!A75</f>
        <v>AV PLUS HIERRO</v>
      </c>
      <c r="C74" s="18" t="str">
        <f>'Pricing Piso Chile'!B75</f>
        <v>1000 L</v>
      </c>
      <c r="D74" s="19">
        <f>'Pricing Piso Chile'!I75</f>
        <v>3000</v>
      </c>
    </row>
    <row r="75" spans="2:4" ht="19" x14ac:dyDescent="0.2">
      <c r="B75" s="18" t="str">
        <f>'Pricing Piso Chile'!A76</f>
        <v>AV PLUS MACRO FRUIT</v>
      </c>
      <c r="C75" s="18" t="str">
        <f>'Pricing Piso Chile'!B76</f>
        <v>1 L</v>
      </c>
      <c r="D75" s="19">
        <f>'Pricing Piso Chile'!I76</f>
        <v>8000</v>
      </c>
    </row>
    <row r="76" spans="2:4" ht="19" x14ac:dyDescent="0.2">
      <c r="B76" s="18" t="str">
        <f>'Pricing Piso Chile'!A77</f>
        <v>AV PLUS MACRO FRUIT</v>
      </c>
      <c r="C76" s="18" t="str">
        <f>'Pricing Piso Chile'!B77</f>
        <v>5 L</v>
      </c>
      <c r="D76" s="19">
        <f>'Pricing Piso Chile'!I77</f>
        <v>6800</v>
      </c>
    </row>
    <row r="77" spans="2:4" ht="19" x14ac:dyDescent="0.2">
      <c r="B77" s="18" t="str">
        <f>'Pricing Piso Chile'!A78</f>
        <v>AV PLUS MACRO FRUIT</v>
      </c>
      <c r="C77" s="18" t="str">
        <f>'Pricing Piso Chile'!B78</f>
        <v>20 L</v>
      </c>
      <c r="D77" s="19">
        <f>'Pricing Piso Chile'!I78</f>
        <v>5500</v>
      </c>
    </row>
    <row r="78" spans="2:4" ht="19" x14ac:dyDescent="0.2">
      <c r="B78" s="18" t="str">
        <f>'Pricing Piso Chile'!A79</f>
        <v>AV PLUS MACRO FRUIT</v>
      </c>
      <c r="C78" s="18" t="str">
        <f>'Pricing Piso Chile'!B79</f>
        <v>200 L</v>
      </c>
      <c r="D78" s="19">
        <f>'Pricing Piso Chile'!I79</f>
        <v>4500</v>
      </c>
    </row>
    <row r="79" spans="2:4" ht="19" x14ac:dyDescent="0.2">
      <c r="B79" s="18" t="str">
        <f>'Pricing Piso Chile'!A80</f>
        <v>AV PLUS MACRO FRUIT</v>
      </c>
      <c r="C79" s="18" t="str">
        <f>'Pricing Piso Chile'!B80</f>
        <v>1000 L</v>
      </c>
      <c r="D79" s="19">
        <f>'Pricing Piso Chile'!I80</f>
        <v>3500</v>
      </c>
    </row>
    <row r="80" spans="2:4" ht="19" x14ac:dyDescent="0.2">
      <c r="B80" s="18" t="str">
        <f>'Pricing Piso Chile'!A81</f>
        <v>AV PLUS MAGNESIO</v>
      </c>
      <c r="C80" s="18" t="str">
        <f>'Pricing Piso Chile'!B81</f>
        <v>1 L</v>
      </c>
      <c r="D80" s="19">
        <f>'Pricing Piso Chile'!I81</f>
        <v>6000</v>
      </c>
    </row>
    <row r="81" spans="2:4" ht="19" x14ac:dyDescent="0.2">
      <c r="B81" s="18" t="str">
        <f>'Pricing Piso Chile'!A82</f>
        <v>AV PLUS MAGNESIO</v>
      </c>
      <c r="C81" s="18" t="str">
        <f>'Pricing Piso Chile'!B82</f>
        <v>5 L</v>
      </c>
      <c r="D81" s="19">
        <f>'Pricing Piso Chile'!I82</f>
        <v>4000</v>
      </c>
    </row>
    <row r="82" spans="2:4" ht="19" x14ac:dyDescent="0.2">
      <c r="B82" s="18" t="str">
        <f>'Pricing Piso Chile'!A83</f>
        <v>AV PLUS MAGNESIO</v>
      </c>
      <c r="C82" s="18" t="str">
        <f>'Pricing Piso Chile'!B83</f>
        <v>20 L</v>
      </c>
      <c r="D82" s="19">
        <f>'Pricing Piso Chile'!I83</f>
        <v>3200</v>
      </c>
    </row>
    <row r="83" spans="2:4" ht="19" x14ac:dyDescent="0.2">
      <c r="B83" s="18" t="str">
        <f>'Pricing Piso Chile'!A84</f>
        <v>AV PLUS MAGNESIO</v>
      </c>
      <c r="C83" s="18" t="str">
        <f>'Pricing Piso Chile'!B84</f>
        <v>200 L</v>
      </c>
      <c r="D83" s="19">
        <f>'Pricing Piso Chile'!I84</f>
        <v>2800</v>
      </c>
    </row>
    <row r="84" spans="2:4" ht="19" x14ac:dyDescent="0.2">
      <c r="B84" s="18" t="str">
        <f>'Pricing Piso Chile'!A85</f>
        <v>AV PLUS MAGNESIO</v>
      </c>
      <c r="C84" s="18" t="str">
        <f>'Pricing Piso Chile'!B85</f>
        <v>1000 L</v>
      </c>
      <c r="D84" s="19">
        <f>'Pricing Piso Chile'!I85</f>
        <v>2200</v>
      </c>
    </row>
    <row r="85" spans="2:4" ht="19" x14ac:dyDescent="0.2">
      <c r="B85" s="18" t="str">
        <f>'Pricing Piso Chile'!A86</f>
        <v>AV PLUS MICRO MIX</v>
      </c>
      <c r="C85" s="18" t="str">
        <f>'Pricing Piso Chile'!B86</f>
        <v>1 L</v>
      </c>
      <c r="D85" s="19">
        <f>'Pricing Piso Chile'!I86</f>
        <v>8000</v>
      </c>
    </row>
    <row r="86" spans="2:4" ht="19" x14ac:dyDescent="0.2">
      <c r="B86" s="18" t="str">
        <f>'Pricing Piso Chile'!A87</f>
        <v>AV PLUS MICRO MIX</v>
      </c>
      <c r="C86" s="18" t="str">
        <f>'Pricing Piso Chile'!B87</f>
        <v>5 L</v>
      </c>
      <c r="D86" s="19">
        <f>'Pricing Piso Chile'!I87</f>
        <v>6500</v>
      </c>
    </row>
    <row r="87" spans="2:4" ht="19" x14ac:dyDescent="0.2">
      <c r="B87" s="18" t="str">
        <f>'Pricing Piso Chile'!A88</f>
        <v>AV PLUS MICRO MIX</v>
      </c>
      <c r="C87" s="18" t="str">
        <f>'Pricing Piso Chile'!B88</f>
        <v>20 L</v>
      </c>
      <c r="D87" s="19">
        <f>'Pricing Piso Chile'!I88</f>
        <v>5500</v>
      </c>
    </row>
    <row r="88" spans="2:4" ht="19" x14ac:dyDescent="0.2">
      <c r="B88" s="18" t="str">
        <f>'Pricing Piso Chile'!A89</f>
        <v>AV PLUS MICRO MIX</v>
      </c>
      <c r="C88" s="18" t="str">
        <f>'Pricing Piso Chile'!B89</f>
        <v>200 L</v>
      </c>
      <c r="D88" s="19">
        <f>'Pricing Piso Chile'!I89</f>
        <v>4500</v>
      </c>
    </row>
    <row r="89" spans="2:4" ht="19" x14ac:dyDescent="0.2">
      <c r="B89" s="18" t="str">
        <f>'Pricing Piso Chile'!A90</f>
        <v>AV PLUS MICRO MIX</v>
      </c>
      <c r="C89" s="18" t="str">
        <f>'Pricing Piso Chile'!B90</f>
        <v>1000 L</v>
      </c>
      <c r="D89" s="19">
        <f>'Pricing Piso Chile'!I90</f>
        <v>4000</v>
      </c>
    </row>
    <row r="90" spans="2:4" ht="19" x14ac:dyDescent="0.2">
      <c r="B90" s="18" t="str">
        <f>'Pricing Piso Chile'!A91</f>
        <v>AV PLUS NP-MIX</v>
      </c>
      <c r="C90" s="18" t="str">
        <f>'Pricing Piso Chile'!B91</f>
        <v>1 L</v>
      </c>
      <c r="D90" s="19">
        <f>'Pricing Piso Chile'!I91</f>
        <v>8000</v>
      </c>
    </row>
    <row r="91" spans="2:4" ht="19" x14ac:dyDescent="0.2">
      <c r="B91" s="18" t="str">
        <f>'Pricing Piso Chile'!A92</f>
        <v>AV PLUS NP-MIX</v>
      </c>
      <c r="C91" s="18" t="str">
        <f>'Pricing Piso Chile'!B92</f>
        <v>5 L</v>
      </c>
      <c r="D91" s="19">
        <f>'Pricing Piso Chile'!I92</f>
        <v>7000</v>
      </c>
    </row>
    <row r="92" spans="2:4" ht="19" x14ac:dyDescent="0.2">
      <c r="B92" s="18" t="str">
        <f>'Pricing Piso Chile'!A93</f>
        <v>AV PLUS NP-MIX</v>
      </c>
      <c r="C92" s="18" t="str">
        <f>'Pricing Piso Chile'!B93</f>
        <v>20 L</v>
      </c>
      <c r="D92" s="19">
        <f>'Pricing Piso Chile'!I93</f>
        <v>6000</v>
      </c>
    </row>
    <row r="93" spans="2:4" ht="19" x14ac:dyDescent="0.2">
      <c r="B93" s="18" t="str">
        <f>'Pricing Piso Chile'!A94</f>
        <v>AV PLUS NP-MIX</v>
      </c>
      <c r="C93" s="18" t="str">
        <f>'Pricing Piso Chile'!B94</f>
        <v>200 L</v>
      </c>
      <c r="D93" s="19">
        <f>'Pricing Piso Chile'!I94</f>
        <v>5000</v>
      </c>
    </row>
    <row r="94" spans="2:4" ht="19" x14ac:dyDescent="0.2">
      <c r="B94" s="18" t="str">
        <f>'Pricing Piso Chile'!A95</f>
        <v>AV PLUS NP-MIX</v>
      </c>
      <c r="C94" s="18" t="str">
        <f>'Pricing Piso Chile'!B95</f>
        <v>1000 L</v>
      </c>
      <c r="D94" s="19">
        <f>'Pricing Piso Chile'!I95</f>
        <v>4800</v>
      </c>
    </row>
    <row r="95" spans="2:4" ht="19" x14ac:dyDescent="0.2">
      <c r="B95" s="18" t="str">
        <f>'Pricing Piso Chile'!A96</f>
        <v>AV PLUS NUTRI MIX</v>
      </c>
      <c r="C95" s="18" t="str">
        <f>'Pricing Piso Chile'!B96</f>
        <v>1 L</v>
      </c>
      <c r="D95" s="19">
        <f>'Pricing Piso Chile'!I96</f>
        <v>8000</v>
      </c>
    </row>
    <row r="96" spans="2:4" ht="19" x14ac:dyDescent="0.2">
      <c r="B96" s="18" t="str">
        <f>'Pricing Piso Chile'!A97</f>
        <v>AV PLUS NUTRI MIX</v>
      </c>
      <c r="C96" s="18" t="str">
        <f>'Pricing Piso Chile'!B97</f>
        <v>5 L</v>
      </c>
      <c r="D96" s="19">
        <f>'Pricing Piso Chile'!I97</f>
        <v>7200</v>
      </c>
    </row>
    <row r="97" spans="2:4" ht="19" x14ac:dyDescent="0.2">
      <c r="B97" s="18" t="str">
        <f>'Pricing Piso Chile'!A98</f>
        <v>AV PLUS NUTRI MIX</v>
      </c>
      <c r="C97" s="18" t="str">
        <f>'Pricing Piso Chile'!B98</f>
        <v>20 L</v>
      </c>
      <c r="D97" s="19">
        <f>'Pricing Piso Chile'!I98</f>
        <v>6800</v>
      </c>
    </row>
    <row r="98" spans="2:4" ht="19" x14ac:dyDescent="0.2">
      <c r="B98" s="18" t="str">
        <f>'Pricing Piso Chile'!A99</f>
        <v>AV PLUS NUTRI MIX</v>
      </c>
      <c r="C98" s="18" t="str">
        <f>'Pricing Piso Chile'!B99</f>
        <v>200 L</v>
      </c>
      <c r="D98" s="19">
        <f>'Pricing Piso Chile'!I99</f>
        <v>5500</v>
      </c>
    </row>
    <row r="99" spans="2:4" ht="19" x14ac:dyDescent="0.2">
      <c r="B99" s="18" t="str">
        <f>'Pricing Piso Chile'!A100</f>
        <v>AV PLUS NUTRI MIX</v>
      </c>
      <c r="C99" s="18" t="str">
        <f>'Pricing Piso Chile'!B100</f>
        <v>1000 L</v>
      </c>
      <c r="D99" s="19">
        <f>'Pricing Piso Chile'!I100</f>
        <v>4000</v>
      </c>
    </row>
    <row r="100" spans="2:4" ht="19" x14ac:dyDescent="0.2">
      <c r="B100" s="18" t="str">
        <f>'Pricing Piso Chile'!A101</f>
        <v>AV PLUS POTASIO</v>
      </c>
      <c r="C100" s="18" t="str">
        <f>'Pricing Piso Chile'!B101</f>
        <v>1 L</v>
      </c>
      <c r="D100" s="19">
        <f>'Pricing Piso Chile'!I101</f>
        <v>6800</v>
      </c>
    </row>
    <row r="101" spans="2:4" ht="19" x14ac:dyDescent="0.2">
      <c r="B101" s="18" t="str">
        <f>'Pricing Piso Chile'!A102</f>
        <v>AV PLUS POTASIO</v>
      </c>
      <c r="C101" s="18" t="str">
        <f>'Pricing Piso Chile'!B102</f>
        <v>5 L</v>
      </c>
      <c r="D101" s="19">
        <f>'Pricing Piso Chile'!I102</f>
        <v>5000</v>
      </c>
    </row>
    <row r="102" spans="2:4" ht="19" x14ac:dyDescent="0.2">
      <c r="B102" s="18" t="str">
        <f>'Pricing Piso Chile'!A103</f>
        <v>AV PLUS POTASIO</v>
      </c>
      <c r="C102" s="18" t="str">
        <f>'Pricing Piso Chile'!B103</f>
        <v>5 L (VECA)</v>
      </c>
      <c r="D102" s="19">
        <f>'Pricing Piso Chile'!I103</f>
        <v>5000</v>
      </c>
    </row>
    <row r="103" spans="2:4" ht="19" x14ac:dyDescent="0.2">
      <c r="B103" s="18" t="str">
        <f>'Pricing Piso Chile'!A104</f>
        <v>AV PLUS POTASIO</v>
      </c>
      <c r="C103" s="18" t="str">
        <f>'Pricing Piso Chile'!B104</f>
        <v>20 L</v>
      </c>
      <c r="D103" s="19">
        <f>'Pricing Piso Chile'!I104</f>
        <v>3800</v>
      </c>
    </row>
    <row r="104" spans="2:4" ht="19" x14ac:dyDescent="0.2">
      <c r="B104" s="18" t="str">
        <f>'Pricing Piso Chile'!A105</f>
        <v>AV PLUS POTASIO</v>
      </c>
      <c r="C104" s="18" t="str">
        <f>'Pricing Piso Chile'!B105</f>
        <v>200 L</v>
      </c>
      <c r="D104" s="19">
        <f>'Pricing Piso Chile'!I105</f>
        <v>3000</v>
      </c>
    </row>
    <row r="105" spans="2:4" ht="19" x14ac:dyDescent="0.2">
      <c r="B105" s="18" t="str">
        <f>'Pricing Piso Chile'!A106</f>
        <v>AV PLUS POTASIO</v>
      </c>
      <c r="C105" s="18" t="str">
        <f>'Pricing Piso Chile'!B106</f>
        <v>1000 L</v>
      </c>
      <c r="D105" s="19">
        <f>'Pricing Piso Chile'!I106</f>
        <v>2800</v>
      </c>
    </row>
    <row r="106" spans="2:4" ht="19" x14ac:dyDescent="0.2">
      <c r="B106" s="18" t="str">
        <f>'Pricing Piso Chile'!A107</f>
        <v>AV PLUS ZINC</v>
      </c>
      <c r="C106" s="18" t="str">
        <f>'Pricing Piso Chile'!B107</f>
        <v>1 L</v>
      </c>
      <c r="D106" s="19">
        <f>'Pricing Piso Chile'!I107</f>
        <v>7200</v>
      </c>
    </row>
    <row r="107" spans="2:4" ht="19" x14ac:dyDescent="0.2">
      <c r="B107" s="18" t="str">
        <f>'Pricing Piso Chile'!A108</f>
        <v>AV PLUS ZINC</v>
      </c>
      <c r="C107" s="18" t="str">
        <f>'Pricing Piso Chile'!B108</f>
        <v>5 L</v>
      </c>
      <c r="D107" s="19">
        <f>'Pricing Piso Chile'!I108</f>
        <v>6800</v>
      </c>
    </row>
    <row r="108" spans="2:4" ht="19" x14ac:dyDescent="0.2">
      <c r="B108" s="18" t="str">
        <f>'Pricing Piso Chile'!A109</f>
        <v>AV PLUS ZINC</v>
      </c>
      <c r="C108" s="18" t="str">
        <f>'Pricing Piso Chile'!B109</f>
        <v>20 L</v>
      </c>
      <c r="D108" s="19">
        <f>'Pricing Piso Chile'!I109</f>
        <v>4800</v>
      </c>
    </row>
    <row r="109" spans="2:4" ht="19" x14ac:dyDescent="0.2">
      <c r="B109" s="18" t="str">
        <f>'Pricing Piso Chile'!A110</f>
        <v>AV PLUS ZINC</v>
      </c>
      <c r="C109" s="18" t="str">
        <f>'Pricing Piso Chile'!B110</f>
        <v>200 L</v>
      </c>
      <c r="D109" s="19">
        <f>'Pricing Piso Chile'!I110</f>
        <v>4000</v>
      </c>
    </row>
    <row r="110" spans="2:4" ht="19" x14ac:dyDescent="0.2">
      <c r="B110" s="18" t="str">
        <f>'Pricing Piso Chile'!A111</f>
        <v>AV PLUS ZINC</v>
      </c>
      <c r="C110" s="18" t="str">
        <f>'Pricing Piso Chile'!B111</f>
        <v>1000 L</v>
      </c>
      <c r="D110" s="19">
        <f>'Pricing Piso Chile'!I111</f>
        <v>3500</v>
      </c>
    </row>
    <row r="111" spans="2:4" ht="38" x14ac:dyDescent="0.2">
      <c r="B111" s="18" t="str">
        <f>'Pricing Piso Chile'!A112</f>
        <v>AV PLUS ZINC MANGANESO</v>
      </c>
      <c r="C111" s="18" t="str">
        <f>'Pricing Piso Chile'!B112</f>
        <v>1 L</v>
      </c>
      <c r="D111" s="19">
        <f>'Pricing Piso Chile'!I112</f>
        <v>7000</v>
      </c>
    </row>
    <row r="112" spans="2:4" ht="38" x14ac:dyDescent="0.2">
      <c r="B112" s="18" t="str">
        <f>'Pricing Piso Chile'!A113</f>
        <v>AV PLUS ZINC MANGANESO</v>
      </c>
      <c r="C112" s="18" t="str">
        <f>'Pricing Piso Chile'!B113</f>
        <v>5 L</v>
      </c>
      <c r="D112" s="19">
        <f>'Pricing Piso Chile'!I113</f>
        <v>6000</v>
      </c>
    </row>
    <row r="113" spans="2:4" ht="38" x14ac:dyDescent="0.2">
      <c r="B113" s="18" t="str">
        <f>'Pricing Piso Chile'!A114</f>
        <v>AV PLUS ZINC MANGANESO</v>
      </c>
      <c r="C113" s="18" t="str">
        <f>'Pricing Piso Chile'!B114</f>
        <v>20 L</v>
      </c>
      <c r="D113" s="19">
        <f>'Pricing Piso Chile'!I114</f>
        <v>4500</v>
      </c>
    </row>
    <row r="114" spans="2:4" ht="38" x14ac:dyDescent="0.2">
      <c r="B114" s="18" t="str">
        <f>'Pricing Piso Chile'!A115</f>
        <v>AV PLUS ZINC MANGANESO</v>
      </c>
      <c r="C114" s="18" t="str">
        <f>'Pricing Piso Chile'!B115</f>
        <v>200 L</v>
      </c>
      <c r="D114" s="19">
        <f>'Pricing Piso Chile'!I115</f>
        <v>3800</v>
      </c>
    </row>
    <row r="115" spans="2:4" ht="38" x14ac:dyDescent="0.2">
      <c r="B115" s="18" t="str">
        <f>'Pricing Piso Chile'!A116</f>
        <v>AV PLUS ZINC MANGANESO</v>
      </c>
      <c r="C115" s="18" t="str">
        <f>'Pricing Piso Chile'!B116</f>
        <v>1000 L</v>
      </c>
      <c r="D115" s="19">
        <f>'Pricing Piso Chile'!I116</f>
        <v>3000</v>
      </c>
    </row>
    <row r="116" spans="2:4" ht="19" x14ac:dyDescent="0.2">
      <c r="B116" s="18" t="str">
        <f>'Pricing Piso Chile'!A117</f>
        <v>AV ROOT MAX</v>
      </c>
      <c r="C116" s="18" t="str">
        <f>'Pricing Piso Chile'!B117</f>
        <v>1 L</v>
      </c>
      <c r="D116" s="19">
        <f>'Pricing Piso Chile'!I117</f>
        <v>10000</v>
      </c>
    </row>
    <row r="117" spans="2:4" ht="19" x14ac:dyDescent="0.2">
      <c r="B117" s="18" t="str">
        <f>'Pricing Piso Chile'!A118</f>
        <v>AV ROOT MAX</v>
      </c>
      <c r="C117" s="18" t="str">
        <f>'Pricing Piso Chile'!B118</f>
        <v>5 L</v>
      </c>
      <c r="D117" s="19">
        <f>'Pricing Piso Chile'!I118</f>
        <v>9000</v>
      </c>
    </row>
    <row r="118" spans="2:4" ht="19" x14ac:dyDescent="0.2">
      <c r="B118" s="18" t="str">
        <f>'Pricing Piso Chile'!A119</f>
        <v>AV ROOT MAX</v>
      </c>
      <c r="C118" s="18" t="str">
        <f>'Pricing Piso Chile'!B119</f>
        <v>20 L</v>
      </c>
      <c r="D118" s="19">
        <f>'Pricing Piso Chile'!I119</f>
        <v>8500</v>
      </c>
    </row>
    <row r="119" spans="2:4" ht="19" x14ac:dyDescent="0.2">
      <c r="B119" s="18" t="str">
        <f>'Pricing Piso Chile'!A120</f>
        <v>AV ROOT MAX</v>
      </c>
      <c r="C119" s="18" t="str">
        <f>'Pricing Piso Chile'!B120</f>
        <v>200 L</v>
      </c>
      <c r="D119" s="19">
        <f>'Pricing Piso Chile'!I120</f>
        <v>7000</v>
      </c>
    </row>
    <row r="120" spans="2:4" ht="19" x14ac:dyDescent="0.2">
      <c r="B120" s="18" t="str">
        <f>'Pricing Piso Chile'!A121</f>
        <v>AV ROOT MAX</v>
      </c>
      <c r="C120" s="18" t="str">
        <f>'Pricing Piso Chile'!B121</f>
        <v>1000 L</v>
      </c>
      <c r="D120" s="19">
        <f>'Pricing Piso Chile'!I121</f>
        <v>5800</v>
      </c>
    </row>
    <row r="121" spans="2:4" ht="19" x14ac:dyDescent="0.2">
      <c r="B121" s="18" t="str">
        <f>'Pricing Piso Chile'!A122</f>
        <v>AV SILFORTE</v>
      </c>
      <c r="C121" s="18" t="str">
        <f>'Pricing Piso Chile'!B122</f>
        <v>1 L</v>
      </c>
      <c r="D121" s="19">
        <f>'Pricing Piso Chile'!I122</f>
        <v>12000</v>
      </c>
    </row>
    <row r="122" spans="2:4" ht="19" x14ac:dyDescent="0.2">
      <c r="B122" s="18" t="str">
        <f>'Pricing Piso Chile'!A123</f>
        <v>AV SILFORTE</v>
      </c>
      <c r="C122" s="18" t="str">
        <f>'Pricing Piso Chile'!B123</f>
        <v>5 L</v>
      </c>
      <c r="D122" s="19">
        <f>'Pricing Piso Chile'!I123</f>
        <v>10800</v>
      </c>
    </row>
    <row r="123" spans="2:4" ht="19" x14ac:dyDescent="0.2">
      <c r="B123" s="18" t="str">
        <f>'Pricing Piso Chile'!A124</f>
        <v>AV SILFORTE</v>
      </c>
      <c r="C123" s="18" t="str">
        <f>'Pricing Piso Chile'!B124</f>
        <v>20 L</v>
      </c>
      <c r="D123" s="19">
        <f>'Pricing Piso Chile'!I124</f>
        <v>10000</v>
      </c>
    </row>
    <row r="124" spans="2:4" ht="19" x14ac:dyDescent="0.2">
      <c r="B124" s="18" t="str">
        <f>'Pricing Piso Chile'!A125</f>
        <v>AV SILFORTE</v>
      </c>
      <c r="C124" s="18" t="str">
        <f>'Pricing Piso Chile'!B125</f>
        <v>200 L</v>
      </c>
      <c r="D124" s="19">
        <f>'Pricing Piso Chile'!I125</f>
        <v>8800</v>
      </c>
    </row>
    <row r="125" spans="2:4" ht="19" x14ac:dyDescent="0.2">
      <c r="B125" s="18" t="str">
        <f>'Pricing Piso Chile'!A126</f>
        <v>AV SILFORTE</v>
      </c>
      <c r="C125" s="18" t="str">
        <f>'Pricing Piso Chile'!B126</f>
        <v>1000 L</v>
      </c>
      <c r="D125" s="19">
        <f>'Pricing Piso Chile'!I126</f>
        <v>7000</v>
      </c>
    </row>
    <row r="126" spans="2:4" ht="19" x14ac:dyDescent="0.2">
      <c r="B126" s="18" t="str">
        <f>'Pricing Piso Chile'!A127</f>
        <v>AV15 40-20</v>
      </c>
      <c r="C126" s="18" t="str">
        <f>'Pricing Piso Chile'!B127</f>
        <v>1 L</v>
      </c>
      <c r="D126" s="19">
        <f>'Pricing Piso Chile'!I127</f>
        <v>9000</v>
      </c>
    </row>
    <row r="127" spans="2:4" ht="19" x14ac:dyDescent="0.2">
      <c r="B127" s="18" t="str">
        <f>'Pricing Piso Chile'!A128</f>
        <v>AV15 40-20</v>
      </c>
      <c r="C127" s="18" t="str">
        <f>'Pricing Piso Chile'!B128</f>
        <v>5 L</v>
      </c>
      <c r="D127" s="19">
        <f>'Pricing Piso Chile'!I128</f>
        <v>6500</v>
      </c>
    </row>
    <row r="128" spans="2:4" ht="19" x14ac:dyDescent="0.2">
      <c r="B128" s="18" t="str">
        <f>'Pricing Piso Chile'!A129</f>
        <v>AV15 40-20</v>
      </c>
      <c r="C128" s="18" t="str">
        <f>'Pricing Piso Chile'!B129</f>
        <v>20 L</v>
      </c>
      <c r="D128" s="19">
        <f>'Pricing Piso Chile'!I129</f>
        <v>5500</v>
      </c>
    </row>
    <row r="129" spans="2:4" ht="19" x14ac:dyDescent="0.2">
      <c r="B129" s="18" t="str">
        <f>'Pricing Piso Chile'!A130</f>
        <v>AV15 40-20</v>
      </c>
      <c r="C129" s="18" t="str">
        <f>'Pricing Piso Chile'!B130</f>
        <v>200 L</v>
      </c>
      <c r="D129" s="19">
        <f>'Pricing Piso Chile'!I130</f>
        <v>4000</v>
      </c>
    </row>
    <row r="130" spans="2:4" ht="19" x14ac:dyDescent="0.2">
      <c r="B130" s="18" t="str">
        <f>'Pricing Piso Chile'!A131</f>
        <v>AV15 40-20</v>
      </c>
      <c r="C130" s="18" t="str">
        <f>'Pricing Piso Chile'!B131</f>
        <v>1000 L</v>
      </c>
      <c r="D130" s="19">
        <f>'Pricing Piso Chile'!I131</f>
        <v>2800</v>
      </c>
    </row>
    <row r="131" spans="2:4" ht="19" x14ac:dyDescent="0.2">
      <c r="B131" s="18" t="str">
        <f>'Pricing Piso Chile'!A132</f>
        <v>BIOVECA BACIFOS</v>
      </c>
      <c r="C131" s="18" t="str">
        <f>'Pricing Piso Chile'!B132</f>
        <v>500 GR</v>
      </c>
      <c r="D131" s="19">
        <f>'Pricing Piso Chile'!I132</f>
        <v>40000</v>
      </c>
    </row>
    <row r="132" spans="2:4" ht="19" x14ac:dyDescent="0.2">
      <c r="B132" s="18" t="str">
        <f>'Pricing Piso Chile'!A133</f>
        <v>BIOVECA FOLIAR</v>
      </c>
      <c r="C132" s="18" t="str">
        <f>'Pricing Piso Chile'!B133</f>
        <v>250 GR</v>
      </c>
      <c r="D132" s="19">
        <f>'Pricing Piso Chile'!I133</f>
        <v>33500</v>
      </c>
    </row>
    <row r="133" spans="2:4" ht="19" x14ac:dyDescent="0.2">
      <c r="B133" s="18" t="str">
        <f>'Pricing Piso Chile'!A134</f>
        <v>BIOVECA INVERNAL</v>
      </c>
      <c r="C133" s="18" t="str">
        <f>'Pricing Piso Chile'!B134</f>
        <v>250 GR</v>
      </c>
      <c r="D133" s="19">
        <f>'Pricing Piso Chile'!I134</f>
        <v>34800</v>
      </c>
    </row>
    <row r="134" spans="2:4" ht="19" x14ac:dyDescent="0.2">
      <c r="B134" s="18" t="str">
        <f>'Pricing Piso Chile'!A135</f>
        <v>BIOVECA NEMA OFF</v>
      </c>
      <c r="C134" s="18" t="str">
        <f>'Pricing Piso Chile'!B135</f>
        <v>500 GR</v>
      </c>
      <c r="D134" s="19">
        <f>'Pricing Piso Chile'!I135</f>
        <v>35000</v>
      </c>
    </row>
    <row r="135" spans="2:4" ht="19" x14ac:dyDescent="0.2">
      <c r="B135" s="18" t="str">
        <f>'Pricing Piso Chile'!A136</f>
        <v>BIOVECA NITRA UP</v>
      </c>
      <c r="C135" s="18" t="str">
        <f>'Pricing Piso Chile'!B136</f>
        <v>500 GR</v>
      </c>
      <c r="D135" s="19">
        <f>'Pricing Piso Chile'!I136</f>
        <v>28000</v>
      </c>
    </row>
    <row r="136" spans="2:4" ht="19" x14ac:dyDescent="0.2">
      <c r="B136" s="18" t="str">
        <f>'Pricing Piso Chile'!A137</f>
        <v>BIOVECA PRADERAS</v>
      </c>
      <c r="C136" s="18" t="str">
        <f>'Pricing Piso Chile'!B137</f>
        <v>250 GR</v>
      </c>
      <c r="D136" s="19">
        <f>'Pricing Piso Chile'!I137</f>
        <v>31000</v>
      </c>
    </row>
    <row r="137" spans="2:4" ht="19" x14ac:dyDescent="0.2">
      <c r="B137" s="18" t="str">
        <f>'Pricing Piso Chile'!A138</f>
        <v>BIOVECA RAIZ</v>
      </c>
      <c r="C137" s="18" t="str">
        <f>'Pricing Piso Chile'!B138</f>
        <v>500 GR</v>
      </c>
      <c r="D137" s="19">
        <f>'Pricing Piso Chile'!I138</f>
        <v>36500</v>
      </c>
    </row>
    <row r="138" spans="2:4" ht="19" x14ac:dyDescent="0.2">
      <c r="B138" s="18" t="str">
        <f>'Pricing Piso Chile'!A139</f>
        <v>GREEN GUARDIAN MAX</v>
      </c>
      <c r="C138" s="18" t="str">
        <f>'Pricing Piso Chile'!B139</f>
        <v>1 L</v>
      </c>
      <c r="D138" s="19">
        <f>'Pricing Piso Chile'!I139</f>
        <v>7500</v>
      </c>
    </row>
    <row r="139" spans="2:4" ht="19" x14ac:dyDescent="0.2">
      <c r="B139" s="18" t="str">
        <f>'Pricing Piso Chile'!A140</f>
        <v>GREEN GUARDIAN MAX</v>
      </c>
      <c r="C139" s="18" t="str">
        <f>'Pricing Piso Chile'!B140</f>
        <v>5 L</v>
      </c>
      <c r="D139" s="19">
        <f>'Pricing Piso Chile'!I140</f>
        <v>6800</v>
      </c>
    </row>
    <row r="140" spans="2:4" ht="19" x14ac:dyDescent="0.2">
      <c r="B140" s="18" t="str">
        <f>'Pricing Piso Chile'!A141</f>
        <v>GREEN GUARDIAN MAX</v>
      </c>
      <c r="C140" s="18" t="str">
        <f>'Pricing Piso Chile'!B141</f>
        <v>20 L</v>
      </c>
      <c r="D140" s="19">
        <f>'Pricing Piso Chile'!I141</f>
        <v>5000</v>
      </c>
    </row>
    <row r="141" spans="2:4" ht="19" x14ac:dyDescent="0.2">
      <c r="B141" s="18" t="str">
        <f>'Pricing Piso Chile'!A142</f>
        <v>GREEN GUARDIAN MAX</v>
      </c>
      <c r="C141" s="18" t="str">
        <f>'Pricing Piso Chile'!B142</f>
        <v>200 L</v>
      </c>
      <c r="D141" s="19">
        <f>'Pricing Piso Chile'!I142</f>
        <v>4000</v>
      </c>
    </row>
    <row r="142" spans="2:4" ht="19" x14ac:dyDescent="0.2">
      <c r="B142" s="18" t="str">
        <f>'Pricing Piso Chile'!A143</f>
        <v>GREEN GUARDIAN MAX</v>
      </c>
      <c r="C142" s="18" t="str">
        <f>'Pricing Piso Chile'!B143</f>
        <v>1000 L</v>
      </c>
      <c r="D142" s="19">
        <f>'Pricing Piso Chile'!I143</f>
        <v>3800</v>
      </c>
    </row>
  </sheetData>
  <autoFilter ref="B4:D82" xr:uid="{00000000-0009-0000-0000-000000000000}">
    <sortState xmlns:xlrd2="http://schemas.microsoft.com/office/spreadsheetml/2017/richdata2" ref="B5:D83">
      <sortCondition ref="B4:B83"/>
    </sortState>
  </autoFilter>
  <mergeCells count="3">
    <mergeCell ref="B3:D3"/>
    <mergeCell ref="B2:D2"/>
    <mergeCell ref="B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Pricing Piso Chile</vt:lpstr>
      <vt:lpstr>Lista de precios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Javier Almeida</cp:lastModifiedBy>
  <cp:revision>0</cp:revision>
  <dcterms:created xsi:type="dcterms:W3CDTF">2026-04-16T17:50:33Z</dcterms:created>
  <dcterms:modified xsi:type="dcterms:W3CDTF">2026-04-27T22:47:24Z</dcterms:modified>
  <dc:language>en-US</dc:language>
</cp:coreProperties>
</file>