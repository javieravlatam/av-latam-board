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rov\OneDrive\Escritorio\"/>
    </mc:Choice>
  </mc:AlternateContent>
  <xr:revisionPtr revIDLastSave="0" documentId="13_ncr:1_{FEC43367-D433-4F96-AE0B-4E9135200EA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SUMEN" sheetId="2" r:id="rId1"/>
    <sheet name="VENTAS" sheetId="1" r:id="rId2"/>
    <sheet name="ACUMULADO T1" sheetId="4" r:id="rId3"/>
  </sheets>
  <definedNames>
    <definedName name="_xlnm._FilterDatabase" localSheetId="1" hidden="1">VENTAS!$A$2:$T$779</definedName>
  </definedNames>
  <calcPr calcId="191029"/>
  <pivotCaches>
    <pivotCache cacheId="4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55" i="1" l="1"/>
  <c r="N856" i="1"/>
  <c r="N857" i="1"/>
  <c r="N858" i="1"/>
  <c r="N859" i="1"/>
  <c r="N860" i="1"/>
  <c r="N861" i="1"/>
  <c r="N862" i="1"/>
  <c r="N835" i="1" l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28" i="1"/>
  <c r="N829" i="1"/>
  <c r="N830" i="1"/>
  <c r="N831" i="1"/>
  <c r="N832" i="1"/>
  <c r="N833" i="1"/>
  <c r="N834" i="1"/>
  <c r="N82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789" i="1"/>
  <c r="N790" i="1"/>
  <c r="N791" i="1"/>
  <c r="N792" i="1"/>
  <c r="N793" i="1"/>
  <c r="N794" i="1"/>
  <c r="N795" i="1"/>
  <c r="N796" i="1"/>
  <c r="N797" i="1"/>
  <c r="N798" i="1"/>
  <c r="N784" i="1"/>
  <c r="N785" i="1"/>
  <c r="N786" i="1"/>
  <c r="N787" i="1"/>
  <c r="N780" i="1"/>
  <c r="N781" i="1"/>
  <c r="N782" i="1"/>
  <c r="N783" i="1"/>
  <c r="N788" i="1"/>
  <c r="N799" i="1"/>
  <c r="N800" i="1"/>
  <c r="N801" i="1"/>
  <c r="N802" i="1"/>
  <c r="N803" i="1"/>
  <c r="N804" i="1"/>
  <c r="N805" i="1"/>
  <c r="N806" i="1"/>
  <c r="N807" i="1"/>
  <c r="N627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H37" i="2"/>
  <c r="C17" i="4"/>
  <c r="C16" i="4"/>
  <c r="C18" i="4"/>
  <c r="C14" i="4"/>
  <c r="I21" i="2" l="1"/>
  <c r="J21" i="2" s="1"/>
  <c r="I36" i="2" s="1"/>
  <c r="H21" i="2"/>
  <c r="H20" i="2"/>
  <c r="B30" i="4"/>
  <c r="B29" i="4"/>
  <c r="B28" i="4"/>
  <c r="B27" i="4"/>
  <c r="B26" i="4"/>
  <c r="H20" i="4" l="1"/>
  <c r="F20" i="4"/>
  <c r="G20" i="4" s="1"/>
  <c r="E20" i="4"/>
  <c r="C20" i="4"/>
  <c r="B20" i="4"/>
  <c r="D20" i="4" l="1"/>
  <c r="J19" i="4"/>
  <c r="G19" i="4"/>
  <c r="D19" i="4"/>
  <c r="J18" i="4" l="1"/>
  <c r="G18" i="4"/>
  <c r="D18" i="4"/>
  <c r="J17" i="4" l="1"/>
  <c r="G17" i="4"/>
  <c r="D17" i="4"/>
  <c r="J16" i="4" l="1"/>
  <c r="G16" i="4"/>
  <c r="D16" i="4"/>
  <c r="J15" i="4" l="1"/>
  <c r="G15" i="4"/>
  <c r="D15" i="4"/>
  <c r="I20" i="4" l="1"/>
  <c r="J20" i="4" s="1"/>
  <c r="J14" i="4"/>
  <c r="G14" i="4"/>
  <c r="D14" i="4"/>
  <c r="N767" i="1"/>
  <c r="N766" i="1"/>
  <c r="N765" i="1"/>
  <c r="N749" i="1" l="1"/>
  <c r="N750" i="1"/>
  <c r="N751" i="1"/>
  <c r="N752" i="1"/>
  <c r="N753" i="1"/>
  <c r="N754" i="1"/>
  <c r="N764" i="1" l="1"/>
  <c r="N763" i="1"/>
  <c r="N762" i="1"/>
  <c r="N761" i="1"/>
  <c r="N760" i="1"/>
  <c r="N759" i="1"/>
  <c r="N758" i="1"/>
  <c r="N757" i="1"/>
  <c r="N756" i="1"/>
  <c r="N755" i="1"/>
  <c r="N748" i="1" l="1"/>
  <c r="N747" i="1"/>
  <c r="N746" i="1"/>
  <c r="N745" i="1"/>
  <c r="N744" i="1"/>
  <c r="N743" i="1"/>
  <c r="N742" i="1" l="1"/>
  <c r="N741" i="1"/>
  <c r="N740" i="1"/>
  <c r="N739" i="1"/>
  <c r="N738" i="1"/>
  <c r="N737" i="1"/>
  <c r="N736" i="1"/>
  <c r="N735" i="1"/>
  <c r="N734" i="1"/>
  <c r="N733" i="1" l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 l="1"/>
  <c r="N707" i="1"/>
  <c r="N706" i="1"/>
  <c r="N705" i="1"/>
  <c r="N704" i="1"/>
  <c r="N703" i="1"/>
  <c r="N702" i="1"/>
  <c r="N700" i="1"/>
  <c r="N699" i="1"/>
  <c r="N698" i="1"/>
  <c r="N697" i="1"/>
  <c r="N696" i="1"/>
  <c r="N695" i="1"/>
  <c r="N694" i="1"/>
  <c r="N693" i="1"/>
  <c r="N692" i="1"/>
  <c r="N691" i="1"/>
  <c r="N690" i="1"/>
  <c r="N689" i="1" l="1"/>
  <c r="N688" i="1"/>
  <c r="N684" i="1"/>
  <c r="N683" i="1"/>
  <c r="N682" i="1"/>
  <c r="N673" i="1"/>
  <c r="N672" i="1"/>
  <c r="N670" i="1"/>
  <c r="N669" i="1"/>
  <c r="N514" i="1"/>
  <c r="N686" i="1"/>
  <c r="N687" i="1"/>
  <c r="N685" i="1"/>
  <c r="N681" i="1"/>
  <c r="N680" i="1"/>
  <c r="N679" i="1"/>
  <c r="N678" i="1"/>
  <c r="N677" i="1"/>
  <c r="N676" i="1"/>
  <c r="N675" i="1"/>
  <c r="N674" i="1"/>
  <c r="N671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6" i="1"/>
  <c r="N625" i="1"/>
  <c r="N624" i="1"/>
  <c r="N623" i="1"/>
  <c r="N622" i="1"/>
  <c r="N621" i="1"/>
  <c r="N616" i="1" l="1"/>
  <c r="N617" i="1"/>
  <c r="N618" i="1"/>
  <c r="N619" i="1"/>
  <c r="N620" i="1"/>
  <c r="N613" i="1"/>
  <c r="N614" i="1"/>
  <c r="N615" i="1"/>
  <c r="G8" i="4" l="1"/>
  <c r="D8" i="4"/>
  <c r="N612" i="1"/>
  <c r="N611" i="1"/>
  <c r="D6" i="4"/>
  <c r="N592" i="1"/>
  <c r="Q39" i="1"/>
  <c r="N4" i="1"/>
  <c r="N5" i="1"/>
  <c r="N6" i="1"/>
  <c r="N7" i="1"/>
  <c r="N8" i="1"/>
  <c r="N9" i="1"/>
  <c r="N10" i="1"/>
  <c r="N11" i="1"/>
  <c r="N12" i="1"/>
  <c r="B32" i="4"/>
  <c r="H9" i="4"/>
  <c r="I7" i="4"/>
  <c r="H35" i="2"/>
  <c r="H39" i="2"/>
  <c r="I8" i="4"/>
  <c r="I4" i="4"/>
  <c r="I6" i="4"/>
  <c r="I3" i="4"/>
  <c r="H31" i="2"/>
  <c r="I5" i="4"/>
  <c r="J6" i="4" l="1"/>
  <c r="J5" i="4"/>
  <c r="J8" i="4"/>
  <c r="J7" i="4"/>
  <c r="J4" i="4"/>
  <c r="C26" i="4"/>
  <c r="C27" i="4"/>
  <c r="D27" i="4" s="1"/>
  <c r="I20" i="2"/>
  <c r="J20" i="2" s="1"/>
  <c r="I34" i="2" s="1"/>
  <c r="C30" i="4"/>
  <c r="C29" i="4"/>
  <c r="C28" i="4"/>
  <c r="D28" i="4" s="1"/>
  <c r="J3" i="4"/>
  <c r="I9" i="4"/>
  <c r="J9" i="4" s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D26" i="4" l="1"/>
  <c r="G3" i="4"/>
  <c r="C31" i="4"/>
  <c r="C32" i="4" s="1"/>
  <c r="D32" i="4" s="1"/>
  <c r="D29" i="4"/>
  <c r="E9" i="4"/>
  <c r="F9" i="4"/>
  <c r="C9" i="4"/>
  <c r="B9" i="4"/>
  <c r="G4" i="4"/>
  <c r="G5" i="4"/>
  <c r="G6" i="4"/>
  <c r="G7" i="4"/>
  <c r="D4" i="4"/>
  <c r="D5" i="4"/>
  <c r="D7" i="4"/>
  <c r="D3" i="4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68" i="1"/>
  <c r="N569" i="1"/>
  <c r="N570" i="1"/>
  <c r="N571" i="1"/>
  <c r="N572" i="1"/>
  <c r="N573" i="1"/>
  <c r="N574" i="1"/>
  <c r="N575" i="1"/>
  <c r="N576" i="1"/>
  <c r="D9" i="4" l="1"/>
  <c r="G9" i="4"/>
  <c r="D30" i="4"/>
  <c r="N562" i="1"/>
  <c r="N563" i="1"/>
  <c r="N564" i="1"/>
  <c r="N565" i="1"/>
  <c r="N566" i="1"/>
  <c r="N567" i="1"/>
  <c r="N559" i="1"/>
  <c r="N560" i="1"/>
  <c r="N561" i="1"/>
  <c r="N538" i="1"/>
  <c r="N539" i="1"/>
  <c r="N540" i="1"/>
  <c r="N541" i="1"/>
  <c r="N542" i="1"/>
  <c r="N543" i="1"/>
  <c r="N544" i="1"/>
  <c r="N545" i="1"/>
  <c r="N557" i="1"/>
  <c r="N558" i="1"/>
  <c r="H19" i="2"/>
  <c r="H18" i="2"/>
  <c r="H22" i="2" s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46" i="1"/>
  <c r="N547" i="1"/>
  <c r="N548" i="1"/>
  <c r="N549" i="1"/>
  <c r="N550" i="1"/>
  <c r="N551" i="1"/>
  <c r="N552" i="1"/>
  <c r="N553" i="1"/>
  <c r="N554" i="1"/>
  <c r="N555" i="1"/>
  <c r="N556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3" i="1"/>
  <c r="H33" i="2"/>
  <c r="I32" i="2" l="1"/>
  <c r="I30" i="2"/>
  <c r="I18" i="2"/>
  <c r="I19" i="2"/>
  <c r="J19" i="2" s="1"/>
  <c r="I22" i="2" l="1"/>
  <c r="J22" i="2" s="1"/>
  <c r="J18" i="2"/>
</calcChain>
</file>

<file path=xl/sharedStrings.xml><?xml version="1.0" encoding="utf-8"?>
<sst xmlns="http://schemas.openxmlformats.org/spreadsheetml/2006/main" count="11474" uniqueCount="837">
  <si>
    <t>MES</t>
  </si>
  <si>
    <t>Rut</t>
  </si>
  <si>
    <t>Razón Social</t>
  </si>
  <si>
    <t>Fecha</t>
  </si>
  <si>
    <t xml:space="preserve">Región </t>
  </si>
  <si>
    <t>Vendedor</t>
  </si>
  <si>
    <t>Producto</t>
  </si>
  <si>
    <t>UN</t>
  </si>
  <si>
    <t>Documento</t>
  </si>
  <si>
    <t>Folio</t>
  </si>
  <si>
    <t>UM</t>
  </si>
  <si>
    <t>Cantidad</t>
  </si>
  <si>
    <t>Total</t>
  </si>
  <si>
    <t>Moneda</t>
  </si>
  <si>
    <t>PAÍS</t>
  </si>
  <si>
    <t xml:space="preserve">FECHA VENCIMIENTO </t>
  </si>
  <si>
    <t xml:space="preserve">Negocio </t>
  </si>
  <si>
    <t>Comentarios</t>
  </si>
  <si>
    <t>Fecha guía</t>
  </si>
  <si>
    <t>ENERO</t>
  </si>
  <si>
    <t>76.412.827-3</t>
  </si>
  <si>
    <t>FRUTICOLA RIO BLANCO SPA</t>
  </si>
  <si>
    <t>02/01/2026</t>
  </si>
  <si>
    <t>METROPOLITANA</t>
  </si>
  <si>
    <t>PABLO LARATRO</t>
  </si>
  <si>
    <t>VECA MOVE - 20 L</t>
  </si>
  <si>
    <t>Agroveca</t>
  </si>
  <si>
    <t>Factura Electrónica</t>
  </si>
  <si>
    <t>LTS</t>
  </si>
  <si>
    <t>CLP</t>
  </si>
  <si>
    <t>CHILE</t>
  </si>
  <si>
    <t>AV</t>
  </si>
  <si>
    <t>77.852.841-K</t>
  </si>
  <si>
    <t>COMERCIAL GUS SPA</t>
  </si>
  <si>
    <t>05/01/2026</t>
  </si>
  <si>
    <t>SEPTIMA</t>
  </si>
  <si>
    <t>FRANCISCO VELASQUEZ</t>
  </si>
  <si>
    <t>BIOVECA FOLIAR 250 GR</t>
  </si>
  <si>
    <t>78.148.834-8</t>
  </si>
  <si>
    <t>COMERCIALIZADORA LA COLONIA LIMITADA</t>
  </si>
  <si>
    <t>QUINTA</t>
  </si>
  <si>
    <t>VECA MAX FULVIC 45% - 20 L</t>
  </si>
  <si>
    <t>18.584.049-2</t>
  </si>
  <si>
    <t>SEBASTIAN MAURICIO BUTTI MENDOZA</t>
  </si>
  <si>
    <t>VECA ROOT MAX - 20 L</t>
  </si>
  <si>
    <t>76.532.516-1</t>
  </si>
  <si>
    <t>AGROINVEST SPA</t>
  </si>
  <si>
    <t>SEXTA</t>
  </si>
  <si>
    <t>VALENTINA MUÑOZ</t>
  </si>
  <si>
    <t>PK-DEFEND MAX - 20 L</t>
  </si>
  <si>
    <t>PK-DEFEND MAX - 5 L</t>
  </si>
  <si>
    <t>76.428.021-0</t>
  </si>
  <si>
    <t>SOCIEDAD AGRICOLA TIERRA DE BACO LIMITADA</t>
  </si>
  <si>
    <t xml:space="preserve">SEXTA </t>
  </si>
  <si>
    <t>JORGE CAROCA</t>
  </si>
  <si>
    <t>BIOVECA FOLIAR - 250 GR</t>
  </si>
  <si>
    <t>Agrocomercial</t>
  </si>
  <si>
    <t>Guia N 107</t>
  </si>
  <si>
    <t>RODRIGO ENCINA</t>
  </si>
  <si>
    <t>BIOVECA FOLIAR - 250 GRS</t>
  </si>
  <si>
    <t>Guia N 121</t>
  </si>
  <si>
    <t>5.786.817-1</t>
  </si>
  <si>
    <t>MARIO FERNANDO MUÑOZ SILVA</t>
  </si>
  <si>
    <t>AV-BIOSOLARIS - 20 L</t>
  </si>
  <si>
    <t>Guía de Despacho Electrónica</t>
  </si>
  <si>
    <t>AV-BIOSOLARIS - 5 L</t>
  </si>
  <si>
    <t>AV-BIOSOLARIS - 1 L</t>
  </si>
  <si>
    <t>78.189.158-4</t>
  </si>
  <si>
    <t>AGRICOLA SAN PEDRO SPA</t>
  </si>
  <si>
    <t>AV-AMIN SUGAR - 20 L</t>
  </si>
  <si>
    <t>AV-AMIN SUGAR - 1 L</t>
  </si>
  <si>
    <t>AV-SILFORTE - 20 L</t>
  </si>
  <si>
    <t>78.304.686-5</t>
  </si>
  <si>
    <t>DISTRIBUIDORA AGRO DEL MONTE SPA</t>
  </si>
  <si>
    <t>06/01/2026</t>
  </si>
  <si>
    <t>VECA AMIN - 5 L</t>
  </si>
  <si>
    <t>Guia N 132</t>
  </si>
  <si>
    <t>4.593.930-8</t>
  </si>
  <si>
    <t>MANUEL ANTONIO CASTRO LOPEZ</t>
  </si>
  <si>
    <t>AV BIOSOLARIS - 20 L</t>
  </si>
  <si>
    <t>AV BIOSOLARIS - 5 L</t>
  </si>
  <si>
    <t>78.061.253-3</t>
  </si>
  <si>
    <t>AGRICOLA DON PEDRO SPA</t>
  </si>
  <si>
    <t>07/01/2026</t>
  </si>
  <si>
    <t>ANALISIS FOLIAR CEREZO</t>
  </si>
  <si>
    <t>Laboratorio</t>
  </si>
  <si>
    <t>77.598.960-2</t>
  </si>
  <si>
    <t>AGROCOMERCIAL Y GANADERA LOMA LARGA LIMITADA</t>
  </si>
  <si>
    <t>CUARTA</t>
  </si>
  <si>
    <t>IVAN VEVERKA</t>
  </si>
  <si>
    <t>AV ALGAP 30 x 20 LT</t>
  </si>
  <si>
    <t>3 cuotas</t>
  </si>
  <si>
    <t>AV PLUS POTASIO x 20 LT</t>
  </si>
  <si>
    <t>AV PLUS AMIN x 20 LT</t>
  </si>
  <si>
    <t>81.669.200-8</t>
  </si>
  <si>
    <t>PONTIFICIA UNIVERSIDAD CATOLICA DE VALPARAISO</t>
  </si>
  <si>
    <t>Guia N 105</t>
  </si>
  <si>
    <t>76.826.270-5</t>
  </si>
  <si>
    <t>INVERSIONES DON FORTUNATO LTDA</t>
  </si>
  <si>
    <t>VECA PLUS POTASIO - 20 L</t>
  </si>
  <si>
    <t>VECA PLUS CALCIO - 20 L</t>
  </si>
  <si>
    <t>VECA PLUS MAGNESIO - 20 L</t>
  </si>
  <si>
    <t>BIOVECA RAÍZ - 500 GRS</t>
  </si>
  <si>
    <t>ODIN TEBUCONAZOLE 43% LT</t>
  </si>
  <si>
    <t>76.188.119-1</t>
  </si>
  <si>
    <t>PEDRO PATRICIO MENESES SOTO AGRICOLA Y TRANSPORTES E.I.R.L.</t>
  </si>
  <si>
    <t>AV PLUS ROOT MAX x 5LT</t>
  </si>
  <si>
    <t>BIOVECA NEMAOFF 500 GRS</t>
  </si>
  <si>
    <t>77.758.114-7</t>
  </si>
  <si>
    <t>SOCIEDAD AGRÍCOLA COMERCIAL SIEMBRA SPA</t>
  </si>
  <si>
    <t>AV PLUS MAGNESIO x 5 LT</t>
  </si>
  <si>
    <t>AV PLUS POTASIO x 5 LT</t>
  </si>
  <si>
    <t>76.552.164-5</t>
  </si>
  <si>
    <t>ANGELA MARIA DIAZ SCHMIDT AGRICOLA E.I.R.L.</t>
  </si>
  <si>
    <t>AV ROOT MAX x 20 LT</t>
  </si>
  <si>
    <t>BIOVECA FOLIAR 250 GRS</t>
  </si>
  <si>
    <t>76.180.961-K</t>
  </si>
  <si>
    <t>AGRICOLA SAN ANTONIO LIMITADA</t>
  </si>
  <si>
    <t>AV PLUS MAGNESIO x 20 LT</t>
  </si>
  <si>
    <t>77.650.227-8</t>
  </si>
  <si>
    <t>SOCIEDAD AGRICOLA COMERCIAL LA HIGUERA SPA</t>
  </si>
  <si>
    <t>08/01/2026</t>
  </si>
  <si>
    <t>VECA AMIN - 20 L</t>
  </si>
  <si>
    <t>LITROS</t>
  </si>
  <si>
    <t>Guia  N 48</t>
  </si>
  <si>
    <t>VECA BALANCE - 5 L</t>
  </si>
  <si>
    <t>Guia N 60</t>
  </si>
  <si>
    <t>CYTO PRIME -  1 L</t>
  </si>
  <si>
    <t>VECA PLUS POTASIO - 5 L</t>
  </si>
  <si>
    <t>Guia N 78</t>
  </si>
  <si>
    <t>VECA PLUS CALCIO - 5 L</t>
  </si>
  <si>
    <t>VECA PLUS BORO - 5 L (PRECIO EN  USD)</t>
  </si>
  <si>
    <t>Guia N 49</t>
  </si>
  <si>
    <t>VECA PLUS ZINC - 5 L (PRECIO EN USD)</t>
  </si>
  <si>
    <t>5.904.111-8</t>
  </si>
  <si>
    <t>BETTY PATRICIA MONTENEGRO ESCOBAR</t>
  </si>
  <si>
    <t>VECA AMIN SUGAR - 20 L</t>
  </si>
  <si>
    <t>Guia N 139</t>
  </si>
  <si>
    <t>77.036.196-6</t>
  </si>
  <si>
    <t>SOCIEDAD COMERCIAL RYN SPA</t>
  </si>
  <si>
    <t>VECA CALCIO BORO - 20 L</t>
  </si>
  <si>
    <t>76.788.317-K</t>
  </si>
  <si>
    <t>AGRICOLA MARIO ALEJANDRO VIDAL NUNEZ EIRL</t>
  </si>
  <si>
    <t>09/01/2026</t>
  </si>
  <si>
    <t>BIOVECA NEMAOFF - 500 GR</t>
  </si>
  <si>
    <t>9.056.061-1</t>
  </si>
  <si>
    <t>FELIPE ALBERTO RIQUELME ACUNA</t>
  </si>
  <si>
    <t>ÑUBLE</t>
  </si>
  <si>
    <t>AV ROOT MAX X 20 LT</t>
  </si>
  <si>
    <t>AV PLUS MAGNESIO X 20 LT</t>
  </si>
  <si>
    <t>AV PLUS POTASIO X 20 LT</t>
  </si>
  <si>
    <t>76.547.701-8</t>
  </si>
  <si>
    <t>SOCIEDAD AGRICOLA BRUGNATO LIMITADA</t>
  </si>
  <si>
    <t>VECASIL FORTE - 20 L</t>
  </si>
  <si>
    <t>77.988.779-0</t>
  </si>
  <si>
    <t>SEIS SOLES SPA</t>
  </si>
  <si>
    <t>10/01/2026</t>
  </si>
  <si>
    <t>TERCERA</t>
  </si>
  <si>
    <t>ALGAP 30 - 20 L</t>
  </si>
  <si>
    <t>77.582.414-K</t>
  </si>
  <si>
    <t>AGROINSUMOS KULLIN</t>
  </si>
  <si>
    <t>12/01/2026</t>
  </si>
  <si>
    <t>AV PLUS CALCIO BORO - 20 L</t>
  </si>
  <si>
    <t>GUIA AV 708</t>
  </si>
  <si>
    <t>AV PLUS BORO - 20 L</t>
  </si>
  <si>
    <t>AV AMIN - 20 L</t>
  </si>
  <si>
    <t>VECA AMIN - 1 L</t>
  </si>
  <si>
    <t>GUIA AV 709</t>
  </si>
  <si>
    <t>VECA PLUS ZINC - 1 L</t>
  </si>
  <si>
    <t>VECA PLUS MAGNESIO - 1 L</t>
  </si>
  <si>
    <t>GUIA AV 789</t>
  </si>
  <si>
    <t>VECA NUTRI MIX - 1 L</t>
  </si>
  <si>
    <t>VECA NUTRI MIX - 20 L</t>
  </si>
  <si>
    <t>77.139.169-9</t>
  </si>
  <si>
    <t>AGRICOLA FUNDO LA PROVIDENCIA LTDA</t>
  </si>
  <si>
    <t>GUIA AV 827</t>
  </si>
  <si>
    <t>76.421.617-2</t>
  </si>
  <si>
    <t>AGRICOLA CASA DEL CERRILLO EIRL</t>
  </si>
  <si>
    <t>GUIA AV 769</t>
  </si>
  <si>
    <t>ALGAP 30 - 5 L</t>
  </si>
  <si>
    <t>VECA N-P MIX - 20 L</t>
  </si>
  <si>
    <t>GUIA AV 780</t>
  </si>
  <si>
    <t>15.111.777-5</t>
  </si>
  <si>
    <t>JORGE HERNAN ESPINOZA QUEZADA</t>
  </si>
  <si>
    <t>GUIA AV 725</t>
  </si>
  <si>
    <t>CYTO PRIME - 5 L</t>
  </si>
  <si>
    <t>77.224.235-2</t>
  </si>
  <si>
    <t>CONTRATISTAS AZUA LIMITADA</t>
  </si>
  <si>
    <t>GUIA AV 829</t>
  </si>
  <si>
    <t>14.346.200-5</t>
  </si>
  <si>
    <t>SAMUEL ENRIQUE ACEVEDO CONTRERAS</t>
  </si>
  <si>
    <t>GUIA AV 841</t>
  </si>
  <si>
    <t>VECA BLOOM - 5 L</t>
  </si>
  <si>
    <t>77.327.221-2</t>
  </si>
  <si>
    <t>SOCIEDAD AGRICOLA Y COMERCIAL RIO DIUTO SPA</t>
  </si>
  <si>
    <t>OCTAVA</t>
  </si>
  <si>
    <t>VECA PLUS MANGANESO - 20 L</t>
  </si>
  <si>
    <t>AV BIOVECA FOLIAR - 250 GR</t>
  </si>
  <si>
    <t>Guia N142</t>
  </si>
  <si>
    <t>9.501.614-6</t>
  </si>
  <si>
    <t>JUAN ENRIQUE VARGAS ALZAMORA</t>
  </si>
  <si>
    <t>AV AMIN SUGAR - 200 L</t>
  </si>
  <si>
    <t>10.824.336-8</t>
  </si>
  <si>
    <t>EUGENIO ALFREDO AMPUERO GUERRA</t>
  </si>
  <si>
    <t>13/01/2026</t>
  </si>
  <si>
    <t>BIOVECA NEMAOFF - 500 GRS</t>
  </si>
  <si>
    <t>GUIA AV 851</t>
  </si>
  <si>
    <t>76.104.169-K</t>
  </si>
  <si>
    <t>AGRICOLA RIBERA LIMITADA</t>
  </si>
  <si>
    <t>GUIA AV 550</t>
  </si>
  <si>
    <t>77.987.344-7</t>
  </si>
  <si>
    <t>AGRÍCOLA CORNEJO ALVAREZ SPA</t>
  </si>
  <si>
    <t>AV AMIN X 5 LT</t>
  </si>
  <si>
    <t>AV AMIN X 1 LT</t>
  </si>
  <si>
    <t>AV HUMIC ROOT X 20LT</t>
  </si>
  <si>
    <t>AV ROOT MAX X 20LT</t>
  </si>
  <si>
    <t>14/01/2026</t>
  </si>
  <si>
    <t>LABORATORIO</t>
  </si>
  <si>
    <t>ANÁLISIS FOLIAR - CAMPO LOS LIRIOS</t>
  </si>
  <si>
    <t>ANÁLISIS FOLIAR - CAMPO LA MONTAÑA</t>
  </si>
  <si>
    <t>ANÁLISIS FOLIAR - CAMPO SANTA LUISA</t>
  </si>
  <si>
    <t>13.302.310-0</t>
  </si>
  <si>
    <t>LUIS AMERICO VIDAL MEZA</t>
  </si>
  <si>
    <t>NUTRI MIX - 5 L</t>
  </si>
  <si>
    <t>89.308.000-7</t>
  </si>
  <si>
    <t>VILLEGAS Y BERRIOS Y CIA LTDA</t>
  </si>
  <si>
    <t>VECA BALANCE - 1 L</t>
  </si>
  <si>
    <t>VECA PLUS ZINC - 5 L</t>
  </si>
  <si>
    <t>VECA PLUS BORO - 5 L</t>
  </si>
  <si>
    <t>VECA PLUS CALCIO - 1 L</t>
  </si>
  <si>
    <t>VECA PLUS POTASIO - 1 L</t>
  </si>
  <si>
    <t>VECA PLUS CALCIO BORO - 1 L</t>
  </si>
  <si>
    <t>VECA PLUS HIERRO - 1 L</t>
  </si>
  <si>
    <t>VECA BLOOM - 1 L</t>
  </si>
  <si>
    <t>VECA PLUS CALCIO BORO - 20 L</t>
  </si>
  <si>
    <t>77.941.544-9</t>
  </si>
  <si>
    <t>BODEN SPA</t>
  </si>
  <si>
    <t>DECIMA</t>
  </si>
  <si>
    <t>BIOBODEN CRYOPHILE - 250 GRS</t>
  </si>
  <si>
    <t>XCARATOR - 20 L</t>
  </si>
  <si>
    <t>11.762.436-6</t>
  </si>
  <si>
    <t>ELIAS FELICIANO RETAMAL RIVERA</t>
  </si>
  <si>
    <t>AV ROOT MAX - 20 L</t>
  </si>
  <si>
    <t>AV PLUS NUTRI MIX - 20 L</t>
  </si>
  <si>
    <t>AV MOVE - 20 L</t>
  </si>
  <si>
    <t>AV SILFORTE - 200 L</t>
  </si>
  <si>
    <t>VECA MOVE - 5 L</t>
  </si>
  <si>
    <t>BIOVECA FOLIAR</t>
  </si>
  <si>
    <t>77.576.071-0</t>
  </si>
  <si>
    <t>AGRICOLA E INVERSIONES VGV SPA</t>
  </si>
  <si>
    <t>AV MAX FULVIC - 20 L</t>
  </si>
  <si>
    <t>AV HUMIC ROOT - 20 L</t>
  </si>
  <si>
    <t>AV AMINSUGAR - 20 L</t>
  </si>
  <si>
    <t>AV ALGAP 30 - 20 L</t>
  </si>
  <si>
    <t>76.351.331-9</t>
  </si>
  <si>
    <t>ACEITE DE OLIVA ANA MARIA MONSALVE NAVES E.I.R.L</t>
  </si>
  <si>
    <t>15/01/2026</t>
  </si>
  <si>
    <t>AV PLUS MICRO MIX - 20 L</t>
  </si>
  <si>
    <t>AV PLUS MICRO MIX - 5 L</t>
  </si>
  <si>
    <t>77.611.026-4</t>
  </si>
  <si>
    <t>AGRODONI LIMITADA</t>
  </si>
  <si>
    <t>AV BALANCE X 20LT</t>
  </si>
  <si>
    <t>AV MOVE X 20LT</t>
  </si>
  <si>
    <t>77.980.980-3</t>
  </si>
  <si>
    <t>AGRICOLA GEOAGRO LTDA</t>
  </si>
  <si>
    <t>Guia N 150</t>
  </si>
  <si>
    <t>AV MOVE X 5LT</t>
  </si>
  <si>
    <t>AV MOVE X 1LT</t>
  </si>
  <si>
    <t>Guia N 151</t>
  </si>
  <si>
    <t>76.756.815-0</t>
  </si>
  <si>
    <t>AGRICOLA SANTA INES DE MALLOA LIMITADA</t>
  </si>
  <si>
    <t>16/01/2026</t>
  </si>
  <si>
    <t>Guia N 153</t>
  </si>
  <si>
    <t>78.223.261-4</t>
  </si>
  <si>
    <t>AGRICOLA TOMATERRA SPA</t>
  </si>
  <si>
    <t>AV BIOVECA RAIZ - 500 GR</t>
  </si>
  <si>
    <t>UNIDAD</t>
  </si>
  <si>
    <t>79.673.320-9</t>
  </si>
  <si>
    <t>SOC AGRICOLA PALO ALTO LIMITADA</t>
  </si>
  <si>
    <t>14.284.877-5</t>
  </si>
  <si>
    <t>CARLOS HUMBERTO CASTRO VALENZUELA</t>
  </si>
  <si>
    <t>AV MAX FULVIC 45% - 5 L</t>
  </si>
  <si>
    <t>AV SILFORTE - 5 L</t>
  </si>
  <si>
    <t>21.974.115-4</t>
  </si>
  <si>
    <t>BENJAMIN FRANCISCO FARIAS VERA</t>
  </si>
  <si>
    <t>AV ROOT MAX - 5 L</t>
  </si>
  <si>
    <t>AV BIOSOLARIS - 1 L</t>
  </si>
  <si>
    <t>AV BALANCE - 1 L</t>
  </si>
  <si>
    <t>18/01/2026</t>
  </si>
  <si>
    <t>AV PLUS POTASIO - 20 L</t>
  </si>
  <si>
    <t>77.278.317-5</t>
  </si>
  <si>
    <t>SOCIEDAD AGRICOLA CESEP LIMITADA</t>
  </si>
  <si>
    <t>19/01/2026</t>
  </si>
  <si>
    <t>AV AMIN - 5 L</t>
  </si>
  <si>
    <t>AV PLUS ZINC - 5 L</t>
  </si>
  <si>
    <t>AV PLUS MAGNESIO - 5 L</t>
  </si>
  <si>
    <t>AV BLOOM - 5 L</t>
  </si>
  <si>
    <t>AV PLUS MANGANESO - 5 L</t>
  </si>
  <si>
    <t>AV PLUS HIERRO - 5 L</t>
  </si>
  <si>
    <t>13.542.282-7</t>
  </si>
  <si>
    <t>FRANCISCO JAVIER CHAVES SAN MARTIN</t>
  </si>
  <si>
    <t>GUIA AV 529</t>
  </si>
  <si>
    <t>K-DEFEND MAX - 20 L</t>
  </si>
  <si>
    <t>6.482.678-6</t>
  </si>
  <si>
    <t>MANUEL JESUS CHAVES CALDERON</t>
  </si>
  <si>
    <t>GUIA AV 530</t>
  </si>
  <si>
    <t>76.442.085-3</t>
  </si>
  <si>
    <t>AGRICOLA TUNICHE LIMITADA</t>
  </si>
  <si>
    <t>AV PLUS POTASIO - 5 L</t>
  </si>
  <si>
    <t>AV PLUS POTASIO - 1 L</t>
  </si>
  <si>
    <t>AV PLUS MAGNESIO - 1 L</t>
  </si>
  <si>
    <t>96.661.820-5</t>
  </si>
  <si>
    <t>COMERCIAL COPELEC SA</t>
  </si>
  <si>
    <t>ALGAP 30 - 1 L</t>
  </si>
  <si>
    <t>20/01/2026</t>
  </si>
  <si>
    <t>VECA  PLUS MAGNESIO x 5LT</t>
  </si>
  <si>
    <t>GUIA 125</t>
  </si>
  <si>
    <t>VECA  PLUS MAGNESIO x 1LT</t>
  </si>
  <si>
    <t>VECA PLUS POTASIO x 20LT</t>
  </si>
  <si>
    <t>VECA PLUS POTASIO x 5LT</t>
  </si>
  <si>
    <t>AV ALGAP 30 - 5 L</t>
  </si>
  <si>
    <t>AV SILFORTE - 20 L</t>
  </si>
  <si>
    <t>AV CYTO PRIME - 5 L</t>
  </si>
  <si>
    <t>5.280.371-3</t>
  </si>
  <si>
    <t>JUAN FRANCISCO VARGAS MANCILLA</t>
  </si>
  <si>
    <t>LOS LAGOS</t>
  </si>
  <si>
    <t>AV PLUS CALCIO BORO - 5 L</t>
  </si>
  <si>
    <t>AV MOVE - 5 L</t>
  </si>
  <si>
    <t>13.535.138-5</t>
  </si>
  <si>
    <t>MARCELA ANDREA DUBO ORDENES</t>
  </si>
  <si>
    <t>11.937.873-7</t>
  </si>
  <si>
    <t>MARITZA DEL PILAR DUBO ORDENES</t>
  </si>
  <si>
    <t>VECASIL FORTE X 20LT</t>
  </si>
  <si>
    <t>AV MICROMIX X 20LT</t>
  </si>
  <si>
    <t>77.135.740-7</t>
  </si>
  <si>
    <t>RAUL JOFRE Y COMPAQIA LIMITADA</t>
  </si>
  <si>
    <t>21/01/2026</t>
  </si>
  <si>
    <t>VECA PLUS POTASIO X 1LT</t>
  </si>
  <si>
    <t>VECA PLUS POTASIO X 5LT</t>
  </si>
  <si>
    <t>VECA PLUS MAGNESIO X 1LT</t>
  </si>
  <si>
    <t>VECA PLUS MAGNESIO X 5LT</t>
  </si>
  <si>
    <t>VECA PLUS CALCIO X 1LT</t>
  </si>
  <si>
    <t>VECA PLUS CALCIO X 5LT</t>
  </si>
  <si>
    <t>VECA PLUS CALCIO BORO	X 5LT</t>
  </si>
  <si>
    <t>VECA PLUS ZINC X 5 LT</t>
  </si>
  <si>
    <t>VECA ROOT MAX X 1LT</t>
  </si>
  <si>
    <t>PK DEFENDER MAX X 5LT</t>
  </si>
  <si>
    <t>77.317.590-K</t>
  </si>
  <si>
    <t>SOCIEDAD AGRICOLA SAN FRANCISCO</t>
  </si>
  <si>
    <t>VECA AMIN SUGAR X 1LT</t>
  </si>
  <si>
    <t>VECA AMIN SUGAR X 5LT</t>
  </si>
  <si>
    <t>VECA PLUS HIERRO X 5LT</t>
  </si>
  <si>
    <t>VECA AMIN X 1LT</t>
  </si>
  <si>
    <t>VECA AMIN X 5LT</t>
  </si>
  <si>
    <t>VECA ROOT MAX X 5LT</t>
  </si>
  <si>
    <t>VECA PLUS CALCIO BORO X 1LT</t>
  </si>
  <si>
    <t>VECA PLUS CALCIO BORO X 5LT</t>
  </si>
  <si>
    <t>VECA BORO X 1LT</t>
  </si>
  <si>
    <t>VECA BORO X 5LT</t>
  </si>
  <si>
    <t>VECA DEFENDER MAX X 1LT</t>
  </si>
  <si>
    <t>VECA DEFENDER MAX X 5LT</t>
  </si>
  <si>
    <t>VECA BLOOM X 1LT</t>
  </si>
  <si>
    <t>VECA BLOOM X 5LT</t>
  </si>
  <si>
    <t>VECA PLUS CALCIO X 20LT</t>
  </si>
  <si>
    <t>VECA PLUS POTASIO X 20LT</t>
  </si>
  <si>
    <t>VECA CALCIO X 1LT</t>
  </si>
  <si>
    <t>VECA CALCIO X 5LT</t>
  </si>
  <si>
    <t>VECA PLUC HIERRO X 5LT</t>
  </si>
  <si>
    <t>VECASIL FORTE X 1LT</t>
  </si>
  <si>
    <t>VECA AMIN X 20LT</t>
  </si>
  <si>
    <t>VECA PLUS BORO X 1LT</t>
  </si>
  <si>
    <t>VECA PLUS BORO X 5LT</t>
  </si>
  <si>
    <t>VECA PLUS BORO X 20 LT</t>
  </si>
  <si>
    <t>VECA BLANCE X 5LT</t>
  </si>
  <si>
    <t>78.168.038-9</t>
  </si>
  <si>
    <t>INSUMOS AGRICOLAS RAICES DEL CAMPO SPA</t>
  </si>
  <si>
    <t>GUIA N 74</t>
  </si>
  <si>
    <t>BIOVECA RAIZ - 500 GR</t>
  </si>
  <si>
    <t>AV BLOOM - 1 L</t>
  </si>
  <si>
    <t>AV MAX FULVIC 45% - 20 L</t>
  </si>
  <si>
    <t>22/01/2026</t>
  </si>
  <si>
    <t xml:space="preserve">QUINTA </t>
  </si>
  <si>
    <t>AV AMIN SUGAR - 20 L</t>
  </si>
  <si>
    <t>6.725.491-0</t>
  </si>
  <si>
    <t>JOSE CRISTOBAL GONZALEZ CORREA</t>
  </si>
  <si>
    <t>23/01/2026</t>
  </si>
  <si>
    <t>17.504.838-3</t>
  </si>
  <si>
    <t>ALUDI ALEJANDRA REYES PEREZ</t>
  </si>
  <si>
    <t>AV15 40-20 - 20 L</t>
  </si>
  <si>
    <t>GUIA N 169</t>
  </si>
  <si>
    <t>GUIA N 160</t>
  </si>
  <si>
    <t>77.458.933-3</t>
  </si>
  <si>
    <t>VIVERO PARQUE LANTAÑO SPA</t>
  </si>
  <si>
    <t>BIOPOTASICO 500CC GATILLO</t>
  </si>
  <si>
    <t>FUNGISTOP 500CC GATILLO</t>
  </si>
  <si>
    <t>RAIZ 500CC GATILLO</t>
  </si>
  <si>
    <t>SILFORTEM 500 CC GATILLO</t>
  </si>
  <si>
    <t>NUTRAMIX 500CC GATILLO</t>
  </si>
  <si>
    <t>BALANCE 500CC GATILLO</t>
  </si>
  <si>
    <t>TERRAPULSE CONC. 200 CC</t>
  </si>
  <si>
    <t>BIOPOTASICO CONC. 200CC</t>
  </si>
  <si>
    <t>FUNGISTOP CONC. 200CC</t>
  </si>
  <si>
    <t>BIORAIZ - 20 GR</t>
  </si>
  <si>
    <t>76.044.123-6</t>
  </si>
  <si>
    <t>AGRICOLA EL TOQUI LIMITADA</t>
  </si>
  <si>
    <t>77.112.646-4</t>
  </si>
  <si>
    <t>AGRICOLA LAS VERTIENTES S.A.</t>
  </si>
  <si>
    <t>AV BALANCE - 20 L</t>
  </si>
  <si>
    <t>AV BALANCE - 5 L</t>
  </si>
  <si>
    <t>AV PLUS ZINC MANGANESO - 20 L</t>
  </si>
  <si>
    <t>AV PLUS MAGNESIO - 20 L</t>
  </si>
  <si>
    <t>78.062.921-5</t>
  </si>
  <si>
    <t>PLANTTAE BOTÁNICA SPA</t>
  </si>
  <si>
    <t>NUTRAMIX CONC. 500CC</t>
  </si>
  <si>
    <t>79.611.530-0</t>
  </si>
  <si>
    <t>AGRICOLA BUNSTER Y TAGLE LTDA</t>
  </si>
  <si>
    <t>26/01/2026</t>
  </si>
  <si>
    <t>78.191.436-3</t>
  </si>
  <si>
    <t>VIVERO DONA AURORA SPA</t>
  </si>
  <si>
    <t>BALANCE CONC. 200CC</t>
  </si>
  <si>
    <t>NUTRAMIX CONC. 200CC</t>
  </si>
  <si>
    <t>SILFORTEM CONC. 200 CC</t>
  </si>
  <si>
    <t>7.036.820-K</t>
  </si>
  <si>
    <t>CARLOS GUILLERMO SOUPER URRA</t>
  </si>
  <si>
    <t>AV MAX FULVIC 45% - 200 L</t>
  </si>
  <si>
    <t>AV PLUS CALCIO - 20 L</t>
  </si>
  <si>
    <t>89.255.000-K</t>
  </si>
  <si>
    <t>AGRICOLA VICTORIA S.A.</t>
  </si>
  <si>
    <t>AV MOVE - 1 L</t>
  </si>
  <si>
    <t>77.133.772-4</t>
  </si>
  <si>
    <t>AGRICOLA GEORUCA SPA</t>
  </si>
  <si>
    <t>99.511.460-7</t>
  </si>
  <si>
    <t>SOCIEDAD AGRICOLA SAN NICOLAS LIMITADA</t>
  </si>
  <si>
    <t>27/01/2026</t>
  </si>
  <si>
    <t>AV PLUS CALCIO - 1 L</t>
  </si>
  <si>
    <t>AV PLUS CALCIO - 5 L</t>
  </si>
  <si>
    <t>AV PLUS BORO - 1 L</t>
  </si>
  <si>
    <t>AV15 40-20 - 1 L</t>
  </si>
  <si>
    <t>AV15 40-20 - 5 L</t>
  </si>
  <si>
    <t>76.209.230-1</t>
  </si>
  <si>
    <t>AGRICOLA JOSE MARIA Y OTRO LTDA</t>
  </si>
  <si>
    <t>AV HUMIC ROOT - 1000 L</t>
  </si>
  <si>
    <t>AV HUMIC ROOT - 200 L</t>
  </si>
  <si>
    <t>AV ROOT MAX - 200 L</t>
  </si>
  <si>
    <t>76.210.444-K</t>
  </si>
  <si>
    <t>SOCIEDAD AGRICOLA ALIAGA LTDA</t>
  </si>
  <si>
    <t>76.036.193-3</t>
  </si>
  <si>
    <t>AGRICOLA LUIS ANTONIO HERRERA AVENDANO E.I.R.L.</t>
  </si>
  <si>
    <t>28/01/2026</t>
  </si>
  <si>
    <t>29/01/2026</t>
  </si>
  <si>
    <t>AV PLUS CALCIO BORO - 1 L</t>
  </si>
  <si>
    <t>AV PLUS BORO - 5 L</t>
  </si>
  <si>
    <t>AV AMIN - 1 L</t>
  </si>
  <si>
    <t>AV PLUS MICRO MIX - 1 L</t>
  </si>
  <si>
    <t>AV PLUS NUTRI MIX - 1 L</t>
  </si>
  <si>
    <t>AV AMIN SUGAR - 5 L</t>
  </si>
  <si>
    <t>30/01/2026</t>
  </si>
  <si>
    <t>76.536.492-2</t>
  </si>
  <si>
    <t>AGRICOLA FUNDO LA PIEDRA LIMITADA</t>
  </si>
  <si>
    <t>77.536.995-7</t>
  </si>
  <si>
    <t>RAMADA DE CAMPO SPA</t>
  </si>
  <si>
    <t xml:space="preserve">SEPTIMA </t>
  </si>
  <si>
    <t>AV PLUS NUTRI MIX - 5 L</t>
  </si>
  <si>
    <t>AV ROOT MAX - 1 L</t>
  </si>
  <si>
    <t>AV SILFORTE - 1 L</t>
  </si>
  <si>
    <t>AV ALGAP 30 - 1 L</t>
  </si>
  <si>
    <t>AV CYTO PRIME - 1 L</t>
  </si>
  <si>
    <t>AV BIOVECA PRADERAS - 250 GR</t>
  </si>
  <si>
    <t>BODENPRO POTASIO - 20 L</t>
  </si>
  <si>
    <t>FEBRERO</t>
  </si>
  <si>
    <t>76.238.110-9</t>
  </si>
  <si>
    <t>AGRICOLA FRANCISCA MONTES E.I.R.L</t>
  </si>
  <si>
    <t>02/02/2026</t>
  </si>
  <si>
    <t>AV PLUS ZINC - 20 L</t>
  </si>
  <si>
    <t>AV PLUS ZINC - 1 L</t>
  </si>
  <si>
    <t>GUIA N 162</t>
  </si>
  <si>
    <t>76.031.255-K</t>
  </si>
  <si>
    <t>AGRICOLA LLANQUIHUE S.A.</t>
  </si>
  <si>
    <t>GUIA N 188</t>
  </si>
  <si>
    <t>03/02/2026</t>
  </si>
  <si>
    <t>78.109.329-7</t>
  </si>
  <si>
    <t>SOCIEDAD COMERCIAL HIERBA BUENA LIMITADA</t>
  </si>
  <si>
    <t>RAYEN BERNAZAR</t>
  </si>
  <si>
    <t>BALANCE CONC. 500CC</t>
  </si>
  <si>
    <t>04/02/2026</t>
  </si>
  <si>
    <t>GUIA N 96</t>
  </si>
  <si>
    <t>GUIA N 103</t>
  </si>
  <si>
    <t>GUIA N 167</t>
  </si>
  <si>
    <t>GUIA N 168</t>
  </si>
  <si>
    <t>78.260.910-6</t>
  </si>
  <si>
    <t>SOC AGRICOLA SANTA TERESA LIMITADA</t>
  </si>
  <si>
    <t>05/02/2026</t>
  </si>
  <si>
    <t>GUIA AV N 832</t>
  </si>
  <si>
    <t>K-DEFEND MAX - 5 L</t>
  </si>
  <si>
    <t>VECASIL FORTE - 5 L</t>
  </si>
  <si>
    <t>VECA BLOOM - 20 L</t>
  </si>
  <si>
    <t>BIOVECA RAIZ - 500 GRS</t>
  </si>
  <si>
    <t>77.242.610-0</t>
  </si>
  <si>
    <t>SOC AGRICOLA LAS TINAJAS LIMITADA</t>
  </si>
  <si>
    <t>77.773.872-0</t>
  </si>
  <si>
    <t>GREENBRO SPA</t>
  </si>
  <si>
    <t>06/02/2026</t>
  </si>
  <si>
    <t>11.260.728-5</t>
  </si>
  <si>
    <t>RICARDO ANTONIO ARAYA ALVAREZ</t>
  </si>
  <si>
    <t>10/02/2026</t>
  </si>
  <si>
    <t>78.485.940-1</t>
  </si>
  <si>
    <t>H R INVERSIONES SPA</t>
  </si>
  <si>
    <t>4.174.809-5</t>
  </si>
  <si>
    <t>GUILLERMO SEGUNDO CONCHA BUSTOS</t>
  </si>
  <si>
    <t>76.878.072-2</t>
  </si>
  <si>
    <t>SOCIEDAD AGRICOLA FRUTOS DE ÑUBLE LIMITADA</t>
  </si>
  <si>
    <t xml:space="preserve">ÑUBLE </t>
  </si>
  <si>
    <t>ANALISIS V-CO-0000 HOJAS ARANDANO</t>
  </si>
  <si>
    <t>ANALISIS V-C0-0000 HOJAS ARANDANO</t>
  </si>
  <si>
    <t>ANALISIS V-C0-0000 HOJAS CEREZO</t>
  </si>
  <si>
    <t>86.673.700-2</t>
  </si>
  <si>
    <t>AGRICOLA LOS ALAMOS LTDA</t>
  </si>
  <si>
    <t>GUIA N 198</t>
  </si>
  <si>
    <t>77.119.412-5</t>
  </si>
  <si>
    <t>AGRICOLA ADNAL LTDA</t>
  </si>
  <si>
    <t>76.073.818-2</t>
  </si>
  <si>
    <t>GUIA N 196</t>
  </si>
  <si>
    <t>GUIA N 200</t>
  </si>
  <si>
    <t>GUIA N 148</t>
  </si>
  <si>
    <t>GUIA N 165</t>
  </si>
  <si>
    <t>11/02/2026</t>
  </si>
  <si>
    <t>14.109.149-2</t>
  </si>
  <si>
    <t>EDUARDO MILTON IBACACHE ORTIZ</t>
  </si>
  <si>
    <t>12/02/2026</t>
  </si>
  <si>
    <t xml:space="preserve">CUARTA </t>
  </si>
  <si>
    <t>13/02/2026</t>
  </si>
  <si>
    <t>AV ALGAP 30 - 200 L</t>
  </si>
  <si>
    <t>10.936.241-7</t>
  </si>
  <si>
    <t>WILLEM BIERMA</t>
  </si>
  <si>
    <t>17/02/2026</t>
  </si>
  <si>
    <t>78.295.150-5</t>
  </si>
  <si>
    <t>AGRICOLA LLAHUEN S.A.</t>
  </si>
  <si>
    <t>18/02/2026</t>
  </si>
  <si>
    <t>77.870.899-K</t>
  </si>
  <si>
    <t>CULTIAGRO SPA</t>
  </si>
  <si>
    <t>19/02/2026</t>
  </si>
  <si>
    <t>20/02/2026</t>
  </si>
  <si>
    <t>16.247.441-3</t>
  </si>
  <si>
    <t>ROMINA DEL PILAR MACKENNA RIOS</t>
  </si>
  <si>
    <t>GREEN PLANT 500CC GATILLO</t>
  </si>
  <si>
    <t>76.048.467-9</t>
  </si>
  <si>
    <t>SOCIEDAD AGRICOLA VIVEROS EL TREMENDO LIMITADA</t>
  </si>
  <si>
    <t>AV PLUS MICRO MIX - 200 L</t>
  </si>
  <si>
    <t>Analisis foliar</t>
  </si>
  <si>
    <t>78.279.610-0</t>
  </si>
  <si>
    <t>AGRICOLA ALTO CALIBRE LTDA</t>
  </si>
  <si>
    <t>17.272.914-2</t>
  </si>
  <si>
    <t>LEONARDO ENRIQUE OYARCE GENERAL</t>
  </si>
  <si>
    <t>5.911.735-1</t>
  </si>
  <si>
    <t>BERMECIDES ENRIQUE ROJAS BUGUENO</t>
  </si>
  <si>
    <t>23/02/2026</t>
  </si>
  <si>
    <t>24/02/2026</t>
  </si>
  <si>
    <t>OVALLE</t>
  </si>
  <si>
    <t>AV BLOOM - 20 L</t>
  </si>
  <si>
    <t>Precio Uni</t>
  </si>
  <si>
    <t>GUIA N 157</t>
  </si>
  <si>
    <t>GUIA N 133</t>
  </si>
  <si>
    <t>GUIA N 203</t>
  </si>
  <si>
    <t>GUIA N 213</t>
  </si>
  <si>
    <t>GUIA N 204</t>
  </si>
  <si>
    <t>GUIA N 538</t>
  </si>
  <si>
    <t>GUIA N 826</t>
  </si>
  <si>
    <t>Total general</t>
  </si>
  <si>
    <t>Suma de Total</t>
  </si>
  <si>
    <t>Cumplimiento %</t>
  </si>
  <si>
    <t>PPTO Enero</t>
  </si>
  <si>
    <t>Venta Enero</t>
  </si>
  <si>
    <t>PPTO Febrero</t>
  </si>
  <si>
    <t>Total Acumulado (año)</t>
  </si>
  <si>
    <t>2. Detalle Presupuesto vs Venta</t>
  </si>
  <si>
    <t>Presupuesto ($)</t>
  </si>
  <si>
    <t>Venta ($)</t>
  </si>
  <si>
    <t>Cumplimiento (%)</t>
  </si>
  <si>
    <t>Enero</t>
  </si>
  <si>
    <t>Febrero</t>
  </si>
  <si>
    <t>Total Acumulado Año</t>
  </si>
  <si>
    <t>14.681.984-2</t>
  </si>
  <si>
    <t>MONICA GONZALEZ LOPEZ</t>
  </si>
  <si>
    <t>13.504.183-1</t>
  </si>
  <si>
    <t>EDUARDO AQUILES HERRERA CABELLO</t>
  </si>
  <si>
    <t>AV AMIN SUGAR - 1 L</t>
  </si>
  <si>
    <t>AV PLUS ZINC MANGANESO - 5 L</t>
  </si>
  <si>
    <t>AV PLUS ZINC MANGANESO - 1 L</t>
  </si>
  <si>
    <t>25/02/2026</t>
  </si>
  <si>
    <t>GUIA N 136</t>
  </si>
  <si>
    <t>78.220.721-0</t>
  </si>
  <si>
    <t>AGRICOLA Y COMERCIALIZADORA ALDO ROBERTO ARRIETA AHUMADA E.I.R.L.</t>
  </si>
  <si>
    <t>26/02/2026</t>
  </si>
  <si>
    <t>AV BIOVECA NEMA OFF - 500 GR</t>
  </si>
  <si>
    <t>SOCIEDAD AGRICOLA SAN FRANCISCO LTDA</t>
  </si>
  <si>
    <t>%</t>
  </si>
  <si>
    <t>Francisco Velasquez</t>
  </si>
  <si>
    <t>Ivan Veverka</t>
  </si>
  <si>
    <t>Jorge Caroca</t>
  </si>
  <si>
    <t>Pablo Laratro</t>
  </si>
  <si>
    <t>Rodrigo Encina</t>
  </si>
  <si>
    <t>Valentina Muñoz</t>
  </si>
  <si>
    <t>Venta</t>
  </si>
  <si>
    <t>Ppto</t>
  </si>
  <si>
    <t>Mes</t>
  </si>
  <si>
    <t>Ppto Enero ($)</t>
  </si>
  <si>
    <t>Venta Enero ($)</t>
  </si>
  <si>
    <t>Ppto Febrero ($)</t>
  </si>
  <si>
    <t>Venta Febrero ($)</t>
  </si>
  <si>
    <t>Cumplimiento (%)2</t>
  </si>
  <si>
    <t>Acumulado T1 ( Concepto Año)</t>
  </si>
  <si>
    <t>MARZO</t>
  </si>
  <si>
    <t>12.266.087-7</t>
  </si>
  <si>
    <t>MAURICIO ESTEBAN POBLETE BARRA</t>
  </si>
  <si>
    <t>02/03/2026</t>
  </si>
  <si>
    <t>Marzo</t>
  </si>
  <si>
    <t>PPTO Marzo</t>
  </si>
  <si>
    <t>Venta Marzo</t>
  </si>
  <si>
    <t>Venta Febrero</t>
  </si>
  <si>
    <t>Ppto Marzo ($)</t>
  </si>
  <si>
    <t>Venta Marzo ($)</t>
  </si>
  <si>
    <t>Cumplimiento (%)3</t>
  </si>
  <si>
    <t>13.304.290-3</t>
  </si>
  <si>
    <t>ANITA ANDREA SALGADO MUNOZ</t>
  </si>
  <si>
    <t>VECA HUMIC ROOT - 20 L</t>
  </si>
  <si>
    <t>CYTOPRIME</t>
  </si>
  <si>
    <t>VECA MICROMIX - 20 L</t>
  </si>
  <si>
    <t>Guía de Diciembre (Pablo acuerda con Jorrge dejarla para Enero 2026</t>
  </si>
  <si>
    <t>Guía de Diciembre (Pablo acuerda con Jorrge dejarla para Enero 2027</t>
  </si>
  <si>
    <t>Guía de Diciembre (Pablo acuerda con Jorrge dejarla para Enero 2028</t>
  </si>
  <si>
    <t>Guía de Diciembre (Pablo acuerda con Jorrge dejarla para Enero 2029</t>
  </si>
  <si>
    <t>Guía de Diciembre (Pablo acuerda con Jorrge dejarla para Enero 2030</t>
  </si>
  <si>
    <t>Guía de Diciembre (Pablo acuerda con Jorrge dejarla para Enero 2031</t>
  </si>
  <si>
    <t>Guía de Diciembre (Pablo acuerda con Jorrge dejarla para Enero 2032</t>
  </si>
  <si>
    <t>Guía de Diciembre (Pablo acuerda con Jorrge dejarla para Enero 2033</t>
  </si>
  <si>
    <t>Guía de Diciembre (Pablo acuerda con Jorrge dejarla para Enero 2034</t>
  </si>
  <si>
    <t>NOVENA</t>
  </si>
  <si>
    <t>SOLUFOS - 500 GR</t>
  </si>
  <si>
    <t>AGRICOLA LA ITALIANA LTDA</t>
  </si>
  <si>
    <t>03/03/2026</t>
  </si>
  <si>
    <t>CRYOPHILE - 250 GR</t>
  </si>
  <si>
    <t>76.776.128-7</t>
  </si>
  <si>
    <t>AGRICOLA SANTA SABINA LIMITADA</t>
  </si>
  <si>
    <t>AV PLUS HIERRO - 20 L</t>
  </si>
  <si>
    <t>6.363.035-7</t>
  </si>
  <si>
    <t>EDWIN LEONARDO GOYKOVIC CORTES</t>
  </si>
  <si>
    <t>76.009.895-7</t>
  </si>
  <si>
    <t>AGRICOLA BERRIES QUILLOTA LIMITADA</t>
  </si>
  <si>
    <t>77.053.472-0</t>
  </si>
  <si>
    <t>TERMOFUSION ANTONIO RENATO MADARIAGA ARAVENA EMPRESA INDIVIDUAL DE RES</t>
  </si>
  <si>
    <t>ANALISIS FOLIAR</t>
  </si>
  <si>
    <t>ALGAP 30 - 200 L</t>
  </si>
  <si>
    <t>GUIA N 98</t>
  </si>
  <si>
    <t>CUIDA TU PLANTA</t>
  </si>
  <si>
    <t>77.157.056-9</t>
  </si>
  <si>
    <t>CRR SERVICIOS SPA</t>
  </si>
  <si>
    <t>04/03/2026</t>
  </si>
  <si>
    <t>RAIZ CONC. 500CC</t>
  </si>
  <si>
    <t>TERRAPULSE CONC. 500 CC</t>
  </si>
  <si>
    <t>76.645.477-1</t>
  </si>
  <si>
    <t>COMERCILIZADORA DE PLANTAS MONICA DEL PILAR PIZARRO VALDES E.I.R.L.</t>
  </si>
  <si>
    <t>77.467.157-9</t>
  </si>
  <si>
    <t>IMPORTADORA BRISAS VALDOVINO SPA</t>
  </si>
  <si>
    <t>05/03/2026</t>
  </si>
  <si>
    <t>GUIA N 159</t>
  </si>
  <si>
    <t>BIOVECA RAÍZ - 500 GR</t>
  </si>
  <si>
    <t>GUIA N 120</t>
  </si>
  <si>
    <t>GUIA N 161</t>
  </si>
  <si>
    <t>VECA MAX FULVIC 45% 20LT</t>
  </si>
  <si>
    <t>GUIA N 99</t>
  </si>
  <si>
    <t>77.654.430-2</t>
  </si>
  <si>
    <t>AGRICOLA LA LOICA SPA</t>
  </si>
  <si>
    <t>GUIA N 82</t>
  </si>
  <si>
    <t>VECA AMIN SUGAR x 20LT</t>
  </si>
  <si>
    <t>GUIA N 88</t>
  </si>
  <si>
    <t>06/03/2026</t>
  </si>
  <si>
    <t>07/03/2026</t>
  </si>
  <si>
    <t>77.504.909-K</t>
  </si>
  <si>
    <t>AGRICOLA QUINQUILHUE SPA</t>
  </si>
  <si>
    <t>11/03/2026</t>
  </si>
  <si>
    <t xml:space="preserve">LOS RIOS </t>
  </si>
  <si>
    <t>78.542.250-3</t>
  </si>
  <si>
    <t>INVERSIONES ALFARO E INFANTE LTDA</t>
  </si>
  <si>
    <t>ANALSIS FOLIAR</t>
  </si>
  <si>
    <t>12/03/2026</t>
  </si>
  <si>
    <t>13/03/2026</t>
  </si>
  <si>
    <t>76.867.632-1</t>
  </si>
  <si>
    <t>GOYASERVICE SPA</t>
  </si>
  <si>
    <t>VECA BALANCE (CALIBRE MAX) - 20 L</t>
  </si>
  <si>
    <t>VECA BALANCE (CALIBRE MAX) - 5 L</t>
  </si>
  <si>
    <t>VECA BALANCE (CALIBRE MAX) - 1 L</t>
  </si>
  <si>
    <t>AV CYTO PRIME - 20 L</t>
  </si>
  <si>
    <t>77.171.744-6</t>
  </si>
  <si>
    <t>GANAFRUT SPA</t>
  </si>
  <si>
    <t>10.831.211-4</t>
  </si>
  <si>
    <t>BRIGITTE ELENA PARDO CONTRERAS</t>
  </si>
  <si>
    <t>16/03/2026</t>
  </si>
  <si>
    <t>GUIA N 847</t>
  </si>
  <si>
    <t>GUIA N 750</t>
  </si>
  <si>
    <t>GUIA N 713</t>
  </si>
  <si>
    <t>13.126.772-K</t>
  </si>
  <si>
    <t>DAVID DEL CARMEN SALINAS MORALES</t>
  </si>
  <si>
    <t>ANÁLSIS FOLIAR</t>
  </si>
  <si>
    <t>ANÁLISIS SUELO EPS</t>
  </si>
  <si>
    <t>ANÁLISIS SUELO BÁSICO</t>
  </si>
  <si>
    <t>ANÁLISIS AGUA DE RIEGO</t>
  </si>
  <si>
    <t>17/03/2026</t>
  </si>
  <si>
    <t xml:space="preserve">GUIA N 174 </t>
  </si>
  <si>
    <t>GUIA N 230</t>
  </si>
  <si>
    <t>GUIA N 155</t>
  </si>
  <si>
    <t>18/03/2026</t>
  </si>
  <si>
    <t>6.847.048-K</t>
  </si>
  <si>
    <t>FLORENCIO SEGUNDO ALAYAN BRICENO</t>
  </si>
  <si>
    <t>AV MOVE - 20 L AVCH-110</t>
  </si>
  <si>
    <t xml:space="preserve">GUIA N 47 </t>
  </si>
  <si>
    <t>19/03/2026</t>
  </si>
  <si>
    <t>GUIA N 201</t>
  </si>
  <si>
    <t>GUIA N 202</t>
  </si>
  <si>
    <t>20/03/2026</t>
  </si>
  <si>
    <t>GUIA N 166</t>
  </si>
  <si>
    <t>GUIA N 235</t>
  </si>
  <si>
    <t>AV BIOVECA INVERNAL - 250 GR</t>
  </si>
  <si>
    <t>77.185.037-5</t>
  </si>
  <si>
    <t>SOCIEDAD AGRICOLA LA ESPERANZA SPA</t>
  </si>
  <si>
    <t>PROTECT PRADERAS - 250 G</t>
  </si>
  <si>
    <t>KILOS</t>
  </si>
  <si>
    <t>23/03/2026</t>
  </si>
  <si>
    <t>AV PLUS NP MIX - 1 L</t>
  </si>
  <si>
    <t>76.146.000-5</t>
  </si>
  <si>
    <t>SOC AGRICOLA LA ISLA LIMITADA</t>
  </si>
  <si>
    <t>24/03/2026</t>
  </si>
  <si>
    <t>77.787.364-4</t>
  </si>
  <si>
    <t>INVERSIONES COSTA DE ALGARROBO SPA.</t>
  </si>
  <si>
    <t>25/03/2026</t>
  </si>
  <si>
    <t>27/03/2026</t>
  </si>
  <si>
    <t>GUIA N 219</t>
  </si>
  <si>
    <t>76.678.184-5</t>
  </si>
  <si>
    <t>COMERCIALIZADORA S &amp; M SPA</t>
  </si>
  <si>
    <t>28/03/2026</t>
  </si>
  <si>
    <t>76.149.388-4</t>
  </si>
  <si>
    <t>AGRICOLA GOMEZ SPA</t>
  </si>
  <si>
    <t>26/03/2026</t>
  </si>
  <si>
    <t>96.813.740-9</t>
  </si>
  <si>
    <t>AGRICOLA EL CANELILLO S A</t>
  </si>
  <si>
    <t>31/03/2026</t>
  </si>
  <si>
    <t>Venta día 31-03-2026</t>
  </si>
  <si>
    <t>Acumulado T1 (Concepto RTC)</t>
  </si>
  <si>
    <t>Ppto Abril ($)</t>
  </si>
  <si>
    <t>Venta Abril ($)</t>
  </si>
  <si>
    <t>Ppto Mayo ($)</t>
  </si>
  <si>
    <t>Venta Mayo ($)</t>
  </si>
  <si>
    <t>Ppto Junio ($)</t>
  </si>
  <si>
    <t>Venta Junio ($)</t>
  </si>
  <si>
    <t>Ppto Abril</t>
  </si>
  <si>
    <t>Venta Abril</t>
  </si>
  <si>
    <t>Abril</t>
  </si>
  <si>
    <t>ABRIL</t>
  </si>
  <si>
    <t>01/04/2026</t>
  </si>
  <si>
    <t>FOLIBAC BIO INVIERNO - 250 G</t>
  </si>
  <si>
    <t>GUIA N 253</t>
  </si>
  <si>
    <t>GUIA N 58</t>
  </si>
  <si>
    <t>02/04/2026</t>
  </si>
  <si>
    <t>GUIA N 245</t>
  </si>
  <si>
    <t>05/04/2026</t>
  </si>
  <si>
    <t>CECILIA VELENTINA MALEBRAN</t>
  </si>
  <si>
    <t>7.714.703-9</t>
  </si>
  <si>
    <t>Prodructos de 1 litro</t>
  </si>
  <si>
    <t>Boleta Electronica</t>
  </si>
  <si>
    <t>PPTO V/S VENTAS -  T1 // 2026</t>
  </si>
  <si>
    <t>PPTO V/S VENTAS - T2 // 2026</t>
  </si>
  <si>
    <t>10.302.140-5</t>
  </si>
  <si>
    <t>ALEJANDRA INES LEIGHTON NARANJO</t>
  </si>
  <si>
    <t>15.755.762-9</t>
  </si>
  <si>
    <t>GONZALO ALEJANDRO CORRALES CORREA</t>
  </si>
  <si>
    <t>06/04/2026</t>
  </si>
  <si>
    <t>08/04/2026</t>
  </si>
  <si>
    <t>10/04/2026</t>
  </si>
  <si>
    <t>76.593.447-8</t>
  </si>
  <si>
    <t>AGRICOLA EDITH MARGARITA VASQUEZ OROZCO SPA</t>
  </si>
  <si>
    <t>09/04/2026</t>
  </si>
  <si>
    <t>6.931.829-0</t>
  </si>
  <si>
    <t>SERGIO ELADIO YANEZ YANEZ</t>
  </si>
  <si>
    <t>11.110.621-5</t>
  </si>
  <si>
    <t>HECTOR HERNAN ROMERO NAVARRO</t>
  </si>
  <si>
    <t>12/04/2026</t>
  </si>
  <si>
    <t>13/04/2026</t>
  </si>
  <si>
    <t>14/04/2026</t>
  </si>
  <si>
    <t>15/04/2026</t>
  </si>
  <si>
    <t>17/04/2026</t>
  </si>
  <si>
    <t>EN TERRENO 1</t>
  </si>
  <si>
    <t>AV SOLARIS 1LT</t>
  </si>
  <si>
    <t>VECASIL FORTE 20LT</t>
  </si>
  <si>
    <t>VECA PLUS CALCIO 20LT</t>
  </si>
  <si>
    <t>VECA BALANCE 1LT</t>
  </si>
  <si>
    <t>VECA BLOOM 1LT</t>
  </si>
  <si>
    <t>VECA BALANCE - 20 L</t>
  </si>
  <si>
    <t>VECASIL FORTE 20 LT</t>
  </si>
  <si>
    <t>AV SOLARIS 20 LT</t>
  </si>
  <si>
    <t>VECA MOVE x 20LT</t>
  </si>
  <si>
    <t>Etiquetas de columna</t>
  </si>
  <si>
    <t>Etiquetas de fila</t>
  </si>
  <si>
    <t>GUIA N 252</t>
  </si>
  <si>
    <t>GUIA N 195</t>
  </si>
  <si>
    <t>GUIA N 83</t>
  </si>
  <si>
    <t>GUIA N 85</t>
  </si>
  <si>
    <t>GUIA N 84</t>
  </si>
  <si>
    <t>GUIA N 80</t>
  </si>
  <si>
    <t>GUIA N 87</t>
  </si>
  <si>
    <t>GUIA N 142</t>
  </si>
  <si>
    <t>GUIA N 258</t>
  </si>
  <si>
    <t>GUIA N 117</t>
  </si>
  <si>
    <t>GUIA N 93</t>
  </si>
  <si>
    <t>GUIA  N 124</t>
  </si>
  <si>
    <t>21/04/2026</t>
  </si>
  <si>
    <t>9.055.122-1</t>
  </si>
  <si>
    <t>JORGE PATRICIO RUZ GONZALEZ</t>
  </si>
  <si>
    <t>22/04/2026</t>
  </si>
  <si>
    <t xml:space="preserve">EL ÑUBLE </t>
  </si>
  <si>
    <t>78.175.326-2</t>
  </si>
  <si>
    <t>AGRICOLA E Y R SPA</t>
  </si>
  <si>
    <t>77.655.889-3</t>
  </si>
  <si>
    <t>AGRICOLA AGUSTINA SPA</t>
  </si>
  <si>
    <t>12.785.502-1</t>
  </si>
  <si>
    <t>MANUEL REINALDO JARA ALCAINO</t>
  </si>
  <si>
    <t>14.325.607-3</t>
  </si>
  <si>
    <t>LUIS FERNANDO JARA ALCAINO</t>
  </si>
  <si>
    <t>23/04/2026</t>
  </si>
  <si>
    <t>24/04/2026</t>
  </si>
  <si>
    <t>AV PLUS NP MIX - 20 L</t>
  </si>
  <si>
    <t>78.430.420-5</t>
  </si>
  <si>
    <t>SOC AGRICOLA Y DE SERVICIOS DOBLE R LIMITADA</t>
  </si>
  <si>
    <t>99.594.530-4</t>
  </si>
  <si>
    <t>AGRICOLA LAS CRUZADAS SPA</t>
  </si>
  <si>
    <t>78.234.981-3</t>
  </si>
  <si>
    <t>HIJO DEL SOL ISIDORA SPA</t>
  </si>
  <si>
    <t>27/04/2026</t>
  </si>
  <si>
    <t>29/04/2026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</si>
</sst>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&quot;$&quot;#,##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5" fillId="2" borderId="1" xfId="0" applyFont="1" applyFill="1" applyBorder="1" applyAlignment="1">
      <alignment wrapText="1"/>
    </xf>
    <xf numFmtId="3" fontId="6" fillId="2" borderId="2" xfId="0" applyNumberFormat="1" applyFont="1" applyFill="1" applyBorder="1" applyAlignment="1">
      <alignment horizontal="right" wrapText="1"/>
    </xf>
    <xf numFmtId="3" fontId="6" fillId="2" borderId="1" xfId="0" applyNumberFormat="1" applyFont="1" applyFill="1" applyBorder="1" applyAlignment="1">
      <alignment horizontal="right" wrapText="1"/>
    </xf>
    <xf numFmtId="0" fontId="1" fillId="0" borderId="0" xfId="0" applyFont="1" applyAlignment="1">
      <alignment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4" fontId="0" fillId="0" borderId="0" xfId="0" applyNumberFormat="1"/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7" fillId="4" borderId="4" xfId="0" applyFont="1" applyFill="1" applyBorder="1"/>
    <xf numFmtId="0" fontId="0" fillId="0" borderId="4" xfId="0" applyBorder="1" applyAlignment="1">
      <alignment horizontal="center"/>
    </xf>
    <xf numFmtId="0" fontId="0" fillId="0" borderId="10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2" fillId="3" borderId="0" xfId="0" applyFont="1" applyFill="1"/>
    <xf numFmtId="14" fontId="2" fillId="3" borderId="0" xfId="0" applyNumberFormat="1" applyFont="1" applyFill="1"/>
    <xf numFmtId="3" fontId="2" fillId="3" borderId="0" xfId="0" applyNumberFormat="1" applyFont="1" applyFill="1"/>
    <xf numFmtId="3" fontId="2" fillId="3" borderId="0" xfId="1" applyNumberFormat="1" applyFont="1" applyFill="1"/>
    <xf numFmtId="0" fontId="2" fillId="3" borderId="1" xfId="1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0" fontId="2" fillId="3" borderId="0" xfId="1" applyFont="1" applyFill="1"/>
    <xf numFmtId="3" fontId="8" fillId="3" borderId="0" xfId="1" applyNumberFormat="1" applyFont="1" applyFill="1"/>
    <xf numFmtId="3" fontId="8" fillId="3" borderId="0" xfId="0" applyNumberFormat="1" applyFont="1" applyFill="1"/>
    <xf numFmtId="0" fontId="9" fillId="3" borderId="0" xfId="0" applyFont="1" applyFill="1"/>
    <xf numFmtId="0" fontId="2" fillId="3" borderId="0" xfId="0" applyFont="1" applyFill="1" applyAlignment="1">
      <alignment horizontal="right"/>
    </xf>
    <xf numFmtId="165" fontId="2" fillId="3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67">
    <dxf>
      <numFmt numFmtId="3" formatCode="#,##0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alignment horizontal="left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numFmt numFmtId="3" formatCode="#,##0"/>
      <alignment horizontal="general" vertical="bottom" textRotation="0" wrapText="0" relativeIndent="0" justifyLastLine="0" shrinkToFit="0" readingOrder="0"/>
    </dxf>
    <dxf>
      <numFmt numFmtId="3" formatCode="#,##0"/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numFmt numFmtId="3" formatCode="#,##0"/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relative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relative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alignment horizontal="left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/>
    </dxf>
    <dxf>
      <alignment horizontal="center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roveca Chile" refreshedDate="46141.685456597224" createdVersion="8" refreshedVersion="8" minRefreshableVersion="3" recordCount="861" xr:uid="{00000000-000A-0000-FFFF-FFFF27000000}">
  <cacheSource type="worksheet">
    <worksheetSource ref="A2:T1048576" sheet="VENTAS"/>
  </cacheSource>
  <cacheFields count="20">
    <cacheField name="MES" numFmtId="0">
      <sharedItems containsBlank="1" count="5">
        <s v="ENERO"/>
        <s v="FEBRERO"/>
        <s v="MARZO"/>
        <s v="ABRIL"/>
        <m/>
      </sharedItems>
    </cacheField>
    <cacheField name="Rut" numFmtId="0">
      <sharedItems containsBlank="1"/>
    </cacheField>
    <cacheField name="Razón Social" numFmtId="0">
      <sharedItems containsBlank="1"/>
    </cacheField>
    <cacheField name="Fecha" numFmtId="0">
      <sharedItems containsBlank="1"/>
    </cacheField>
    <cacheField name="Región " numFmtId="0">
      <sharedItems containsBlank="1"/>
    </cacheField>
    <cacheField name="Vendedor" numFmtId="0">
      <sharedItems containsBlank="1" count="13">
        <s v="PABLO LARATRO"/>
        <s v="FRANCISCO VELASQUEZ"/>
        <s v="VALENTINA MUÑOZ"/>
        <s v="JORGE CAROCA"/>
        <s v="RODRIGO ENCINA"/>
        <s v="IVAN VEVERKA"/>
        <s v="LABORATORIO"/>
        <s v="RAYEN BERNAZAR"/>
        <s v="EN TERRENO 1"/>
        <m/>
        <s v="OFICINA" u="1"/>
        <s v="MARCA BLANCA" u="1"/>
        <s v="JAVIER ALMEIDA" u="1"/>
      </sharedItems>
    </cacheField>
    <cacheField name="Producto" numFmtId="0">
      <sharedItems containsBlank="1"/>
    </cacheField>
    <cacheField name="UN" numFmtId="0">
      <sharedItems containsBlank="1"/>
    </cacheField>
    <cacheField name="Documento" numFmtId="0">
      <sharedItems containsBlank="1"/>
    </cacheField>
    <cacheField name="Folio" numFmtId="0">
      <sharedItems containsString="0" containsBlank="1" containsNumber="1" containsInteger="1" minValue="47" maxValue="620"/>
    </cacheField>
    <cacheField name="UM" numFmtId="0">
      <sharedItems containsBlank="1"/>
    </cacheField>
    <cacheField name="Cantidad" numFmtId="0">
      <sharedItems containsString="0" containsBlank="1" containsNumber="1" containsInteger="1" minValue="1" maxValue="2000"/>
    </cacheField>
    <cacheField name="Total" numFmtId="0">
      <sharedItems containsString="0" containsBlank="1" containsNumber="1" containsInteger="1" minValue="0" maxValue="11356000"/>
    </cacheField>
    <cacheField name="Precio Uni" numFmtId="0">
      <sharedItems containsString="0" containsBlank="1" containsNumber="1" minValue="0" maxValue="41517"/>
    </cacheField>
    <cacheField name="Moneda" numFmtId="0">
      <sharedItems containsBlank="1"/>
    </cacheField>
    <cacheField name="PAÍS" numFmtId="0">
      <sharedItems containsBlank="1"/>
    </cacheField>
    <cacheField name="FECHA VENCIMIENTO " numFmtId="0">
      <sharedItems containsDate="1" containsBlank="1" containsMixedTypes="1" minDate="2025-04-08T00:00:00" maxDate="2027-02-06T00:00:00"/>
    </cacheField>
    <cacheField name="Negocio " numFmtId="0">
      <sharedItems containsBlank="1"/>
    </cacheField>
    <cacheField name="Comentarios" numFmtId="0">
      <sharedItems containsBlank="1"/>
    </cacheField>
    <cacheField name="Fecha guía" numFmtId="0">
      <sharedItems containsNonDate="0" containsDate="1" containsString="0" containsBlank="1" minDate="2025-02-18T00:00:00" maxDate="2026-12-1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1">
  <r>
    <x v="0"/>
    <s v="76.412.827-3"/>
    <s v="FRUTICOLA RIO BLANCO SPA"/>
    <s v="02/01/2026"/>
    <s v="METROPOLITANA"/>
    <x v="0"/>
    <s v="VECA MOVE - 20 L"/>
    <s v="Agroveca"/>
    <s v="Factura Electrónica"/>
    <n v="395"/>
    <s v="LTS"/>
    <n v="200"/>
    <n v="1300000"/>
    <n v="6500"/>
    <s v="CLP"/>
    <s v="CHILE"/>
    <d v="2026-04-30T00:00:00"/>
    <s v="AV"/>
    <m/>
    <m/>
  </r>
  <r>
    <x v="0"/>
    <s v="13.304.290-3"/>
    <s v="ANITA ANDREA SALGADO MUNOZ"/>
    <s v="02/01/2026"/>
    <s v="SEXTA"/>
    <x v="0"/>
    <s v="VECA ROOT MAX - 20 L"/>
    <s v="Agroveca"/>
    <s v="Guía de Despacho Electrónica"/>
    <n v="128"/>
    <s v="LTS"/>
    <n v="60"/>
    <n v="630000"/>
    <n v="10500"/>
    <s v="CLP"/>
    <s v="CHILE"/>
    <d v="2026-05-31T00:00:00"/>
    <s v="AV"/>
    <s v="Guía de Diciembre (Pablo acuerda con Jorrge dejarla para Enero 2026"/>
    <m/>
  </r>
  <r>
    <x v="0"/>
    <s v="13.304.290-3"/>
    <s v="ANITA ANDREA SALGADO MUNOZ"/>
    <s v="02/01/2026"/>
    <s v="SEXTA"/>
    <x v="0"/>
    <s v="VECASIL FORTE - 20 L"/>
    <s v="Agroveca"/>
    <s v="Guía de Despacho Electrónica"/>
    <n v="128"/>
    <s v="LTS"/>
    <n v="80"/>
    <n v="1008000"/>
    <n v="12600"/>
    <s v="CLP"/>
    <s v="CHILE"/>
    <d v="2026-05-31T00:00:00"/>
    <s v="AV"/>
    <s v="Guía de Diciembre (Pablo acuerda con Jorrge dejarla para Enero 2027"/>
    <m/>
  </r>
  <r>
    <x v="0"/>
    <s v="13.304.290-3"/>
    <s v="ANITA ANDREA SALGADO MUNOZ"/>
    <s v="02/01/2026"/>
    <s v="SEXTA"/>
    <x v="0"/>
    <s v="VECA HUMIC ROOT - 20 L"/>
    <s v="Agroveca"/>
    <s v="Guía de Despacho Electrónica"/>
    <n v="128"/>
    <s v="LTS"/>
    <n v="220"/>
    <n v="990000"/>
    <n v="4500"/>
    <s v="CLP"/>
    <s v="CHILE"/>
    <d v="2026-05-31T00:00:00"/>
    <s v="AV"/>
    <s v="Guía de Diciembre (Pablo acuerda con Jorrge dejarla para Enero 2028"/>
    <m/>
  </r>
  <r>
    <x v="0"/>
    <s v="13.304.290-3"/>
    <s v="ANITA ANDREA SALGADO MUNOZ"/>
    <s v="02/01/2026"/>
    <s v="SEXTA"/>
    <x v="0"/>
    <s v="CYTOPRIME"/>
    <s v="Agroveca"/>
    <s v="Guía de Despacho Electrónica"/>
    <n v="128"/>
    <s v="LTS"/>
    <n v="11"/>
    <n v="209000"/>
    <n v="19000"/>
    <s v="CLP"/>
    <s v="CHILE"/>
    <d v="2026-05-31T00:00:00"/>
    <s v="AV"/>
    <s v="Guía de Diciembre (Pablo acuerda con Jorrge dejarla para Enero 2029"/>
    <m/>
  </r>
  <r>
    <x v="0"/>
    <s v="13.304.290-3"/>
    <s v="ANITA ANDREA SALGADO MUNOZ"/>
    <s v="02/01/2026"/>
    <s v="SEXTA"/>
    <x v="0"/>
    <s v="VECA PLUS POTASIO - 20 L"/>
    <s v="Agroveca"/>
    <s v="Guía de Despacho Electrónica"/>
    <n v="128"/>
    <s v="LTS"/>
    <n v="80"/>
    <n v="408000"/>
    <n v="5100"/>
    <s v="CLP"/>
    <s v="CHILE"/>
    <d v="2026-05-31T00:00:00"/>
    <s v="AV"/>
    <s v="Guía de Diciembre (Pablo acuerda con Jorrge dejarla para Enero 2030"/>
    <m/>
  </r>
  <r>
    <x v="0"/>
    <s v="13.304.290-3"/>
    <s v="ANITA ANDREA SALGADO MUNOZ"/>
    <s v="02/01/2026"/>
    <s v="SEXTA"/>
    <x v="0"/>
    <s v="VECA PLUS MAGNESIO - 20 L"/>
    <s v="Agroveca"/>
    <s v="Guía de Despacho Electrónica"/>
    <n v="128"/>
    <s v="LTS"/>
    <n v="100"/>
    <n v="510000"/>
    <n v="5100"/>
    <s v="CLP"/>
    <s v="CHILE"/>
    <d v="2026-05-31T00:00:00"/>
    <s v="AV"/>
    <s v="Guía de Diciembre (Pablo acuerda con Jorrge dejarla para Enero 2031"/>
    <m/>
  </r>
  <r>
    <x v="0"/>
    <s v="13.304.290-3"/>
    <s v="ANITA ANDREA SALGADO MUNOZ"/>
    <s v="02/01/2026"/>
    <s v="SEXTA"/>
    <x v="0"/>
    <s v="VECA MICROMIX - 20 L"/>
    <s v="Agroveca"/>
    <s v="Guía de Despacho Electrónica"/>
    <n v="128"/>
    <s v="LTS"/>
    <n v="80"/>
    <n v="440000"/>
    <n v="5500"/>
    <s v="CLP"/>
    <s v="CHILE"/>
    <d v="2026-05-31T00:00:00"/>
    <s v="AV"/>
    <s v="Guía de Diciembre (Pablo acuerda con Jorrge dejarla para Enero 2032"/>
    <m/>
  </r>
  <r>
    <x v="0"/>
    <s v="13.304.290-3"/>
    <s v="ANITA ANDREA SALGADO MUNOZ"/>
    <s v="02/01/2026"/>
    <s v="SEXTA"/>
    <x v="0"/>
    <s v="ALGAP 30 - 20 L"/>
    <s v="Agroveca"/>
    <s v="Guía de Despacho Electrónica"/>
    <n v="128"/>
    <s v="LTS"/>
    <n v="80"/>
    <n v="544000"/>
    <n v="6800"/>
    <s v="CLP"/>
    <s v="CHILE"/>
    <d v="2026-05-31T00:00:00"/>
    <s v="AV"/>
    <s v="Guía de Diciembre (Pablo acuerda con Jorrge dejarla para Enero 2033"/>
    <m/>
  </r>
  <r>
    <x v="0"/>
    <s v="13.304.290-3"/>
    <s v="ANITA ANDREA SALGADO MUNOZ"/>
    <s v="02/01/2026"/>
    <s v="SEXTA"/>
    <x v="0"/>
    <s v="VECA MOVE - 20 L"/>
    <s v="Agroveca"/>
    <s v="Guía de Despacho Electrónica"/>
    <n v="128"/>
    <s v="LTS"/>
    <n v="140"/>
    <n v="1204000"/>
    <n v="8600"/>
    <s v="CLP"/>
    <s v="CHILE"/>
    <d v="2026-05-31T00:00:00"/>
    <s v="AV"/>
    <s v="Guía de Diciembre (Pablo acuerda con Jorrge dejarla para Enero 2034"/>
    <m/>
  </r>
  <r>
    <x v="0"/>
    <s v="77.852.841-K"/>
    <s v="COMERCIAL GUS SPA"/>
    <s v="05/01/2026"/>
    <s v="SEPTIMA"/>
    <x v="1"/>
    <s v="BIOVECA FOLIAR 250 GR"/>
    <s v="Agroveca"/>
    <s v="Factura Electrónica"/>
    <n v="396"/>
    <s v="UN"/>
    <n v="1"/>
    <n v="35000"/>
    <n v="35000"/>
    <s v="CLP"/>
    <s v="CHILE"/>
    <d v="2026-01-05T00:00:00"/>
    <s v="AV"/>
    <m/>
    <m/>
  </r>
  <r>
    <x v="0"/>
    <s v="78.148.834-8"/>
    <s v="COMERCIALIZADORA LA COLONIA LIMITADA"/>
    <s v="05/01/2026"/>
    <s v="QUINTA"/>
    <x v="1"/>
    <s v="VECA MAX FULVIC 45% - 20 L"/>
    <s v="Agroveca"/>
    <s v="Factura Electrónica"/>
    <n v="397"/>
    <s v="LITROS"/>
    <n v="500"/>
    <n v="1250000"/>
    <n v="2500"/>
    <s v="CLP"/>
    <s v="CHILE"/>
    <d v="2026-01-05T00:00:00"/>
    <s v="AV"/>
    <m/>
    <m/>
  </r>
  <r>
    <x v="0"/>
    <s v="18.584.049-2"/>
    <s v="SEBASTIAN MAURICIO BUTTI MENDOZA"/>
    <s v="05/01/2026"/>
    <s v="QUINTA"/>
    <x v="1"/>
    <s v="VECA ROOT MAX - 20 L"/>
    <s v="Agroveca"/>
    <s v="Factura Electrónica"/>
    <n v="398"/>
    <s v="LTS"/>
    <n v="20"/>
    <n v="160000"/>
    <n v="8000"/>
    <s v="CLP"/>
    <s v="CHILE"/>
    <d v="2026-01-05T00:00:00"/>
    <s v="AV"/>
    <m/>
    <m/>
  </r>
  <r>
    <x v="0"/>
    <s v="76.532.516-1"/>
    <s v="AGROINVEST SPA"/>
    <s v="05/01/2026"/>
    <s v="SEXTA"/>
    <x v="2"/>
    <s v="PK-DEFEND MAX - 20 L"/>
    <s v="Agroveca"/>
    <s v="Factura Electrónica"/>
    <n v="399"/>
    <s v="LTS"/>
    <n v="140"/>
    <n v="560000"/>
    <n v="4000"/>
    <s v="CLP"/>
    <s v="CHILE"/>
    <d v="2026-03-16T00:00:00"/>
    <s v="AV"/>
    <m/>
    <m/>
  </r>
  <r>
    <x v="0"/>
    <s v="76.532.516-1"/>
    <s v="AGROINVEST SPA"/>
    <s v="05/01/2026"/>
    <s v="SEXTA"/>
    <x v="2"/>
    <s v="PK-DEFEND MAX - 5 L"/>
    <s v="Agroveca"/>
    <s v="Factura Electrónica"/>
    <n v="399"/>
    <s v="LTS"/>
    <n v="10"/>
    <n v="40000"/>
    <n v="4000"/>
    <s v="CLP"/>
    <s v="CHILE"/>
    <d v="2026-03-16T00:00:00"/>
    <s v="AV"/>
    <m/>
    <m/>
  </r>
  <r>
    <x v="0"/>
    <s v="76.428.021-0"/>
    <s v="SOCIEDAD AGRICOLA TIERRA DE BACO LIMITADA"/>
    <s v="05/01/2026"/>
    <s v="SEXTA "/>
    <x v="3"/>
    <s v="BIOVECA FOLIAR - 250 GR"/>
    <s v="Agrocomercial"/>
    <s v="Factura Electrónica"/>
    <n v="439"/>
    <s v="UN"/>
    <n v="70"/>
    <n v="0"/>
    <n v="0"/>
    <s v="CLP"/>
    <s v="CHILE"/>
    <d v="2026-03-17T00:00:00"/>
    <s v="AV"/>
    <s v="Guia N 107"/>
    <d v="2025-12-17T00:00:00"/>
  </r>
  <r>
    <x v="0"/>
    <s v="76.428.021-0"/>
    <s v="SOCIEDAD AGRICOLA TIERRA DE BACO LIMITADA"/>
    <s v="05/01/2026"/>
    <s v="SEXTA"/>
    <x v="4"/>
    <s v="BIOVECA FOLIAR - 250 GRS"/>
    <s v="Agroveca"/>
    <s v="Factura Electrónica"/>
    <n v="440"/>
    <s v="UN"/>
    <n v="65"/>
    <n v="0"/>
    <n v="0"/>
    <s v="CLP"/>
    <s v="CHILE"/>
    <d v="2026-03-29T00:00:00"/>
    <s v="AV"/>
    <s v="Guia N 121"/>
    <d v="2025-12-29T00:00:00"/>
  </r>
  <r>
    <x v="0"/>
    <s v="5.786.817-1"/>
    <s v="MARIO FERNANDO MUÑOZ SILVA"/>
    <s v="05/01/2026"/>
    <s v="SEXTA"/>
    <x v="0"/>
    <s v="AV-BIOSOLARIS - 20 L"/>
    <s v="Agroveca"/>
    <s v="Guía de Despacho Electrónica"/>
    <n v="129"/>
    <s v="LTS"/>
    <n v="40"/>
    <n v="512000"/>
    <n v="12800"/>
    <s v="CLP"/>
    <s v="CHILE"/>
    <d v="2026-06-15T00:00:00"/>
    <s v="AV"/>
    <m/>
    <m/>
  </r>
  <r>
    <x v="0"/>
    <s v="5.786.817-1"/>
    <s v="MARIO FERNANDO MUÑOZ SILVA"/>
    <s v="05/01/2026"/>
    <s v="SEXTA"/>
    <x v="0"/>
    <s v="AV-BIOSOLARIS - 5 L"/>
    <s v="Agroveca"/>
    <s v="Guía de Despacho Electrónica"/>
    <n v="129"/>
    <s v="LTS"/>
    <n v="5"/>
    <n v="64000"/>
    <n v="12800"/>
    <s v="CLP"/>
    <s v="CHILE"/>
    <d v="2026-06-15T00:00:00"/>
    <s v="AV"/>
    <m/>
    <m/>
  </r>
  <r>
    <x v="0"/>
    <s v="5.786.817-1"/>
    <s v="MARIO FERNANDO MUÑOZ SILVA"/>
    <s v="05/01/2026"/>
    <s v="SEXTA"/>
    <x v="0"/>
    <s v="AV-BIOSOLARIS - 1 L"/>
    <s v="Agroveca"/>
    <s v="Guía de Despacho Electrónica"/>
    <n v="129"/>
    <s v="LTS"/>
    <n v="3"/>
    <n v="38400"/>
    <n v="12800"/>
    <s v="CLP"/>
    <s v="CHILE"/>
    <d v="2026-06-15T00:00:00"/>
    <s v="AV"/>
    <m/>
    <m/>
  </r>
  <r>
    <x v="0"/>
    <s v="78.189.158-4"/>
    <s v="AGRICOLA SAN PEDRO SPA"/>
    <s v="05/01/2026"/>
    <s v="SEXTA"/>
    <x v="0"/>
    <s v="AV-AMIN SUGAR - 20 L"/>
    <s v="Agroveca"/>
    <s v="Guía de Despacho Electrónica"/>
    <n v="130"/>
    <s v="LTS"/>
    <n v="20"/>
    <n v="62000"/>
    <n v="3100"/>
    <s v="CLP"/>
    <s v="CHILE"/>
    <d v="2026-05-31T00:00:00"/>
    <s v="AV"/>
    <m/>
    <m/>
  </r>
  <r>
    <x v="0"/>
    <s v="78.189.158-4"/>
    <s v="AGRICOLA SAN PEDRO SPA"/>
    <s v="05/01/2026"/>
    <s v="SEXTA"/>
    <x v="0"/>
    <s v="AV-AMIN SUGAR - 1 L"/>
    <s v="Agroveca"/>
    <s v="Guía de Despacho Electrónica"/>
    <n v="130"/>
    <s v="LTS"/>
    <n v="3"/>
    <n v="9300"/>
    <n v="3100"/>
    <s v="CLP"/>
    <s v="CHILE"/>
    <d v="2026-05-31T00:00:00"/>
    <s v="AV"/>
    <m/>
    <m/>
  </r>
  <r>
    <x v="0"/>
    <s v="78.189.158-4"/>
    <s v="AGRICOLA SAN PEDRO SPA"/>
    <s v="05/01/2026"/>
    <s v="SEXTA"/>
    <x v="0"/>
    <s v="AV-SILFORTE - 20 L"/>
    <s v="Agroveca"/>
    <s v="Guía de Despacho Electrónica"/>
    <n v="130"/>
    <s v="LTS"/>
    <n v="20"/>
    <n v="272000"/>
    <n v="13600"/>
    <s v="CLP"/>
    <s v="CHILE"/>
    <d v="2026-05-31T00:00:00"/>
    <s v="AV"/>
    <m/>
    <m/>
  </r>
  <r>
    <x v="0"/>
    <s v="78.304.686-5"/>
    <s v="DISTRIBUIDORA AGRO DEL MONTE SPA"/>
    <s v="06/01/2026"/>
    <s v="SEXTA"/>
    <x v="4"/>
    <s v="VECA AMIN - 5 L"/>
    <s v="Agroveca"/>
    <s v="Factura Electrónica"/>
    <n v="400"/>
    <s v="LTS"/>
    <n v="10"/>
    <n v="75900"/>
    <n v="7590"/>
    <s v="CLP"/>
    <s v="CHILE"/>
    <d v="2026-01-06T00:00:00"/>
    <s v="AV"/>
    <m/>
    <m/>
  </r>
  <r>
    <x v="0"/>
    <s v="76.428.021-0"/>
    <s v="SOCIEDAD AGRICOLA TIERRA DE BACO LIMITADA"/>
    <s v="06/01/2026"/>
    <s v="SEXTA"/>
    <x v="4"/>
    <s v="BIOVECA FOLIAR - 250 GR"/>
    <s v="Agroveca"/>
    <s v="Factura Electrónica"/>
    <n v="438"/>
    <s v="UN"/>
    <n v="55"/>
    <n v="0"/>
    <n v="0"/>
    <s v="CLP"/>
    <s v="CHILE"/>
    <d v="2026-04-06T00:00:00"/>
    <s v="AV"/>
    <s v="Guia N 132"/>
    <d v="2026-01-06T00:00:00"/>
  </r>
  <r>
    <x v="0"/>
    <s v="4.593.930-8"/>
    <s v="MANUEL ANTONIO CASTRO LOPEZ"/>
    <s v="06/01/2026"/>
    <s v="SEPTIMA"/>
    <x v="1"/>
    <s v="AV BIOSOLARIS - 20 L"/>
    <s v="Agroveca"/>
    <s v="Guía de Despacho Electrónica"/>
    <n v="131"/>
    <s v="LTS"/>
    <n v="20"/>
    <n v="260000"/>
    <n v="13000"/>
    <s v="CLP"/>
    <s v="CHILE"/>
    <d v="2026-05-20T00:00:00"/>
    <s v="AV"/>
    <m/>
    <m/>
  </r>
  <r>
    <x v="0"/>
    <s v="4.593.930-8"/>
    <s v="MANUEL ANTONIO CASTRO LOPEZ"/>
    <s v="06/01/2026"/>
    <s v="SEPTIMA"/>
    <x v="1"/>
    <s v="AV BIOSOLARIS - 5 L"/>
    <s v="Agroveca"/>
    <s v="Guía de Despacho Electrónica"/>
    <n v="131"/>
    <s v="LTS"/>
    <n v="5"/>
    <n v="65000"/>
    <n v="13000"/>
    <s v="CLP"/>
    <s v="CHILE"/>
    <d v="2026-05-20T00:00:00"/>
    <s v="AV"/>
    <m/>
    <m/>
  </r>
  <r>
    <x v="0"/>
    <s v="76.428.021-0"/>
    <s v="SOCIEDAD AGRICOLA TIERRA DE BACO LIMITADA"/>
    <s v="06/01/2026"/>
    <s v="SEXTA"/>
    <x v="4"/>
    <s v="BIOVECA FOLIAR - 250 GR"/>
    <s v="Agroveca"/>
    <s v="Guía de Despacho Electrónica"/>
    <n v="132"/>
    <s v="UN"/>
    <n v="55"/>
    <n v="1925000"/>
    <n v="35000"/>
    <s v="CLP"/>
    <s v="CHILE"/>
    <d v="2026-04-06T00:00:00"/>
    <s v="AV"/>
    <m/>
    <m/>
  </r>
  <r>
    <x v="0"/>
    <s v="78.061.253-3"/>
    <s v="AGRICOLA DON PEDRO SPA"/>
    <s v="07/01/2026"/>
    <s v="METROPOLITANA"/>
    <x v="0"/>
    <s v="ANALISIS FOLIAR CEREZO"/>
    <s v="Laboratorio"/>
    <s v="Factura Electrónica"/>
    <n v="402"/>
    <s v="UN"/>
    <n v="2"/>
    <n v="0"/>
    <n v="0"/>
    <s v="CLP"/>
    <s v="CHILE"/>
    <d v="2026-01-07T00:00:00"/>
    <s v="AV"/>
    <s v="Analisis foliar"/>
    <m/>
  </r>
  <r>
    <x v="0"/>
    <s v="77.598.960-2"/>
    <s v="AGROCOMERCIAL Y GANADERA LOMA LARGA LIMITADA"/>
    <s v="07/01/2026"/>
    <s v="CUARTA"/>
    <x v="5"/>
    <s v="AV ALGAP 30 x 20 LT"/>
    <s v="Agroveca"/>
    <s v="Factura Electrónica"/>
    <n v="403"/>
    <s v="LTS"/>
    <n v="120"/>
    <n v="876000"/>
    <n v="7300"/>
    <s v="CLP"/>
    <s v="CHILE"/>
    <d v="2026-03-08T00:00:00"/>
    <s v="AV"/>
    <s v="3 cuotas"/>
    <m/>
  </r>
  <r>
    <x v="0"/>
    <s v="77.598.960-2"/>
    <s v="AGROCOMERCIAL Y GANADERA LOMA LARGA LIMITADA"/>
    <s v="07/01/2026"/>
    <s v="CUARTA"/>
    <x v="5"/>
    <s v="AV PLUS POTASIO x 20 LT"/>
    <s v="Agroveca"/>
    <s v="Factura Electrónica"/>
    <n v="403"/>
    <s v="LTS"/>
    <n v="120"/>
    <n v="564000"/>
    <n v="4700"/>
    <s v="CLP"/>
    <s v="CHILE"/>
    <d v="2026-03-08T00:00:00"/>
    <s v="AV"/>
    <s v="3 cuotas"/>
    <m/>
  </r>
  <r>
    <x v="0"/>
    <s v="77.598.960-2"/>
    <s v="AGROCOMERCIAL Y GANADERA LOMA LARGA LIMITADA"/>
    <s v="07/01/2026"/>
    <s v="CUARTA"/>
    <x v="5"/>
    <s v="AV PLUS AMIN x 20 LT"/>
    <s v="Agroveca"/>
    <s v="Factura Electrónica"/>
    <n v="403"/>
    <s v="LTS"/>
    <n v="120"/>
    <n v="624000"/>
    <n v="5200"/>
    <s v="CLP"/>
    <s v="CHILE"/>
    <d v="2026-03-08T00:00:00"/>
    <s v="AV"/>
    <s v="3 cuotas"/>
    <m/>
  </r>
  <r>
    <x v="0"/>
    <s v="81.669.200-8"/>
    <s v="PONTIFICIA UNIVERSIDAD CATOLICA DE VALPARAISO"/>
    <s v="07/01/2026"/>
    <s v="QUINTA"/>
    <x v="1"/>
    <s v="AV BIOSOLARIS - 20 L"/>
    <s v="Agroveca"/>
    <s v="Factura Electrónica"/>
    <n v="404"/>
    <s v="LTS"/>
    <n v="20"/>
    <n v="0"/>
    <n v="0"/>
    <s v="CLP"/>
    <s v="CHILE"/>
    <d v="2026-01-15T00:00:00"/>
    <s v="AV"/>
    <s v="Guia N 105"/>
    <d v="2025-12-16T00:00:00"/>
  </r>
  <r>
    <x v="0"/>
    <s v="76.826.270-5"/>
    <s v="INVERSIONES DON FORTUNATO LTDA"/>
    <s v="07/01/2026"/>
    <s v="SEXTA"/>
    <x v="1"/>
    <s v="VECA PLUS POTASIO - 20 L"/>
    <s v="Agroveca"/>
    <s v="Factura Electrónica"/>
    <n v="405"/>
    <s v="LTS"/>
    <n v="4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VECA PLUS CALCIO - 20 L"/>
    <s v="Agroveca"/>
    <s v="Factura Electrónica"/>
    <n v="405"/>
    <s v="LTS"/>
    <n v="4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VECA PLUS MAGNESIO - 20 L"/>
    <s v="Agroveca"/>
    <s v="Factura Electrónica"/>
    <n v="405"/>
    <s v="LTS"/>
    <n v="2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BIOVECA RAÍZ - 500 GRS"/>
    <s v="Agroveca"/>
    <s v="Factura Electrónica"/>
    <n v="405"/>
    <s v="UN"/>
    <n v="8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ODIN TEBUCONAZOLE 43% LT"/>
    <s v="Agroveca"/>
    <s v="Factura Electrónica"/>
    <n v="405"/>
    <s v="LTS"/>
    <n v="5"/>
    <n v="0"/>
    <n v="0"/>
    <s v="CLP"/>
    <s v="CHILE"/>
    <d v="2026-01-09T00:00:00"/>
    <s v="AV"/>
    <m/>
    <m/>
  </r>
  <r>
    <x v="0"/>
    <s v="76.188.119-1"/>
    <s v="PEDRO PATRICIO MENESES SOTO AGRICOLA Y TRANSPORTES E.I.R.L."/>
    <s v="07/01/2026"/>
    <s v="SEXTA"/>
    <x v="4"/>
    <s v="AV PLUS ROOT MAX x 5LT"/>
    <s v="Agroveca"/>
    <s v="Guía de Despacho Electrónica"/>
    <n v="133"/>
    <s v="LTS"/>
    <n v="5"/>
    <n v="49750"/>
    <n v="9950"/>
    <s v="CLP"/>
    <s v="CHILE"/>
    <d v="2026-02-06T00:00:00"/>
    <s v="AV"/>
    <m/>
    <m/>
  </r>
  <r>
    <x v="0"/>
    <s v="76.188.119-1"/>
    <s v="PEDRO PATRICIO MENESES SOTO AGRICOLA Y TRANSPORTES E.I.R.L."/>
    <s v="07/01/2026"/>
    <s v="SEXTA"/>
    <x v="4"/>
    <s v="BIOVECA NEMAOFF 500 GRS"/>
    <s v="Agroveca"/>
    <s v="Guía de Despacho Electrónica"/>
    <n v="133"/>
    <s v="UN"/>
    <n v="1"/>
    <n v="35000"/>
    <n v="35000"/>
    <s v="CLP"/>
    <s v="CHILE"/>
    <d v="2026-02-06T00:00:00"/>
    <s v="AV"/>
    <m/>
    <m/>
  </r>
  <r>
    <x v="0"/>
    <s v="77.758.114-7"/>
    <s v="SOCIEDAD AGRÍCOLA COMERCIAL SIEMBRA SPA"/>
    <s v="07/01/2026"/>
    <s v="SEXTA"/>
    <x v="4"/>
    <s v="AV PLUS MAGNESIO x 5 LT"/>
    <s v="Agroveca"/>
    <s v="Guía de Despacho Electrónica"/>
    <n v="134"/>
    <s v="LTS"/>
    <n v="5"/>
    <n v="20000"/>
    <n v="4000"/>
    <s v="CLP"/>
    <s v="CHILE"/>
    <d v="2026-03-06T00:00:00"/>
    <s v="AV"/>
    <m/>
    <m/>
  </r>
  <r>
    <x v="0"/>
    <s v="77.758.114-7"/>
    <s v="SOCIEDAD AGRÍCOLA COMERCIAL SIEMBRA SPA"/>
    <s v="07/01/2026"/>
    <s v="SEXTA"/>
    <x v="4"/>
    <s v="AV PLUS POTASIO x 5 LT"/>
    <s v="Agroveca"/>
    <s v="Guía de Despacho Electrónica"/>
    <n v="134"/>
    <s v="LTS"/>
    <n v="5"/>
    <n v="20000"/>
    <n v="4000"/>
    <s v="CLP"/>
    <s v="CHILE"/>
    <d v="2026-03-06T00:00:00"/>
    <s v="AV"/>
    <m/>
    <m/>
  </r>
  <r>
    <x v="0"/>
    <s v="76.552.164-5"/>
    <s v="ANGELA MARIA DIAZ SCHMIDT AGRICOLA E.I.R.L."/>
    <s v="07/01/2026"/>
    <s v="CUARTA"/>
    <x v="5"/>
    <s v="AV PLUS AMIN x 20 LT"/>
    <s v="Agroveca"/>
    <s v="Guía de Despacho Electrónica"/>
    <n v="135"/>
    <s v="LTS"/>
    <n v="60"/>
    <n v="312000"/>
    <n v="5200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ALGAP 30 x 20 LT"/>
    <s v="Agroveca"/>
    <s v="Guía de Despacho Electrónica"/>
    <n v="135"/>
    <s v="LTS"/>
    <n v="40"/>
    <n v="292000"/>
    <n v="7300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PLUS POTASIO x 20 LT"/>
    <s v="Agroveca"/>
    <s v="Guía de Despacho Electrónica"/>
    <n v="135"/>
    <s v="LTS"/>
    <n v="40"/>
    <n v="188000"/>
    <n v="4700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ROOT MAX x 20 LT"/>
    <s v="Agroveca"/>
    <s v="Guía de Despacho Electrónica"/>
    <n v="135"/>
    <s v="LTS"/>
    <n v="300"/>
    <n v="2670000"/>
    <n v="8900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BIOVECA FOLIAR 250 GRS"/>
    <s v="Agroveca"/>
    <s v="Guía de Despacho Electrónica"/>
    <n v="135"/>
    <s v="UN"/>
    <n v="15"/>
    <n v="420000"/>
    <n v="28000"/>
    <s v="CLP"/>
    <s v="CHILE"/>
    <d v="2026-05-30T00:00:00"/>
    <s v="AV"/>
    <m/>
    <m/>
  </r>
  <r>
    <x v="0"/>
    <s v="76.180.961-K"/>
    <s v="AGRICOLA SAN ANTONIO LIMITADA"/>
    <s v="07/01/2026"/>
    <s v="CUARTA"/>
    <x v="5"/>
    <s v="AV ALGAP 30 x 20 LT"/>
    <s v="Agroveca"/>
    <s v="Guía de Despacho Electrónica"/>
    <n v="136"/>
    <s v="LTS"/>
    <n v="20"/>
    <n v="146000"/>
    <n v="7300"/>
    <s v="CLP"/>
    <s v="CHILE"/>
    <d v="2026-05-30T00:00:00"/>
    <s v="AV"/>
    <m/>
    <m/>
  </r>
  <r>
    <x v="0"/>
    <s v="76.180.961-K"/>
    <s v="AGRICOLA SAN ANTONIO LIMITADA"/>
    <s v="07/01/2026"/>
    <s v="CUARTA"/>
    <x v="5"/>
    <s v="AV PLUS MAGNESIO x 20 LT"/>
    <s v="Agroveca"/>
    <s v="Guía de Despacho Electrónica"/>
    <n v="136"/>
    <s v="LTS"/>
    <n v="20"/>
    <n v="94000"/>
    <n v="4700"/>
    <s v="CLP"/>
    <s v="CHILE"/>
    <d v="2026-05-30T00:00:00"/>
    <s v="AV"/>
    <m/>
    <m/>
  </r>
  <r>
    <x v="0"/>
    <s v="77.650.227-8"/>
    <s v="SOCIEDAD AGRICOLA COMERCIAL LA HIGUERA SPA"/>
    <s v="08/01/2026"/>
    <s v="SEXTA"/>
    <x v="3"/>
    <s v="VECA AMIN - 20 L"/>
    <s v="Agroveca"/>
    <s v="Factura Electrónica"/>
    <n v="406"/>
    <s v="LITROS"/>
    <n v="20"/>
    <n v="0"/>
    <n v="0"/>
    <s v="CLP"/>
    <s v="CHILE"/>
    <d v="2026-01-10T00:00:00"/>
    <s v="AV"/>
    <s v="Guia  N 48"/>
    <d v="2025-08-25T00:00:00"/>
  </r>
  <r>
    <x v="0"/>
    <s v="77.650.227-8"/>
    <s v="SOCIEDAD AGRICOLA COMERCIAL LA HIGUERA SPA"/>
    <s v="08/01/2026"/>
    <s v="SEXTA"/>
    <x v="3"/>
    <s v="VECA BALANCE - 5 L"/>
    <s v="Agroveca"/>
    <s v="Factura Electrónica"/>
    <n v="407"/>
    <s v="LTS"/>
    <n v="5"/>
    <n v="0"/>
    <n v="0"/>
    <s v="CLP"/>
    <s v="CHILE"/>
    <d v="2026-01-10T00:00:00"/>
    <s v="AV"/>
    <s v="Guia N 60"/>
    <d v="2025-10-01T00:00:00"/>
  </r>
  <r>
    <x v="0"/>
    <s v="77.650.227-8"/>
    <s v="SOCIEDAD AGRICOLA COMERCIAL LA HIGUERA SPA"/>
    <s v="08/01/2026"/>
    <s v="SEXTA"/>
    <x v="3"/>
    <s v="CYTO PRIME -  1 L"/>
    <s v="Agroveca"/>
    <s v="Factura Electrónica"/>
    <n v="407"/>
    <s v="LTS"/>
    <n v="3"/>
    <n v="0"/>
    <n v="0"/>
    <s v="CLP"/>
    <s v="CHILE"/>
    <d v="2026-01-10T00:00:00"/>
    <s v="AV"/>
    <s v="Guia N 60"/>
    <d v="2025-10-01T00:00:00"/>
  </r>
  <r>
    <x v="0"/>
    <s v="77.650.227-8"/>
    <s v="SOCIEDAD AGRICOLA COMERCIAL LA HIGUERA SPA"/>
    <s v="08/01/2026"/>
    <s v="SEXTA"/>
    <x v="3"/>
    <s v="VECA PLUS POTASIO - 5 L"/>
    <s v="Agroveca"/>
    <s v="Factura Electrónica"/>
    <n v="408"/>
    <s v="LTS"/>
    <n v="10"/>
    <n v="0"/>
    <n v="0"/>
    <s v="CLP"/>
    <s v="CHILE"/>
    <d v="2026-01-23T00:00:00"/>
    <s v="AV"/>
    <s v="Guia N 78"/>
    <d v="2025-11-24T00:00:00"/>
  </r>
  <r>
    <x v="0"/>
    <s v="77.650.227-8"/>
    <s v="SOCIEDAD AGRICOLA COMERCIAL LA HIGUERA SPA"/>
    <s v="08/01/2026"/>
    <s v="SEXTA"/>
    <x v="3"/>
    <s v="VECA PLUS CALCIO - 5 L"/>
    <s v="Agroveca"/>
    <s v="Factura Electrónica"/>
    <n v="408"/>
    <s v="LTS"/>
    <n v="10"/>
    <n v="0"/>
    <n v="0"/>
    <s v="CLP"/>
    <s v="CHILE"/>
    <d v="2026-01-23T00:00:00"/>
    <s v="AV"/>
    <s v="Guia N 78"/>
    <d v="2025-11-24T00:00:00"/>
  </r>
  <r>
    <x v="0"/>
    <s v="77.650.227-8"/>
    <s v="SOCIEDAD AGRICOLA COMERCIAL LA HIGUERA SPA"/>
    <s v="08/01/2026"/>
    <s v="SEXTA"/>
    <x v="3"/>
    <s v="VECA PLUS BORO - 5 L (PRECIO EN  USD)"/>
    <s v="Agroveca"/>
    <s v="Factura Electrónica"/>
    <n v="409"/>
    <s v="LITROS"/>
    <n v="5"/>
    <n v="0"/>
    <n v="0"/>
    <s v="CLP"/>
    <s v="CHILE"/>
    <d v="2026-01-10T00:00:00"/>
    <s v="AV"/>
    <s v="Guia N 49"/>
    <d v="2025-08-28T00:00:00"/>
  </r>
  <r>
    <x v="0"/>
    <s v="77.650.227-8"/>
    <s v="SOCIEDAD AGRICOLA COMERCIAL LA HIGUERA SPA"/>
    <s v="08/01/2026"/>
    <s v="SEXTA"/>
    <x v="3"/>
    <s v="VECA PLUS ZINC - 5 L (PRECIO EN USD)"/>
    <s v="Agroveca"/>
    <s v="Factura Electrónica"/>
    <n v="409"/>
    <s v="LITROS"/>
    <n v="5"/>
    <n v="0"/>
    <n v="0"/>
    <s v="CLP"/>
    <s v="CHILE"/>
    <d v="2026-01-10T00:00:00"/>
    <s v="AV"/>
    <s v="Guia N 49"/>
    <d v="2025-08-28T00:00:00"/>
  </r>
  <r>
    <x v="0"/>
    <s v="5.904.111-8"/>
    <s v="BETTY PATRICIA MONTENEGRO ESCOBAR"/>
    <s v="08/01/2026"/>
    <s v="QUINTA"/>
    <x v="1"/>
    <s v="VECA AMIN SUGAR - 20 L"/>
    <s v="Agroveca"/>
    <s v="Factura Electrónica"/>
    <n v="410"/>
    <s v="LTS"/>
    <n v="20"/>
    <n v="130000"/>
    <n v="6500"/>
    <s v="CLP"/>
    <s v="CHILE"/>
    <d v="2026-01-09T00:00:00"/>
    <s v="AV"/>
    <m/>
    <m/>
  </r>
  <r>
    <x v="0"/>
    <s v="76.428.021-0"/>
    <s v="SOCIEDAD AGRICOLA TIERRA DE BACO LIMITADA"/>
    <s v="08/01/2026"/>
    <s v="SEXTA"/>
    <x v="4"/>
    <s v="BIOVECA FOLIAR - 250 GRS"/>
    <s v="Agroveca"/>
    <s v="Factura Electrónica"/>
    <n v="437"/>
    <s v="UN"/>
    <n v="25"/>
    <n v="0"/>
    <n v="0"/>
    <s v="CLP"/>
    <s v="CHILE"/>
    <d v="2026-04-08T00:00:00"/>
    <s v="AV"/>
    <s v="Guia N 139"/>
    <d v="2026-01-08T00:00:00"/>
  </r>
  <r>
    <x v="0"/>
    <s v="77.036.196-6"/>
    <s v="SOCIEDAD COMERCIAL RYN SPA"/>
    <s v="08/01/2026"/>
    <s v="SEXTA"/>
    <x v="4"/>
    <s v="VECA CALCIO BORO - 20 L"/>
    <s v="Agroveca"/>
    <s v="Guía de Despacho Electrónica"/>
    <n v="138"/>
    <s v="LTS"/>
    <n v="60"/>
    <n v="228309"/>
    <n v="3805.15"/>
    <s v="CLP"/>
    <s v="CHILE"/>
    <d v="2026-05-08T00:00:00"/>
    <s v="AV"/>
    <m/>
    <m/>
  </r>
  <r>
    <x v="0"/>
    <s v="76.428.021-0"/>
    <s v="SOCIEDAD AGRICOLA TIERRA DE BACO LIMITADA"/>
    <s v="08/01/2026"/>
    <s v="SEXTA"/>
    <x v="4"/>
    <s v="BIOVECA FOLIAR - 250 GRS"/>
    <s v="Agroveca"/>
    <s v="Guía de Despacho Electrónica"/>
    <n v="139"/>
    <s v="UN"/>
    <n v="25"/>
    <n v="875000"/>
    <n v="35000"/>
    <s v="CLP"/>
    <s v="CHILE"/>
    <d v="2026-04-08T00:00:00"/>
    <s v="AV"/>
    <m/>
    <m/>
  </r>
  <r>
    <x v="0"/>
    <s v="76.788.317-K"/>
    <s v="AGRICOLA MARIO ALEJANDRO VIDAL NUNEZ EIRL"/>
    <s v="09/01/2026"/>
    <s v="SEXTA"/>
    <x v="3"/>
    <s v="VECA PLUS POTASIO - 20 L"/>
    <s v="Agrocomercial"/>
    <s v="Factura Electrónica"/>
    <n v="411"/>
    <s v="LTS"/>
    <n v="20"/>
    <n v="89689"/>
    <n v="4484.45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PLUS MAGNESIO - 20 L"/>
    <s v="Agrocomercial"/>
    <s v="Factura Electrónica"/>
    <n v="411"/>
    <s v="LTS"/>
    <n v="20"/>
    <n v="89689"/>
    <n v="4484.45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PLUS CALCIO - 20 L"/>
    <s v="Agrocomercial"/>
    <s v="Factura Electrónica"/>
    <n v="411"/>
    <s v="LTS"/>
    <n v="20"/>
    <n v="89689"/>
    <n v="4484.45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MAX FULVIC 45% - 20 L"/>
    <s v="Agrocomercial"/>
    <s v="Factura Electrónica"/>
    <n v="411"/>
    <s v="LTS"/>
    <n v="40"/>
    <n v="172203"/>
    <n v="4305.0749999999998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BIOVECA NEMAOFF - 500 GR"/>
    <s v="Agrocomercial"/>
    <s v="Factura Electrónica"/>
    <n v="411"/>
    <s v="UN"/>
    <n v="3"/>
    <n v="121080"/>
    <n v="40360"/>
    <s v="CLP"/>
    <s v="CHILE"/>
    <d v="2026-01-09T00:00:00"/>
    <s v="AV"/>
    <m/>
    <m/>
  </r>
  <r>
    <x v="0"/>
    <s v="9.056.061-1"/>
    <s v="FELIPE ALBERTO RIQUELME ACUNA"/>
    <s v="09/01/2026"/>
    <s v="ÑUBLE"/>
    <x v="2"/>
    <s v="AV ROOT MAX X 20 LT"/>
    <s v="Agroveca"/>
    <s v="Factura Electrónica"/>
    <n v="412"/>
    <s v="LTS"/>
    <n v="20"/>
    <n v="200000"/>
    <n v="10000"/>
    <s v="CLP"/>
    <s v="CHILE"/>
    <d v="2026-01-09T00:00:00"/>
    <s v="AV"/>
    <m/>
    <m/>
  </r>
  <r>
    <x v="0"/>
    <s v="9.056.061-1"/>
    <s v="FELIPE ALBERTO RIQUELME ACUNA"/>
    <s v="09/01/2026"/>
    <s v="ÑUBLE"/>
    <x v="2"/>
    <s v="AV PLUS MAGNESIO X 20 LT"/>
    <s v="Agroveca"/>
    <s v="Factura Electrónica"/>
    <n v="412"/>
    <s v="LTS"/>
    <n v="20"/>
    <n v="100000"/>
    <n v="5000"/>
    <s v="CLP"/>
    <s v="CHILE"/>
    <d v="2026-01-09T00:00:00"/>
    <s v="AV"/>
    <m/>
    <m/>
  </r>
  <r>
    <x v="0"/>
    <s v="9.056.061-1"/>
    <s v="FELIPE ALBERTO RIQUELME ACUNA"/>
    <s v="09/01/2026"/>
    <s v="ÑUBLE"/>
    <x v="2"/>
    <s v="AV PLUS POTASIO X 20 LT"/>
    <s v="Agroveca"/>
    <s v="Factura Electrónica"/>
    <n v="412"/>
    <s v="LTS"/>
    <n v="20"/>
    <n v="100000"/>
    <n v="5000"/>
    <s v="CLP"/>
    <s v="CHILE"/>
    <d v="2026-01-09T00:00:00"/>
    <s v="AV"/>
    <m/>
    <m/>
  </r>
  <r>
    <x v="0"/>
    <s v="76.547.701-8"/>
    <s v="SOCIEDAD AGRICOLA BRUGNATO LIMITADA"/>
    <s v="09/01/2026"/>
    <s v="QUINTA"/>
    <x v="1"/>
    <s v="VECASIL FORTE - 20 L"/>
    <s v="Agroveca"/>
    <s v="Guía de Despacho Electrónica"/>
    <n v="141"/>
    <s v="LTS"/>
    <n v="40"/>
    <n v="320000"/>
    <n v="8000"/>
    <s v="CLP"/>
    <s v="CHILE"/>
    <d v="2026-03-10T00:00:00"/>
    <s v="AV"/>
    <m/>
    <m/>
  </r>
  <r>
    <x v="0"/>
    <s v="77.988.779-0"/>
    <s v="SEIS SOLES SPA"/>
    <s v="10/01/2026"/>
    <s v="TERCERA"/>
    <x v="0"/>
    <s v="ALGAP 30 - 20 L"/>
    <s v="Agroveca"/>
    <s v="Factura Electrónica"/>
    <n v="413"/>
    <s v="UN"/>
    <n v="100"/>
    <n v="0"/>
    <n v="0"/>
    <s v="CLP"/>
    <s v="CHILE"/>
    <d v="2026-01-27T00:00:00"/>
    <s v="AV"/>
    <m/>
    <m/>
  </r>
  <r>
    <x v="0"/>
    <s v="77.582.414-K"/>
    <s v="AGROINSUMOS KULLIN"/>
    <s v="12/01/2026"/>
    <s v="SEPTIMA"/>
    <x v="0"/>
    <s v="AV PLUS CALCIO BORO - 20 L"/>
    <s v="Agroveca"/>
    <s v="Factura Electrónica"/>
    <n v="414"/>
    <s v="LTS"/>
    <n v="2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AV PLUS BORO - 20 L"/>
    <s v="Agroveca"/>
    <s v="Factura Electrónica"/>
    <n v="414"/>
    <s v="LTS"/>
    <n v="2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AV AMIN - 20 L"/>
    <s v="Agroveca"/>
    <s v="Factura Electrónica"/>
    <n v="414"/>
    <s v="LTS"/>
    <n v="2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VECA AMIN - 1 L"/>
    <s v="Agroveca"/>
    <s v="Factura Electrónica"/>
    <n v="415"/>
    <s v="LTS"/>
    <n v="5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ZINC - 1 L"/>
    <s v="Agroveca"/>
    <s v="Factura Electrónica"/>
    <n v="415"/>
    <s v="LTS"/>
    <n v="5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MAGNESIO - 1 L"/>
    <s v="Agroveca"/>
    <s v="Factura Electrónica"/>
    <n v="415"/>
    <s v="LTS"/>
    <n v="5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POTASIO - 5 L"/>
    <s v="Agroveca"/>
    <s v="Factura Electrónica"/>
    <n v="416"/>
    <s v="LTS"/>
    <n v="60"/>
    <n v="0"/>
    <n v="0"/>
    <s v="CLP"/>
    <s v="CHILE"/>
    <d v="2026-01-22T00:00:00"/>
    <s v="AV"/>
    <s v="GUIA AV 789"/>
    <d v="2025-10-24T00:00:00"/>
  </r>
  <r>
    <x v="0"/>
    <s v="77.582.414-K"/>
    <s v="AGROINSUMOS KULLIN"/>
    <s v="12/01/2026"/>
    <s v="SEPTIMA"/>
    <x v="0"/>
    <s v="VECA NUTRI MIX - 1 L"/>
    <s v="Agroveca"/>
    <s v="Factura Electrónica"/>
    <n v="416"/>
    <s v="LTS"/>
    <n v="10"/>
    <n v="0"/>
    <n v="0"/>
    <s v="CLP"/>
    <s v="CHILE"/>
    <d v="2026-01-22T00:00:00"/>
    <s v="AV"/>
    <s v="GUIA AV 789"/>
    <d v="2025-10-24T00:00:00"/>
  </r>
  <r>
    <x v="0"/>
    <s v="77.582.414-K"/>
    <s v="AGROINSUMOS KULLIN"/>
    <s v="12/01/2026"/>
    <s v="SEPTIMA"/>
    <x v="0"/>
    <s v="VECA NUTRI MIX - 20 L"/>
    <s v="Agroveca"/>
    <s v="Factura Electrónica"/>
    <n v="416"/>
    <s v="LTS"/>
    <n v="20"/>
    <n v="0"/>
    <n v="0"/>
    <s v="CLP"/>
    <s v="CHILE"/>
    <d v="2026-01-22T00:00:00"/>
    <s v="AV"/>
    <s v="GUIA AV 789"/>
    <d v="2025-10-24T00:00:00"/>
  </r>
  <r>
    <x v="0"/>
    <s v="77.139.169-9"/>
    <s v="AGRICOLA FUNDO LA PROVIDENCIA LTDA"/>
    <s v="12/01/2026"/>
    <s v="METROPOLITANA"/>
    <x v="0"/>
    <s v="BIOVECA RAÍZ - 500 GRS"/>
    <s v="Agroveca"/>
    <s v="Factura Electrónica"/>
    <n v="417"/>
    <s v="LTS"/>
    <n v="10"/>
    <n v="0"/>
    <n v="0"/>
    <s v="CLP"/>
    <s v="CHILE"/>
    <d v="2026-01-16T00:00:00"/>
    <s v="AV"/>
    <s v="GUIA AV 827"/>
    <d v="2025-11-13T00:00:00"/>
  </r>
  <r>
    <x v="0"/>
    <s v="76.421.617-2"/>
    <s v="AGRICOLA CASA DEL CERRILLO EIRL"/>
    <s v="12/01/2026"/>
    <s v="QUINTA"/>
    <x v="1"/>
    <s v="ALGAP 30 - 20 L"/>
    <s v="Agroveca"/>
    <s v="Factura Electrónica"/>
    <n v="418"/>
    <s v="LTS"/>
    <n v="40"/>
    <n v="0"/>
    <n v="0"/>
    <s v="CLP"/>
    <s v="CHILE"/>
    <d v="2026-01-15T00:00:00"/>
    <s v="AV"/>
    <s v="GUIA AV 769"/>
    <d v="2025-10-18T00:00:00"/>
  </r>
  <r>
    <x v="0"/>
    <s v="76.421.617-2"/>
    <s v="AGRICOLA CASA DEL CERRILLO EIRL"/>
    <s v="12/01/2026"/>
    <s v="QUINTA"/>
    <x v="1"/>
    <s v="ALGAP 30 - 5 L"/>
    <s v="Agroveca"/>
    <s v="Factura Electrónica"/>
    <n v="418"/>
    <s v="LTS"/>
    <n v="10"/>
    <n v="0"/>
    <n v="0"/>
    <s v="CLP"/>
    <s v="CHILE"/>
    <d v="2026-01-15T00:00:00"/>
    <s v="AV"/>
    <s v="GUIA AV 769"/>
    <d v="2025-10-18T00:00:00"/>
  </r>
  <r>
    <x v="0"/>
    <s v="76.826.270-5"/>
    <s v="INVERSIONES DON FORTUNATO LTDA"/>
    <s v="12/01/2026"/>
    <s v="SEXTA"/>
    <x v="1"/>
    <s v="VECA N-P MIX - 20 L"/>
    <s v="Agroveca"/>
    <s v="Factura Electrónica"/>
    <n v="419"/>
    <s v="LTS"/>
    <n v="20"/>
    <n v="0"/>
    <n v="0"/>
    <s v="CLP"/>
    <s v="CHILE"/>
    <d v="2026-01-21T00:00:00"/>
    <s v="AV"/>
    <s v="GUIA AV 780"/>
    <d v="2025-10-22T00:00:00"/>
  </r>
  <r>
    <x v="0"/>
    <s v="76.826.270-5"/>
    <s v="INVERSIONES DON FORTUNATO LTDA"/>
    <s v="12/01/2026"/>
    <s v="SEXTA"/>
    <x v="1"/>
    <s v="VECA PLUS CALCIO - 20 L"/>
    <s v="Agroveca"/>
    <s v="Factura Electrónica"/>
    <n v="419"/>
    <s v="LTS"/>
    <n v="20"/>
    <n v="0"/>
    <n v="0"/>
    <s v="CLP"/>
    <s v="CHILE"/>
    <d v="2026-01-21T00:00:00"/>
    <s v="AV"/>
    <s v="GUIA AV 780"/>
    <d v="2025-10-22T00:00:00"/>
  </r>
  <r>
    <x v="0"/>
    <s v="76.826.270-5"/>
    <s v="INVERSIONES DON FORTUNATO LTDA"/>
    <s v="12/01/2026"/>
    <s v="SEXTA"/>
    <x v="1"/>
    <s v="VECA PLUS POTASIO - 20 L"/>
    <s v="Agroveca"/>
    <s v="Factura Electrónica"/>
    <n v="419"/>
    <s v="LTS"/>
    <n v="20"/>
    <n v="0"/>
    <n v="0"/>
    <s v="CLP"/>
    <s v="CHILE"/>
    <d v="2026-01-21T00:00:00"/>
    <s v="AV"/>
    <s v="GUIA AV 780"/>
    <d v="2025-10-22T00:00:00"/>
  </r>
  <r>
    <x v="0"/>
    <s v="15.111.777-5"/>
    <s v="JORGE HERNAN ESPINOZA QUEZADA"/>
    <s v="12/01/2026"/>
    <s v="SEXTA"/>
    <x v="4"/>
    <s v="VECA ROOT MAX - 20 L"/>
    <s v="Agroveca"/>
    <s v="Factura Electrónica"/>
    <n v="420"/>
    <s v="LTS"/>
    <n v="20"/>
    <n v="0"/>
    <n v="0"/>
    <s v="CLP"/>
    <s v="CHILE"/>
    <d v="2026-01-15T00:00:00"/>
    <s v="AV"/>
    <s v="GUIA AV 725"/>
    <d v="2025-10-03T00:00:00"/>
  </r>
  <r>
    <x v="0"/>
    <s v="15.111.777-5"/>
    <s v="JORGE HERNAN ESPINOZA QUEZADA"/>
    <s v="12/01/2026"/>
    <s v="SEXTA"/>
    <x v="4"/>
    <s v="CYTO PRIME - 5 L"/>
    <s v="Agroveca"/>
    <s v="Factura Electrónica"/>
    <n v="420"/>
    <s v="LTS"/>
    <n v="5"/>
    <n v="0"/>
    <n v="0"/>
    <s v="CLP"/>
    <s v="CHILE"/>
    <d v="2026-01-15T00:00:00"/>
    <s v="AV"/>
    <s v="GUIA AV 725"/>
    <d v="2025-10-03T00:00:00"/>
  </r>
  <r>
    <x v="0"/>
    <s v="15.111.777-5"/>
    <s v="JORGE HERNAN ESPINOZA QUEZADA"/>
    <s v="12/01/2026"/>
    <s v="SEXTA"/>
    <x v="4"/>
    <s v="VECA AMIN - 20 L"/>
    <s v="Agroveca"/>
    <s v="Factura Electrónica"/>
    <n v="420"/>
    <s v="LTS"/>
    <n v="40"/>
    <n v="0"/>
    <n v="0"/>
    <s v="CLP"/>
    <s v="CHILE"/>
    <d v="2026-01-15T00:00:00"/>
    <s v="AV"/>
    <s v="GUIA AV 725"/>
    <d v="2025-10-03T00:00:00"/>
  </r>
  <r>
    <x v="0"/>
    <s v="77.224.235-2"/>
    <s v="CONTRATISTAS AZUA LIMITADA"/>
    <s v="12/01/2026"/>
    <s v="SEXTA"/>
    <x v="4"/>
    <s v="VECA PLUS POTASIO - 20 L"/>
    <s v="Agroveca"/>
    <s v="Factura Electrónica"/>
    <n v="421"/>
    <s v="LTS"/>
    <n v="20"/>
    <n v="0"/>
    <n v="0"/>
    <s v="CLP"/>
    <s v="CHILE"/>
    <d v="2026-01-15T00:00:00"/>
    <s v="AV"/>
    <s v="GUIA AV 829"/>
    <d v="2025-11-13T00:00:00"/>
  </r>
  <r>
    <x v="0"/>
    <s v="77.224.235-2"/>
    <s v="CONTRATISTAS AZUA LIMITADA"/>
    <s v="12/01/2026"/>
    <s v="SEXTA"/>
    <x v="4"/>
    <s v="ALGAP 30 - 5 L"/>
    <s v="Agroveca"/>
    <s v="Factura Electrónica"/>
    <n v="421"/>
    <s v="LTS"/>
    <n v="10"/>
    <n v="0"/>
    <n v="0"/>
    <s v="CLP"/>
    <s v="CHILE"/>
    <d v="2026-01-15T00:00:00"/>
    <s v="AV"/>
    <s v="GUIA AV 829"/>
    <d v="2025-11-13T00:00:00"/>
  </r>
  <r>
    <x v="0"/>
    <s v="14.346.200-5"/>
    <s v="SAMUEL ENRIQUE ACEVEDO CONTRERAS"/>
    <s v="12/01/2026"/>
    <s v="SEXTA"/>
    <x v="4"/>
    <s v="VECA BALANCE - 5 L"/>
    <s v="Agroveca"/>
    <s v="Factura Electrónica"/>
    <n v="422"/>
    <s v="LTS"/>
    <n v="5"/>
    <n v="0"/>
    <n v="0"/>
    <s v="CLP"/>
    <s v="CHILE"/>
    <d v="2026-01-19T00:00:00"/>
    <s v="AV"/>
    <s v="GUIA AV 841"/>
    <d v="2025-11-19T00:00:00"/>
  </r>
  <r>
    <x v="0"/>
    <s v="14.346.200-5"/>
    <s v="SAMUEL ENRIQUE ACEVEDO CONTRERAS"/>
    <s v="12/01/2026"/>
    <s v="SEXTA"/>
    <x v="4"/>
    <s v="VECA BLOOM - 5 L"/>
    <s v="Agroveca"/>
    <s v="Factura Electrónica"/>
    <n v="422"/>
    <s v="LTS"/>
    <n v="5"/>
    <n v="0"/>
    <n v="0"/>
    <s v="CLP"/>
    <s v="CHILE"/>
    <d v="2026-01-19T00:00:00"/>
    <s v="AV"/>
    <s v="GUIA AV 841"/>
    <d v="2025-11-19T00:00:00"/>
  </r>
  <r>
    <x v="0"/>
    <s v="77.327.221-2"/>
    <s v="SOCIEDAD AGRICOLA Y COMERCIAL RIO DIUTO SPA"/>
    <s v="12/01/2026"/>
    <s v="OCTAVA"/>
    <x v="3"/>
    <s v="VECA PLUS MANGANESO - 20 L"/>
    <s v="Agroveca"/>
    <s v="Factura Electrónica"/>
    <n v="423"/>
    <s v="LTS"/>
    <n v="500"/>
    <n v="0"/>
    <n v="0"/>
    <s v="CLP"/>
    <s v="CHILE"/>
    <d v="2026-01-30T00:00:00"/>
    <s v="AV"/>
    <s v="GUIA AV 725"/>
    <d v="2025-10-03T00:00:00"/>
  </r>
  <r>
    <x v="0"/>
    <s v="76.428.021-0"/>
    <s v="SOCIEDAD AGRICOLA TIERRA DE BACO LIMITADA"/>
    <s v="12/01/2026"/>
    <s v="SEXTA"/>
    <x v="3"/>
    <s v="AV BIOVECA FOLIAR - 250 GR"/>
    <s v="Agroveca"/>
    <s v="Factura Electrónica"/>
    <n v="436"/>
    <s v="UN"/>
    <n v="45"/>
    <n v="0"/>
    <n v="0"/>
    <s v="CLP"/>
    <s v="CHILE"/>
    <d v="2026-04-09T00:00:00"/>
    <s v="AV"/>
    <s v="Guia N142"/>
    <d v="2026-01-12T00:00:00"/>
  </r>
  <r>
    <x v="0"/>
    <s v="9.501.614-6"/>
    <s v="JUAN ENRIQUE VARGAS ALZAMORA"/>
    <s v="12/01/2026"/>
    <s v="QUINTA"/>
    <x v="1"/>
    <s v="AV AMIN SUGAR - 200 L"/>
    <s v="Agroveca"/>
    <s v="Guía de Despacho Electrónica"/>
    <n v="142"/>
    <s v="LITROS"/>
    <n v="200"/>
    <n v="900000"/>
    <n v="4500"/>
    <s v="CLP"/>
    <s v="CHILE"/>
    <d v="2026-04-11T00:00:00"/>
    <s v="AV"/>
    <m/>
    <m/>
  </r>
  <r>
    <x v="0"/>
    <s v="76.428.021-0"/>
    <s v="SOCIEDAD AGRICOLA TIERRA DE BACO LIMITADA"/>
    <s v="12/01/2026"/>
    <s v="SEXTA"/>
    <x v="3"/>
    <s v="AV BIOVECA FOLIAR - 250 GR"/>
    <s v="Agroveca"/>
    <s v="Guía de Despacho Electrónica"/>
    <n v="143"/>
    <s v="UN"/>
    <n v="45"/>
    <n v="1575000"/>
    <n v="35000"/>
    <s v="CLP"/>
    <s v="CHILE"/>
    <d v="2026-04-09T00:00:00"/>
    <s v="AV"/>
    <m/>
    <m/>
  </r>
  <r>
    <x v="0"/>
    <s v="10.824.336-8"/>
    <s v="EUGENIO ALFREDO AMPUERO GUERRA"/>
    <s v="13/01/2026"/>
    <s v="QUINTA"/>
    <x v="1"/>
    <s v="BIOVECA NEMAOFF - 500 GRS"/>
    <s v="Agroveca"/>
    <s v="Factura Electrónica"/>
    <n v="424"/>
    <s v="UN"/>
    <n v="10"/>
    <n v="0"/>
    <n v="0"/>
    <s v="CLP"/>
    <s v="CHILE"/>
    <d v="2026-01-15T00:00:00"/>
    <s v="AV"/>
    <s v="GUIA AV 851"/>
    <d v="2025-11-27T00:00:00"/>
  </r>
  <r>
    <x v="0"/>
    <s v="76.104.169-K"/>
    <s v="AGRICOLA RIBERA LIMITADA"/>
    <s v="13/01/2026"/>
    <s v="METROPOLITANA"/>
    <x v="3"/>
    <s v="VECA MOVE - 20 L"/>
    <s v="Agroveca"/>
    <s v="Factura Electrónica"/>
    <n v="425"/>
    <s v="LTS"/>
    <n v="180"/>
    <n v="0"/>
    <n v="0"/>
    <s v="CLP"/>
    <s v="CHILE"/>
    <d v="2026-01-15T00:00:00"/>
    <s v="AV"/>
    <s v="GUIA AV 550"/>
    <d v="2025-03-14T00:00:00"/>
  </r>
  <r>
    <x v="0"/>
    <s v="77.987.344-7"/>
    <s v="AGRÍCOLA CORNEJO ALVAREZ SPA"/>
    <s v="13/01/2026"/>
    <s v="SEXTA"/>
    <x v="4"/>
    <s v="AV AMIN X 5 LT"/>
    <s v="Agroveca"/>
    <s v="Factura Electrónica"/>
    <n v="426"/>
    <s v="LTS"/>
    <n v="5"/>
    <n v="40125"/>
    <n v="8025"/>
    <s v="CLP"/>
    <s v="CHILE"/>
    <d v="2026-01-13T00:00:00"/>
    <s v="AV"/>
    <m/>
    <m/>
  </r>
  <r>
    <x v="0"/>
    <s v="77.987.344-7"/>
    <s v="AGRÍCOLA CORNEJO ALVAREZ SPA"/>
    <s v="13/01/2026"/>
    <s v="SEXTA"/>
    <x v="4"/>
    <s v="AV AMIN X 1 LT"/>
    <s v="Agroveca"/>
    <s v="Factura Electrónica"/>
    <n v="426"/>
    <s v="LTS"/>
    <n v="1"/>
    <n v="8025"/>
    <n v="8025"/>
    <s v="CLP"/>
    <s v="CHILE"/>
    <d v="2026-01-13T00:00:00"/>
    <s v="AV"/>
    <m/>
    <m/>
  </r>
  <r>
    <x v="0"/>
    <s v="78.148.834-8"/>
    <s v="COMERCIALIZADORA LA COLONIA LIMITADA"/>
    <s v="13/01/2026"/>
    <s v="QUINTA"/>
    <x v="1"/>
    <s v="AV HUMIC ROOT X 20LT"/>
    <s v="Agroveca"/>
    <s v="Factura Electrónica"/>
    <n v="427"/>
    <s v="LITROS"/>
    <n v="40"/>
    <n v="100000"/>
    <n v="2500"/>
    <s v="CLP"/>
    <s v="CHILE"/>
    <d v="2026-01-13T00:00:00"/>
    <s v="AV"/>
    <m/>
    <m/>
  </r>
  <r>
    <x v="0"/>
    <s v="78.148.834-8"/>
    <s v="COMERCIALIZADORA LA COLONIA LIMITADA"/>
    <s v="13/01/2026"/>
    <s v="QUINTA"/>
    <x v="1"/>
    <s v="AV ROOT MAX X 20LT"/>
    <s v="Agroveca"/>
    <s v="Factura Electrónica"/>
    <n v="427"/>
    <s v="LITROS"/>
    <n v="20"/>
    <n v="160000"/>
    <n v="8000"/>
    <s v="CLP"/>
    <s v="CHILE"/>
    <d v="2026-01-13T00:00:00"/>
    <s v="AV"/>
    <m/>
    <m/>
  </r>
  <r>
    <x v="0"/>
    <s v="76.412.827-3"/>
    <s v="FRUTICOLA RIO BLANCO SPA"/>
    <s v="14/01/2026"/>
    <s v="METROPOLITANA"/>
    <x v="6"/>
    <s v="ANÁLISIS FOLIAR - CAMPO LOS LIRIOS"/>
    <s v="Laboratorio"/>
    <s v="Factura Electrónica"/>
    <n v="428"/>
    <s v="UN"/>
    <n v="9"/>
    <n v="0"/>
    <n v="0"/>
    <s v="CLP"/>
    <s v="CHILE"/>
    <d v="2026-01-14T00:00:00"/>
    <s v="AV"/>
    <m/>
    <m/>
  </r>
  <r>
    <x v="0"/>
    <s v="76.412.827-3"/>
    <s v="FRUTICOLA RIO BLANCO SPA"/>
    <s v="14/01/2026"/>
    <s v="METROPOLITANA"/>
    <x v="6"/>
    <s v="ANÁLISIS FOLIAR - CAMPO LA MONTAÑA"/>
    <s v="Laboratorio"/>
    <s v="Factura Electrónica"/>
    <n v="429"/>
    <s v="UN"/>
    <n v="4"/>
    <n v="0"/>
    <n v="0"/>
    <s v="CLP"/>
    <s v="CHILE"/>
    <d v="2026-01-14T00:00:00"/>
    <s v="AV"/>
    <m/>
    <m/>
  </r>
  <r>
    <x v="0"/>
    <s v="76.412.827-3"/>
    <s v="FRUTICOLA RIO BLANCO SPA"/>
    <s v="14/01/2026"/>
    <s v="METROPOLITANA"/>
    <x v="6"/>
    <s v="ANÁLISIS FOLIAR - CAMPO SANTA LUISA"/>
    <s v="Laboratorio"/>
    <s v="Factura Electrónica"/>
    <n v="430"/>
    <s v="UN"/>
    <n v="8"/>
    <n v="0"/>
    <n v="0"/>
    <s v="CLP"/>
    <s v="CHILE"/>
    <d v="2026-01-14T00:00:00"/>
    <s v="AV"/>
    <m/>
    <m/>
  </r>
  <r>
    <x v="0"/>
    <s v="13.302.310-0"/>
    <s v="LUIS AMERICO VIDAL MEZA"/>
    <s v="14/01/2026"/>
    <s v="SEXTA"/>
    <x v="3"/>
    <s v="NUTRI MIX - 5 L"/>
    <s v="Agrocomercial"/>
    <s v="Factura Electrónica"/>
    <n v="431"/>
    <s v="LTS"/>
    <n v="5"/>
    <n v="30935"/>
    <n v="6187"/>
    <s v="CLP"/>
    <s v="CHILE"/>
    <d v="2026-01-14T00:00:00"/>
    <s v="AV"/>
    <m/>
    <m/>
  </r>
  <r>
    <x v="0"/>
    <s v="89.308.000-7"/>
    <s v="VILLEGAS Y BERRIOS Y CIA LTDA"/>
    <s v="14/01/2026"/>
    <s v="SEXTA"/>
    <x v="3"/>
    <s v="VECA BALANCE - 1 L"/>
    <s v="Agroveca"/>
    <s v="Factura Electrónica"/>
    <n v="432"/>
    <s v="LTS"/>
    <n v="2"/>
    <n v="30660"/>
    <n v="1533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ZINC - 5 L"/>
    <s v="Agroveca"/>
    <s v="Factura Electrónica"/>
    <n v="432"/>
    <s v="LTS"/>
    <n v="5"/>
    <n v="2205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BORO - 5 L"/>
    <s v="Agroveca"/>
    <s v="Factura Electrónica"/>
    <n v="432"/>
    <s v="LTS"/>
    <n v="5"/>
    <n v="2205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1 L"/>
    <s v="Agroveca"/>
    <s v="Factura Electrónica"/>
    <n v="432"/>
    <s v="LTS"/>
    <n v="15"/>
    <n v="8715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5 L"/>
    <s v="Agroveca"/>
    <s v="Factura Electrónica"/>
    <n v="432"/>
    <s v="LTS"/>
    <n v="30"/>
    <n v="13230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1 L"/>
    <s v="Agroveca"/>
    <s v="Factura Electrónica"/>
    <n v="432"/>
    <s v="LTS"/>
    <n v="8"/>
    <n v="4648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5 L"/>
    <s v="Agroveca"/>
    <s v="Factura Electrónica"/>
    <n v="432"/>
    <s v="LTS"/>
    <n v="40"/>
    <n v="17640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20 L"/>
    <s v="Agroveca"/>
    <s v="Factura Electrónica"/>
    <n v="432"/>
    <s v="LTS"/>
    <n v="20"/>
    <n v="82600"/>
    <n v="413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1 L"/>
    <s v="Agroveca"/>
    <s v="Factura Electrónica"/>
    <n v="432"/>
    <s v="LTS"/>
    <n v="1"/>
    <n v="6020"/>
    <n v="602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HIERRO - 1 L"/>
    <s v="Agroveca"/>
    <s v="Factura Electrónica"/>
    <n v="432"/>
    <s v="LTS"/>
    <n v="1"/>
    <n v="581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AMIN - 5 L"/>
    <s v="Agroveca"/>
    <s v="Factura Electrónica"/>
    <n v="433"/>
    <s v="LTS"/>
    <n v="5"/>
    <n v="30275"/>
    <n v="6055"/>
    <s v="CLP"/>
    <s v="CHILE"/>
    <d v="2026-04-14T00:00:00"/>
    <s v="AV"/>
    <m/>
    <m/>
  </r>
  <r>
    <x v="0"/>
    <s v="89.308.000-7"/>
    <s v="VILLEGAS Y BERRIOS Y CIA LTDA"/>
    <s v="14/01/2026"/>
    <s v="SEXTA"/>
    <x v="3"/>
    <s v="VECA BALANCE - 5 L"/>
    <s v="Agroveca"/>
    <s v="Factura Electrónica"/>
    <n v="433"/>
    <s v="LTS"/>
    <n v="15"/>
    <n v="198450"/>
    <n v="13230"/>
    <s v="CLP"/>
    <s v="CHILE"/>
    <d v="2026-04-14T00:00:00"/>
    <s v="AV"/>
    <m/>
    <m/>
  </r>
  <r>
    <x v="0"/>
    <s v="89.308.000-7"/>
    <s v="VILLEGAS Y BERRIOS Y CIA LTDA"/>
    <s v="14/01/2026"/>
    <s v="SEXTA"/>
    <x v="3"/>
    <s v="VECA BLOOM - 1 L"/>
    <s v="Agroveca"/>
    <s v="Factura Electrónica"/>
    <n v="433"/>
    <s v="LTS"/>
    <n v="4"/>
    <n v="34160"/>
    <n v="8540"/>
    <s v="CLP"/>
    <s v="CHILE"/>
    <d v="2026-04-14T00:00:00"/>
    <s v="AV"/>
    <m/>
    <m/>
  </r>
  <r>
    <x v="0"/>
    <s v="89.308.000-7"/>
    <s v="VILLEGAS Y BERRIOS Y CIA LTDA"/>
    <s v="14/01/2026"/>
    <s v="SEXTA"/>
    <x v="3"/>
    <s v="VECA BLOOM - 5 L"/>
    <s v="Agroveca"/>
    <s v="Factura Electrónica"/>
    <n v="433"/>
    <s v="LTS"/>
    <n v="10"/>
    <n v="80500"/>
    <n v="805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ZINC - 1 L"/>
    <s v="Agroveca"/>
    <s v="Factura Electrónica"/>
    <n v="433"/>
    <s v="LTS"/>
    <n v="3"/>
    <n v="1743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1 L"/>
    <s v="Agroveca"/>
    <s v="Factura Electrónica"/>
    <n v="433"/>
    <s v="LTS"/>
    <n v="15"/>
    <n v="8715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1 L"/>
    <s v="Agroveca"/>
    <s v="Factura Electrónica"/>
    <n v="433"/>
    <s v="LTS"/>
    <n v="27"/>
    <n v="15687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5 L"/>
    <s v="Agroveca"/>
    <s v="Factura Electrónica"/>
    <n v="433"/>
    <s v="LTS"/>
    <n v="60"/>
    <n v="26460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20 L"/>
    <s v="Agroveca"/>
    <s v="Factura Electrónica"/>
    <n v="433"/>
    <s v="LTS"/>
    <n v="40"/>
    <n v="165200"/>
    <n v="413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1 L"/>
    <s v="Agroveca"/>
    <s v="Factura Electrónica"/>
    <n v="433"/>
    <s v="LTS"/>
    <n v="8"/>
    <n v="48160"/>
    <n v="602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20 L"/>
    <s v="Agroveca"/>
    <s v="Factura Electrónica"/>
    <n v="433"/>
    <s v="LTS"/>
    <n v="20"/>
    <n v="86800"/>
    <n v="434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5 L"/>
    <s v="Agroveca"/>
    <s v="Factura Electrónica"/>
    <n v="433"/>
    <s v="LTS"/>
    <n v="20"/>
    <n v="88200"/>
    <n v="4410"/>
    <s v="CLP"/>
    <s v="CHILE"/>
    <d v="2026-04-14T00:00:00"/>
    <s v="AV"/>
    <m/>
    <m/>
  </r>
  <r>
    <x v="0"/>
    <s v="77.941.544-9"/>
    <s v="BODEN SPA"/>
    <s v="14/01/2026"/>
    <s v="DECIMA"/>
    <x v="3"/>
    <s v="BIOBODEN CRYOPHILE - 250 GRS"/>
    <s v="Agrocomercial"/>
    <s v="Guía de Despacho Electrónica"/>
    <n v="145"/>
    <s v="UN"/>
    <n v="70"/>
    <n v="1190000"/>
    <n v="17000"/>
    <s v="CLP"/>
    <s v="CHILE"/>
    <d v="2026-07-13T00:00:00"/>
    <s v="AV"/>
    <m/>
    <m/>
  </r>
  <r>
    <x v="0"/>
    <s v="77.941.544-9"/>
    <s v="BODEN SPA"/>
    <s v="14/01/2026"/>
    <s v="DECIMA"/>
    <x v="3"/>
    <s v="XCARATOR - 20 L"/>
    <s v="Agrocomercial"/>
    <s v="Guía de Despacho Electrónica"/>
    <n v="146"/>
    <s v="LTS"/>
    <n v="1000"/>
    <n v="2483000"/>
    <n v="2483"/>
    <s v="CLP"/>
    <s v="CHILE"/>
    <d v="2026-07-13T00:00:00"/>
    <s v="AV"/>
    <m/>
    <m/>
  </r>
  <r>
    <x v="0"/>
    <s v="11.762.436-6"/>
    <s v="ELIAS FELICIANO RETAMAL RIVERA"/>
    <s v="14/01/2026"/>
    <s v="SEPTIMA"/>
    <x v="1"/>
    <s v="AV ROOT MAX - 20 L"/>
    <s v="Agroveca"/>
    <s v="Guía de Despacho Electrónica"/>
    <n v="147"/>
    <s v="LTS"/>
    <n v="100"/>
    <n v="800000"/>
    <n v="8000"/>
    <s v="CLP"/>
    <s v="CHILE"/>
    <d v="2026-05-22T00:00:00"/>
    <s v="AV"/>
    <m/>
    <m/>
  </r>
  <r>
    <x v="0"/>
    <s v="11.762.436-6"/>
    <s v="ELIAS FELICIANO RETAMAL RIVERA"/>
    <s v="14/01/2026"/>
    <s v="SEPTIMA"/>
    <x v="1"/>
    <s v="AV PLUS NUTRI MIX - 20 L"/>
    <s v="Agroveca"/>
    <s v="Guía de Despacho Electrónica"/>
    <n v="147"/>
    <s v="LTS"/>
    <n v="100"/>
    <n v="500000"/>
    <n v="5000"/>
    <s v="CLP"/>
    <s v="CHILE"/>
    <d v="2026-05-22T00:00:00"/>
    <s v="AV"/>
    <m/>
    <m/>
  </r>
  <r>
    <x v="0"/>
    <s v="11.762.436-6"/>
    <s v="ELIAS FELICIANO RETAMAL RIVERA"/>
    <s v="14/01/2026"/>
    <s v="SEPTIMA"/>
    <x v="1"/>
    <s v="AV MOVE - 20 L"/>
    <s v="Agroveca"/>
    <s v="Guía de Despacho Electrónica"/>
    <n v="147"/>
    <s v="LTS"/>
    <n v="100"/>
    <n v="700000"/>
    <n v="7000"/>
    <s v="CLP"/>
    <s v="CHILE"/>
    <d v="2026-05-22T00:00:00"/>
    <s v="AV"/>
    <m/>
    <m/>
  </r>
  <r>
    <x v="0"/>
    <s v="11.762.436-6"/>
    <s v="ELIAS FELICIANO RETAMAL RIVERA"/>
    <s v="14/01/2026"/>
    <s v="SEPTIMA"/>
    <x v="1"/>
    <s v="AV SILFORTE - 200 L"/>
    <s v="Agroveca"/>
    <s v="Guía de Despacho Electrónica"/>
    <n v="147"/>
    <s v="LTS"/>
    <n v="200"/>
    <n v="1515000"/>
    <n v="7575"/>
    <s v="CLP"/>
    <s v="CHILE"/>
    <d v="2026-05-22T00:00:00"/>
    <s v="AV"/>
    <m/>
    <m/>
  </r>
  <r>
    <x v="0"/>
    <s v="77.650.227-8"/>
    <s v="SOCIEDAD AGRICOLA COMERCIAL LA HIGUERA SPA"/>
    <s v="14/01/2026"/>
    <s v="SEXTA"/>
    <x v="3"/>
    <s v="VECA PLUS CALCIO - 5 L"/>
    <s v="Agrocomercial"/>
    <s v="Guía de Despacho Electrónica"/>
    <n v="148"/>
    <s v="LTS"/>
    <n v="5"/>
    <n v="26571"/>
    <n v="5314.2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VECA MOVE - 5 L"/>
    <s v="Agrocomercial"/>
    <s v="Guía de Despacho Electrónica"/>
    <n v="148"/>
    <s v="LTS"/>
    <n v="5"/>
    <n v="53038"/>
    <n v="10607.6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VECA AMIN - 1 L"/>
    <s v="Agrocomercial"/>
    <s v="Guía de Despacho Electrónica"/>
    <n v="148"/>
    <s v="LTS"/>
    <n v="2"/>
    <n v="17679"/>
    <n v="8839.5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BIOVECA FOLIAR"/>
    <s v="Agrocomercial"/>
    <s v="Guía de Despacho Electrónica"/>
    <n v="148"/>
    <s v="UN"/>
    <n v="1"/>
    <n v="32707"/>
    <n v="32707"/>
    <s v="CLP"/>
    <s v="CHILE"/>
    <d v="2026-03-13T00:00:00"/>
    <s v="AV"/>
    <m/>
    <m/>
  </r>
  <r>
    <x v="0"/>
    <s v="77.576.071-0"/>
    <s v="AGRICOLA E INVERSIONES VGV SPA"/>
    <s v="14/01/2026"/>
    <s v="QUINTA"/>
    <x v="1"/>
    <s v="AV MAX FULVIC - 20 L"/>
    <s v="Agroveca"/>
    <s v="Guía de Despacho Electrónica"/>
    <n v="149"/>
    <s v="LTS"/>
    <n v="60"/>
    <n v="150000"/>
    <n v="2500"/>
    <s v="CLP"/>
    <s v="CHILE"/>
    <d v="2026-05-14T00:00:00"/>
    <s v="AV"/>
    <m/>
    <m/>
  </r>
  <r>
    <x v="0"/>
    <s v="77.576.071-0"/>
    <s v="AGRICOLA E INVERSIONES VGV SPA"/>
    <s v="14/01/2026"/>
    <s v="QUINTA"/>
    <x v="1"/>
    <s v="AV HUMIC ROOT - 20 L"/>
    <s v="Agroveca"/>
    <s v="Guía de Despacho Electrónica"/>
    <n v="149"/>
    <s v="LTS"/>
    <n v="60"/>
    <n v="150000"/>
    <n v="2500"/>
    <s v="CLP"/>
    <s v="CHILE"/>
    <d v="2026-05-14T00:00:00"/>
    <s v="AV"/>
    <m/>
    <m/>
  </r>
  <r>
    <x v="0"/>
    <s v="77.576.071-0"/>
    <s v="AGRICOLA E INVERSIONES VGV SPA"/>
    <s v="14/01/2026"/>
    <s v="QUINTA"/>
    <x v="1"/>
    <s v="AV AMINSUGAR - 20 L"/>
    <s v="Agroveca"/>
    <s v="Guía de Despacho Electrónica"/>
    <n v="149"/>
    <s v="LTS"/>
    <n v="60"/>
    <n v="255000"/>
    <n v="4250"/>
    <s v="CLP"/>
    <s v="CHILE"/>
    <d v="2026-05-14T00:00:00"/>
    <s v="AV"/>
    <m/>
    <m/>
  </r>
  <r>
    <x v="0"/>
    <s v="77.576.071-0"/>
    <s v="AGRICOLA E INVERSIONES VGV SPA"/>
    <s v="14/01/2026"/>
    <s v="QUINTA"/>
    <x v="1"/>
    <s v="AV ALGAP 30 - 20 L"/>
    <s v="Agroveca"/>
    <s v="Guía de Despacho Electrónica"/>
    <n v="149"/>
    <s v="LTS"/>
    <n v="60"/>
    <n v="246000"/>
    <n v="4100"/>
    <s v="CLP"/>
    <s v="CHILE"/>
    <d v="2026-05-14T00:00:00"/>
    <s v="AV"/>
    <m/>
    <m/>
  </r>
  <r>
    <x v="0"/>
    <s v="76.351.331-9"/>
    <s v="ACEITE DE OLIVA ANA MARIA MONSALVE NAVES E.I.R.L"/>
    <s v="15/01/2026"/>
    <s v="QUINTA"/>
    <x v="0"/>
    <s v="AV PLUS MICRO MIX - 20 L"/>
    <s v="Agroveca"/>
    <s v="Factura Electrónica"/>
    <n v="434"/>
    <s v="LITROS"/>
    <n v="20"/>
    <n v="0"/>
    <n v="0"/>
    <s v="CLP"/>
    <s v="CHILE"/>
    <d v="2026-02-14T00:00:00"/>
    <s v="AV"/>
    <m/>
    <m/>
  </r>
  <r>
    <x v="0"/>
    <s v="76.351.331-9"/>
    <s v="ACEITE DE OLIVA ANA MARIA MONSALVE NAVES E.I.R.L"/>
    <s v="15/01/2026"/>
    <s v="QUINTA"/>
    <x v="0"/>
    <s v="AV PLUS MICRO MIX - 5 L"/>
    <s v="Agroveca"/>
    <s v="Factura Electrónica"/>
    <n v="434"/>
    <s v="LITROS"/>
    <n v="10"/>
    <n v="0"/>
    <n v="0"/>
    <s v="CLP"/>
    <s v="CHILE"/>
    <d v="2026-02-14T00:00:00"/>
    <s v="AV"/>
    <m/>
    <m/>
  </r>
  <r>
    <x v="0"/>
    <s v="76.351.331-9"/>
    <s v="ACEITE DE OLIVA ANA MARIA MONSALVE NAVES E.I.R.L"/>
    <s v="15/01/2026"/>
    <s v="QUINTA"/>
    <x v="0"/>
    <s v="AV PLUS BORO - 20 L"/>
    <s v="Agroveca"/>
    <s v="Factura Electrónica"/>
    <n v="434"/>
    <s v="LITROS"/>
    <n v="20"/>
    <n v="0"/>
    <n v="0"/>
    <s v="CLP"/>
    <s v="CHILE"/>
    <d v="2026-02-14T00:00:00"/>
    <s v="AV"/>
    <m/>
    <m/>
  </r>
  <r>
    <x v="0"/>
    <s v="77.611.026-4"/>
    <s v="AGRODONI LIMITADA"/>
    <s v="15/01/2026"/>
    <s v="SEXTA"/>
    <x v="4"/>
    <s v="AV BALANCE X 20LT"/>
    <s v="Agroveca"/>
    <s v="Factura Electrónica"/>
    <n v="435"/>
    <s v="LTS"/>
    <n v="30"/>
    <n v="396900"/>
    <n v="13230"/>
    <s v="CLP"/>
    <s v="CHILE"/>
    <d v="2026-01-15T00:00:00"/>
    <s v="AV"/>
    <m/>
    <m/>
  </r>
  <r>
    <x v="0"/>
    <s v="77.611.026-4"/>
    <s v="AGRODONI LIMITADA"/>
    <s v="15/01/2026"/>
    <s v="SEXTA"/>
    <x v="4"/>
    <s v="AV MOVE X 20LT"/>
    <s v="Agroveca"/>
    <s v="Factura Electrónica"/>
    <n v="435"/>
    <s v="LTS"/>
    <n v="20"/>
    <n v="158760"/>
    <n v="7938"/>
    <s v="CLP"/>
    <s v="CHILE"/>
    <d v="2026-01-15T00:00:00"/>
    <s v="AV"/>
    <m/>
    <m/>
  </r>
  <r>
    <x v="0"/>
    <s v="77.980.980-3"/>
    <s v="AGRICOLA GEOAGRO LTDA"/>
    <s v="15/01/2026"/>
    <s v="SEXTA"/>
    <x v="0"/>
    <s v="AV MOVE X 20LT"/>
    <s v="Agroveca"/>
    <s v="Factura Electrónica"/>
    <n v="441"/>
    <s v="LTS"/>
    <n v="40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5LT"/>
    <s v="Agroveca"/>
    <s v="Factura Electrónica"/>
    <n v="441"/>
    <s v="LTS"/>
    <n v="5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1LT"/>
    <s v="Agroveca"/>
    <s v="Factura Electrónica"/>
    <n v="441"/>
    <s v="LTS"/>
    <n v="1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20LT"/>
    <s v="Agroveca"/>
    <s v="Factura Electrónica"/>
    <n v="442"/>
    <s v="LTS"/>
    <n v="200"/>
    <n v="0"/>
    <n v="0"/>
    <s v="CLP"/>
    <s v="CHILE"/>
    <d v="2026-04-15T00:00:00"/>
    <s v="AV"/>
    <s v="Guia N 151"/>
    <d v="2026-01-15T00:00:00"/>
  </r>
  <r>
    <x v="0"/>
    <s v="77.980.980-3"/>
    <s v="AGRICOLA GEOAGRO LTDA"/>
    <s v="15/01/2026"/>
    <s v="SEXTA "/>
    <x v="0"/>
    <s v="AV MOVE X 20LT"/>
    <s v="Agroveca"/>
    <s v="Guía de Despacho Electrónica"/>
    <n v="150"/>
    <s v="LTS"/>
    <n v="40"/>
    <n v="300000"/>
    <n v="7500"/>
    <s v="CLP"/>
    <s v="CHILE"/>
    <d v="2026-04-15T00:00:00"/>
    <s v="AV"/>
    <m/>
    <m/>
  </r>
  <r>
    <x v="0"/>
    <s v="77.980.980-3"/>
    <s v="AGRICOLA GEOAGRO LTDA"/>
    <s v="15/01/2026"/>
    <s v="SEXTA "/>
    <x v="0"/>
    <s v="AV MOVE X 5LT"/>
    <s v="Agroveca"/>
    <s v="Guía de Despacho Electrónica"/>
    <n v="150"/>
    <s v="LTS"/>
    <n v="5"/>
    <n v="37500"/>
    <n v="7500"/>
    <s v="CLP"/>
    <s v="CHILE"/>
    <d v="2026-04-15T00:00:00"/>
    <s v="AV"/>
    <m/>
    <m/>
  </r>
  <r>
    <x v="0"/>
    <s v="77.980.980-3"/>
    <s v="AGRICOLA GEOAGRO LTDA"/>
    <s v="15/01/2026"/>
    <s v="SEXTA "/>
    <x v="0"/>
    <s v="AV MOVE X 1LT"/>
    <s v="Agroveca"/>
    <s v="Guía de Despacho Electrónica"/>
    <n v="150"/>
    <s v="LTS"/>
    <n v="1"/>
    <n v="7500"/>
    <n v="7500"/>
    <s v="CLP"/>
    <s v="CHILE"/>
    <d v="2026-04-15T00:00:00"/>
    <s v="AV"/>
    <m/>
    <m/>
  </r>
  <r>
    <x v="0"/>
    <s v="77.980.980-3"/>
    <s v="AGRICOLA GEOAGRO LTDA"/>
    <s v="15/01/2026"/>
    <s v="SEXTA "/>
    <x v="0"/>
    <s v="AV MOVE X 20LT"/>
    <s v="Agroveca"/>
    <s v="Guía de Despacho Electrónica"/>
    <n v="151"/>
    <s v="LTS"/>
    <n v="200"/>
    <n v="1500000"/>
    <n v="7500"/>
    <s v="CLP"/>
    <s v="CHILE"/>
    <d v="2026-04-15T00:00:00"/>
    <s v="AV"/>
    <m/>
    <m/>
  </r>
  <r>
    <x v="0"/>
    <s v="77.036.196-6"/>
    <s v="SOCIEDAD COMERCIAL RYN SPA"/>
    <s v="15/01/2026"/>
    <s v="SEXTA "/>
    <x v="4"/>
    <s v="AV PLUS CALCIO BORO - 20 L"/>
    <s v="Agroveca"/>
    <s v="Guía de Despacho Electrónica"/>
    <n v="152"/>
    <s v="LITROS"/>
    <n v="40"/>
    <n v="152206"/>
    <n v="3805.15"/>
    <s v="CLP"/>
    <s v="CHILE"/>
    <d v="2026-05-15T00:00:00"/>
    <s v="AV"/>
    <m/>
    <m/>
  </r>
  <r>
    <x v="0"/>
    <s v="76.756.815-0"/>
    <s v="AGRICOLA SANTA INES DE MALLOA LIMITADA"/>
    <s v="15/01/2026"/>
    <s v="SEXTA"/>
    <x v="0"/>
    <s v="AV MOVE - 20 L"/>
    <s v="Agroveca"/>
    <s v="Guía de Despacho Electrónica"/>
    <n v="153"/>
    <s v="LITROS"/>
    <n v="100"/>
    <n v="750000"/>
    <n v="7500"/>
    <s v="CLP"/>
    <s v="CHILE"/>
    <d v="2026-05-15T00:00:00"/>
    <s v="AV"/>
    <m/>
    <m/>
  </r>
  <r>
    <x v="0"/>
    <s v="76.756.815-0"/>
    <s v="AGRICOLA SANTA INES DE MALLOA LIMITADA"/>
    <s v="16/01/2026"/>
    <s v="SEXTA"/>
    <x v="0"/>
    <s v="AV MOVE - 20 L"/>
    <s v="Agroveca"/>
    <s v="Factura Electrónica"/>
    <n v="443"/>
    <s v="LITROS"/>
    <n v="100"/>
    <n v="0"/>
    <n v="0"/>
    <s v="CLP"/>
    <s v="CHILE"/>
    <d v="2026-05-15T00:00:00"/>
    <s v="AV"/>
    <s v="Guia N 153"/>
    <d v="2026-01-15T00:00:00"/>
  </r>
  <r>
    <x v="0"/>
    <s v="77.980.980-3"/>
    <s v="AGRICOLA GEOAGRO LTDA"/>
    <s v="16/01/2026"/>
    <s v="SEXTA"/>
    <x v="0"/>
    <s v="AV MOVE - 20 L"/>
    <s v="Agroveca"/>
    <s v="Factura Electrónica"/>
    <n v="444"/>
    <s v="LITROS"/>
    <n v="320"/>
    <n v="2400000"/>
    <n v="7500"/>
    <s v="CLP"/>
    <s v="CHILE"/>
    <d v="2026-05-11T00:00:00"/>
    <s v="AV"/>
    <m/>
    <m/>
  </r>
  <r>
    <x v="0"/>
    <s v="76.351.331-9"/>
    <s v="ACEITE DE OLIVA ANA MARIA MONSALVE NAVES E.I.R.L"/>
    <s v="16/01/2026"/>
    <s v="QUINTA"/>
    <x v="0"/>
    <s v="AV PLUS MICRO MIX - 20 L"/>
    <s v="Agroveca"/>
    <s v="Factura Electrónica"/>
    <n v="445"/>
    <s v="LITROS"/>
    <n v="20"/>
    <n v="124000"/>
    <n v="6200"/>
    <s v="CLP"/>
    <s v="CHILE"/>
    <d v="2026-01-16T00:00:00"/>
    <s v="AV"/>
    <m/>
    <m/>
  </r>
  <r>
    <x v="0"/>
    <s v="76.351.331-9"/>
    <s v="ACEITE DE OLIVA ANA MARIA MONSALVE NAVES E.I.R.L"/>
    <s v="16/01/2026"/>
    <s v="QUINTA"/>
    <x v="0"/>
    <s v="AV PLUS MICRO MIX - 5 L"/>
    <s v="Agroveca"/>
    <s v="Factura Electrónica"/>
    <n v="445"/>
    <s v="LITROS"/>
    <n v="10"/>
    <n v="62000"/>
    <n v="6200"/>
    <s v="CLP"/>
    <s v="CHILE"/>
    <d v="2026-01-16T00:00:00"/>
    <s v="AV"/>
    <m/>
    <m/>
  </r>
  <r>
    <x v="0"/>
    <s v="76.351.331-9"/>
    <s v="ACEITE DE OLIVA ANA MARIA MONSALVE NAVES E.I.R.L"/>
    <s v="16/01/2026"/>
    <s v="QUINTA"/>
    <x v="0"/>
    <s v="AV PLUS CALCIO BORO - 20 L"/>
    <s v="Agroveca"/>
    <s v="Factura Electrónica"/>
    <n v="445"/>
    <s v="LITROS"/>
    <n v="20"/>
    <n v="124000"/>
    <n v="6200"/>
    <s v="CLP"/>
    <s v="CHILE"/>
    <d v="2026-01-16T00:00:00"/>
    <s v="AV"/>
    <m/>
    <m/>
  </r>
  <r>
    <x v="0"/>
    <s v="78.223.261-4"/>
    <s v="AGRICOLA TOMATERRA SPA"/>
    <s v="16/01/2026"/>
    <s v="QUINTA"/>
    <x v="1"/>
    <s v="AV BIOVECA RAIZ - 500 GR"/>
    <s v="Agroveca"/>
    <s v="Factura Electrónica"/>
    <n v="446"/>
    <s v="UNIDAD"/>
    <n v="3"/>
    <n v="105000"/>
    <n v="35000"/>
    <s v="CLP"/>
    <s v="CHILE"/>
    <d v="2026-01-16T00:00:00"/>
    <s v="AV"/>
    <m/>
    <m/>
  </r>
  <r>
    <x v="0"/>
    <s v="79.673.320-9"/>
    <s v="SOC AGRICOLA PALO ALTO LIMITADA"/>
    <s v="16/01/2026"/>
    <s v="SEXTA"/>
    <x v="0"/>
    <s v="AV MOVE - 20 L"/>
    <s v="Agroveca"/>
    <s v="Guía de Despacho Electrónica"/>
    <n v="154"/>
    <s v="LITROS"/>
    <n v="400"/>
    <n v="3400000"/>
    <n v="8500"/>
    <s v="CLP"/>
    <s v="CHILE"/>
    <d v="2026-08-30T00:00:00"/>
    <s v="AV"/>
    <m/>
    <m/>
  </r>
  <r>
    <x v="0"/>
    <s v="14.284.877-5"/>
    <s v="CARLOS HUMBERTO CASTRO VALENZUELA"/>
    <s v="16/01/2026"/>
    <s v="SEXTA"/>
    <x v="0"/>
    <s v="AV MAX FULVIC 45% - 5 L"/>
    <s v="Agroveca"/>
    <s v="Guía de Despacho Electrónica"/>
    <n v="155"/>
    <s v="LITROS"/>
    <n v="10"/>
    <n v="42000"/>
    <n v="4200"/>
    <s v="CLP"/>
    <s v="CHILE"/>
    <d v="2026-03-17T00:00:00"/>
    <s v="AV"/>
    <m/>
    <m/>
  </r>
  <r>
    <x v="0"/>
    <s v="14.284.877-5"/>
    <s v="CARLOS HUMBERTO CASTRO VALENZUELA"/>
    <s v="16/01/2026"/>
    <s v="SEXTA"/>
    <x v="0"/>
    <s v="AV SILFORTE - 5 L"/>
    <s v="Agrocomercial"/>
    <s v="Guía de Despacho Electrónica"/>
    <n v="155"/>
    <s v="LITROS"/>
    <n v="10"/>
    <n v="125000"/>
    <n v="12500"/>
    <s v="CLP"/>
    <s v="CHILE"/>
    <d v="2026-03-17T00:00:00"/>
    <s v="AV"/>
    <m/>
    <m/>
  </r>
  <r>
    <x v="0"/>
    <s v="21.974.115-4"/>
    <s v="BENJAMIN FRANCISCO FARIAS VERA"/>
    <s v="16/01/2026"/>
    <s v="SEXTA"/>
    <x v="0"/>
    <s v="AV HUMIC ROOT - 20 L"/>
    <s v="Agrocomercial"/>
    <s v="Guía de Despacho Electrónica"/>
    <n v="156"/>
    <s v="LITROS"/>
    <n v="100"/>
    <n v="350000"/>
    <n v="3500"/>
    <s v="CLP"/>
    <s v="CHILE"/>
    <d v="2026-05-31T00:00:00"/>
    <s v="AV"/>
    <m/>
    <m/>
  </r>
  <r>
    <x v="0"/>
    <s v="21.974.115-4"/>
    <s v="BENJAMIN FRANCISCO FARIAS VERA"/>
    <s v="16/01/2026"/>
    <s v="SEXTA"/>
    <x v="0"/>
    <s v="AV ROOT MAX - 5 L"/>
    <s v="Agrocomercial"/>
    <s v="Guía de Despacho Electrónica"/>
    <n v="156"/>
    <s v="LITROS"/>
    <n v="10"/>
    <n v="100000"/>
    <n v="10000"/>
    <s v="CLP"/>
    <s v="CHILE"/>
    <d v="2026-05-31T00:00:00"/>
    <s v="AV"/>
    <m/>
    <m/>
  </r>
  <r>
    <x v="0"/>
    <s v="77.758.114-7"/>
    <s v="SOCIEDAD AGRÍCOLA COMERCIAL SIEMBRA SPA"/>
    <s v="16/01/2026"/>
    <s v="SEXTA"/>
    <x v="4"/>
    <s v="AV BIOSOLARIS - 1 L"/>
    <s v="Agrocomercial"/>
    <s v="Guía de Despacho Electrónica"/>
    <n v="157"/>
    <s v="LITROS"/>
    <n v="12"/>
    <n v="120000"/>
    <n v="10000"/>
    <s v="CLP"/>
    <s v="CHILE"/>
    <d v="2026-02-15T00:00:00"/>
    <s v="AV"/>
    <m/>
    <m/>
  </r>
  <r>
    <x v="0"/>
    <s v="77.758.114-7"/>
    <s v="SOCIEDAD AGRÍCOLA COMERCIAL SIEMBRA SPA"/>
    <s v="16/01/2026"/>
    <s v="SEXTA"/>
    <x v="4"/>
    <s v="AV BALANCE - 1 L"/>
    <s v="Agrocomercial"/>
    <s v="Guía de Despacho Electrónica"/>
    <n v="157"/>
    <s v="LITROS"/>
    <n v="6"/>
    <n v="54000"/>
    <n v="9000"/>
    <s v="CLP"/>
    <s v="CHILE"/>
    <d v="2026-02-15T00:00:00"/>
    <s v="AV"/>
    <m/>
    <m/>
  </r>
  <r>
    <x v="0"/>
    <s v="77.576.071-0"/>
    <s v="AGRICOLA E INVERSIONES VGV SPA"/>
    <s v="18/01/2026"/>
    <s v="QUINTA"/>
    <x v="1"/>
    <s v="AV PLUS POTASIO - 20 L"/>
    <s v="Agrocomercial"/>
    <s v="Guía de Despacho Electrónica"/>
    <n v="158"/>
    <s v="LITROS"/>
    <n v="100"/>
    <n v="270000"/>
    <n v="2700"/>
    <s v="CLP"/>
    <s v="CHILE"/>
    <d v="2026-05-15T00:00:00"/>
    <s v="AV"/>
    <m/>
    <m/>
  </r>
  <r>
    <x v="0"/>
    <s v="77.278.317-5"/>
    <s v="SOCIEDAD AGRICOLA CESEP LIMITADA"/>
    <s v="19/01/2026"/>
    <s v="SEXTA"/>
    <x v="4"/>
    <s v="AV AMIN - 5 L"/>
    <s v="Agrocomercial"/>
    <s v="Factura Electrónica"/>
    <n v="447"/>
    <s v="LITROS"/>
    <n v="5"/>
    <n v="30975"/>
    <n v="6195"/>
    <s v="CLP"/>
    <s v="CHILE"/>
    <d v="2026-05-15T00:00:00"/>
    <s v="AV"/>
    <m/>
    <m/>
  </r>
  <r>
    <x v="0"/>
    <s v="77.278.317-5"/>
    <s v="SOCIEDAD AGRICOLA CESEP LIMITADA"/>
    <s v="19/01/2026"/>
    <s v="SEXTA"/>
    <x v="4"/>
    <s v="AV PLUS ZINC - 5 L"/>
    <s v="Agrocomercial"/>
    <s v="Factura Electrónica"/>
    <n v="447"/>
    <s v="LITROS"/>
    <n v="5"/>
    <n v="17700"/>
    <n v="3540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AGNESIO - 5 L"/>
    <s v="Agrocomercial"/>
    <s v="Factura Electrónica"/>
    <n v="447"/>
    <s v="LITROS"/>
    <n v="5"/>
    <n v="17700"/>
    <n v="3540"/>
    <s v="CLP"/>
    <s v="CHILE"/>
    <d v="2026-01-19T00:00:00"/>
    <s v="AV"/>
    <m/>
    <m/>
  </r>
  <r>
    <x v="0"/>
    <s v="77.278.317-5"/>
    <s v="SOCIEDAD AGRICOLA CESEP LIMITADA"/>
    <s v="19/01/2026"/>
    <s v="SEXTA"/>
    <x v="4"/>
    <s v="AV BLOOM - 5 L"/>
    <s v="Agrocomercial"/>
    <s v="Factura Electrónica"/>
    <n v="447"/>
    <s v="LITROS"/>
    <n v="5"/>
    <n v="39830"/>
    <n v="7966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ANGANESO - 5 L"/>
    <s v="Agrocomercial"/>
    <s v="Factura Electrónica"/>
    <n v="447"/>
    <s v="LITROS"/>
    <n v="5"/>
    <n v="24790"/>
    <n v="4958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HIERRO - 5 L"/>
    <s v="Agrocomercial"/>
    <s v="Factura Electrónica"/>
    <n v="447"/>
    <s v="LITROS"/>
    <n v="5"/>
    <n v="17700"/>
    <n v="3540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ICRO MIX - 5 L"/>
    <s v="Agrocomercial"/>
    <s v="Factura Electrónica"/>
    <n v="447"/>
    <s v="LITROS"/>
    <n v="5"/>
    <n v="17700"/>
    <n v="3540"/>
    <s v="CLP"/>
    <s v="CHILE"/>
    <d v="2026-01-19T00:00:00"/>
    <s v="AV"/>
    <m/>
    <m/>
  </r>
  <r>
    <x v="0"/>
    <s v="13.542.282-7"/>
    <s v="FRANCISCO JAVIER CHAVES SAN MARTIN"/>
    <s v="19/01/2026"/>
    <s v="QUINTA"/>
    <x v="1"/>
    <s v="VECA AMIN SUGAR - 20 L"/>
    <s v="Agroveca"/>
    <s v="Factura Electrónica"/>
    <n v="448"/>
    <s v="LITROS"/>
    <n v="40"/>
    <n v="0"/>
    <n v="0"/>
    <s v="CLP"/>
    <s v="CHILE"/>
    <d v="2026-01-30T00:00:00"/>
    <s v="AV"/>
    <s v="GUIA AV 529"/>
    <d v="2025-02-18T00:00:00"/>
  </r>
  <r>
    <x v="0"/>
    <s v="13.542.282-7"/>
    <s v="FRANCISCO JAVIER CHAVES SAN MARTIN"/>
    <s v="19/01/2026"/>
    <s v="QUINTA"/>
    <x v="1"/>
    <s v="K-DEFEND MAX - 20 L"/>
    <s v="Agroveca"/>
    <s v="Factura Electrónica"/>
    <n v="448"/>
    <s v="LITROS"/>
    <n v="40"/>
    <n v="0"/>
    <n v="0"/>
    <s v="CLP"/>
    <s v="CHILE"/>
    <d v="2026-01-30T00:00:00"/>
    <s v="AV"/>
    <s v="GUIA AV 529"/>
    <d v="2025-02-18T00:00:00"/>
  </r>
  <r>
    <x v="0"/>
    <s v="6.482.678-6"/>
    <s v="MANUEL JESUS CHAVES CALDERON"/>
    <s v="19/01/2026"/>
    <s v="QUINTA"/>
    <x v="1"/>
    <s v="VECA AMIN SUGAR - 20 L"/>
    <s v="Agroveca"/>
    <s v="Factura Electrónica"/>
    <n v="449"/>
    <s v="LITROS"/>
    <n v="40"/>
    <n v="0"/>
    <n v="0"/>
    <s v="CLP"/>
    <s v="CHILE"/>
    <d v="2026-01-30T00:00:00"/>
    <s v="AV"/>
    <s v="GUIA AV 530"/>
    <d v="2025-02-18T00:00:00"/>
  </r>
  <r>
    <x v="0"/>
    <s v="6.482.678-6"/>
    <s v="MANUEL JESUS CHAVES CALDERON"/>
    <s v="19/01/2026"/>
    <s v="QUINTA"/>
    <x v="1"/>
    <s v="K-DEFEND MAX - 20 L"/>
    <s v="Agroveca"/>
    <s v="Factura Electrónica"/>
    <n v="449"/>
    <s v="LITROS"/>
    <n v="40"/>
    <n v="0"/>
    <n v="0"/>
    <s v="CLP"/>
    <s v="CHILE"/>
    <d v="2026-01-30T00:00:00"/>
    <s v="AV"/>
    <s v="GUIA AV 530"/>
    <d v="2025-02-18T00:00:00"/>
  </r>
  <r>
    <x v="0"/>
    <s v="76.442.085-3"/>
    <s v="AGRICOLA TUNICHE LIMITADA"/>
    <s v="19/01/2026"/>
    <s v="SEXTA"/>
    <x v="4"/>
    <s v="AV PLUS POTASIO - 20 L"/>
    <s v="Agroveca"/>
    <s v="Guía de Despacho Electrónica"/>
    <n v="159"/>
    <s v="LITROS"/>
    <n v="20"/>
    <n v="62000"/>
    <n v="3100"/>
    <s v="CLP"/>
    <s v="CHILE"/>
    <d v="2026-03-20T00:00:00"/>
    <s v="AV"/>
    <m/>
    <m/>
  </r>
  <r>
    <x v="0"/>
    <s v="76.442.085-3"/>
    <s v="AGRICOLA TUNICHE LIMITADA"/>
    <s v="19/01/2026"/>
    <s v="SEXTA"/>
    <x v="4"/>
    <s v="AV PLUS POTASIO - 5 L"/>
    <s v="Agroveca"/>
    <s v="Guía de Despacho Electrónica"/>
    <n v="159"/>
    <s v="LITROS"/>
    <n v="15"/>
    <n v="46500"/>
    <n v="3100"/>
    <s v="CLP"/>
    <s v="CHILE"/>
    <d v="2026-03-20T00:00:00"/>
    <s v="AV"/>
    <m/>
    <m/>
  </r>
  <r>
    <x v="0"/>
    <s v="76.442.085-3"/>
    <s v="AGRICOLA TUNICHE LIMITADA"/>
    <s v="19/01/2026"/>
    <s v="SEXTA"/>
    <x v="4"/>
    <s v="AV PLUS POTASIO - 1 L"/>
    <s v="Agroveca"/>
    <s v="Guía de Despacho Electrónica"/>
    <n v="159"/>
    <s v="LITROS"/>
    <n v="1"/>
    <n v="3100"/>
    <n v="3100"/>
    <s v="CLP"/>
    <s v="CHILE"/>
    <d v="2026-03-20T00:00:00"/>
    <s v="AV"/>
    <m/>
    <m/>
  </r>
  <r>
    <x v="0"/>
    <s v="76.442.085-3"/>
    <s v="AGRICOLA TUNICHE LIMITADA"/>
    <s v="19/01/2026"/>
    <s v="SEXTA"/>
    <x v="4"/>
    <s v="AV PLUS MAGNESIO - 5 L"/>
    <s v="Agroveca"/>
    <s v="Guía de Despacho Electrónica"/>
    <n v="159"/>
    <s v="LITROS"/>
    <n v="5"/>
    <n v="15500"/>
    <n v="3100"/>
    <s v="CLP"/>
    <s v="CHILE"/>
    <d v="2026-03-20T00:00:00"/>
    <s v="AV"/>
    <m/>
    <m/>
  </r>
  <r>
    <x v="0"/>
    <s v="76.442.085-3"/>
    <s v="AGRICOLA TUNICHE LIMITADA"/>
    <s v="19/01/2026"/>
    <s v="SEXTA"/>
    <x v="4"/>
    <s v="AV PLUS MAGNESIO - 1 L"/>
    <s v="Agroveca"/>
    <s v="Guía de Despacho Electrónica"/>
    <n v="159"/>
    <s v="LITROS"/>
    <n v="3"/>
    <n v="9300"/>
    <n v="3100"/>
    <s v="CLP"/>
    <s v="CHILE"/>
    <d v="2026-03-20T00:00:00"/>
    <s v="AV"/>
    <m/>
    <m/>
  </r>
  <r>
    <x v="0"/>
    <s v="96.661.820-5"/>
    <s v="COMERCIAL COPELEC SA"/>
    <s v="19/01/2026"/>
    <s v="ÑUBLE"/>
    <x v="2"/>
    <s v="ALGAP 30 - 1 L"/>
    <s v="Agroveca"/>
    <s v="Guía de Despacho Electrónica"/>
    <n v="160"/>
    <s v="LTS"/>
    <n v="12"/>
    <n v="110100"/>
    <n v="9175"/>
    <s v="CLP"/>
    <s v="CHILE"/>
    <d v="2026-02-18T00:00:00"/>
    <s v="AV"/>
    <m/>
    <m/>
  </r>
  <r>
    <x v="0"/>
    <s v="96.661.820-5"/>
    <s v="COMERCIAL COPELEC SA"/>
    <s v="19/01/2026"/>
    <s v="ÑUBLE"/>
    <x v="2"/>
    <s v="VECA NUTRI MIX - 1 L"/>
    <s v="Agroveca"/>
    <s v="Guía de Despacho Electrónica"/>
    <n v="160"/>
    <s v="LTS"/>
    <n v="24"/>
    <n v="146160"/>
    <n v="6090"/>
    <s v="CLP"/>
    <s v="CHILE"/>
    <d v="2026-02-18T00:00:00"/>
    <s v="AV"/>
    <m/>
    <m/>
  </r>
  <r>
    <x v="0"/>
    <s v="96.661.820-5"/>
    <s v="COMERCIAL COPELEC SA"/>
    <s v="19/01/2026"/>
    <s v="ÑUBLE"/>
    <x v="2"/>
    <s v="VECA AMIN - 1 L"/>
    <s v="Agroveca"/>
    <s v="Guía de Despacho Electrónica"/>
    <n v="160"/>
    <s v="LTS"/>
    <n v="36"/>
    <n v="330300"/>
    <n v="9175"/>
    <s v="CLP"/>
    <s v="CHILE"/>
    <d v="2026-02-18T00:00:00"/>
    <s v="AV"/>
    <m/>
    <m/>
  </r>
  <r>
    <x v="0"/>
    <s v="96.661.820-5"/>
    <s v="COMERCIAL COPELEC SA"/>
    <s v="19/01/2026"/>
    <s v="ÑUBLE"/>
    <x v="2"/>
    <s v="VECA PLUS MAGNESIO - 1 L"/>
    <s v="Agroveca"/>
    <s v="Guía de Despacho Electrónica"/>
    <n v="160"/>
    <s v="LTS"/>
    <n v="12"/>
    <n v="73392"/>
    <n v="6116"/>
    <s v="CLP"/>
    <s v="CHILE"/>
    <d v="2026-02-18T00:00:00"/>
    <s v="AV"/>
    <m/>
    <m/>
  </r>
  <r>
    <x v="0"/>
    <s v="96.661.820-5"/>
    <s v="COMERCIAL COPELEC SA"/>
    <s v="19/01/2026"/>
    <s v="ÑUBLE"/>
    <x v="2"/>
    <s v="VECA PLUS POTASIO - 1 L"/>
    <s v="Agroveca"/>
    <s v="Guía de Despacho Electrónica"/>
    <n v="160"/>
    <s v="LTS"/>
    <n v="48"/>
    <n v="293568"/>
    <n v="6116"/>
    <s v="CLP"/>
    <s v="CHILE"/>
    <d v="2026-02-18T00:00:00"/>
    <s v="AV"/>
    <m/>
    <m/>
  </r>
  <r>
    <x v="0"/>
    <s v="96.661.820-5"/>
    <s v="COMERCIAL COPELEC SA"/>
    <s v="19/01/2026"/>
    <s v="ÑUBLE"/>
    <x v="2"/>
    <s v="VECA PLUS CALCIO BORO - 1 L"/>
    <s v="Agroveca"/>
    <s v="Guía de Despacho Electrónica"/>
    <n v="160"/>
    <s v="LTS"/>
    <n v="36"/>
    <n v="242208"/>
    <n v="6728"/>
    <s v="CLP"/>
    <s v="CHILE"/>
    <d v="2026-02-18T00:00:00"/>
    <s v="AV"/>
    <m/>
    <m/>
  </r>
  <r>
    <x v="0"/>
    <s v="76.442.085-3"/>
    <s v="AGRICOLA TUNICHE LIMITADA"/>
    <s v="20/01/2026"/>
    <s v="SEXTA"/>
    <x v="4"/>
    <s v="VECA  PLUS MAGNESIO x 5LT"/>
    <s v="Agroveca"/>
    <s v="Factura Electrónica"/>
    <n v="450"/>
    <s v="LTS"/>
    <n v="15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 PLUS MAGNESIO x 1LT"/>
    <s v="Agroveca"/>
    <s v="Factura Electrónica"/>
    <n v="450"/>
    <s v="LTS"/>
    <n v="1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PLUS POTASIO x 20LT"/>
    <s v="Agroveca"/>
    <s v="Factura Electrónica"/>
    <n v="450"/>
    <s v="LTS"/>
    <n v="20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PLUS POTASIO x 5LT"/>
    <s v="Agroveca"/>
    <s v="Factura Electrónica"/>
    <n v="450"/>
    <s v="LTS"/>
    <n v="10"/>
    <n v="0"/>
    <n v="0"/>
    <s v="CLP"/>
    <s v="CHILE"/>
    <d v="2026-02-28T00:00:00"/>
    <s v="AV"/>
    <s v="GUIA 125"/>
    <d v="2025-12-29T00:00:00"/>
  </r>
  <r>
    <x v="0"/>
    <s v="78.061.253-3"/>
    <s v="AGRICOLA DON PEDRO SPA"/>
    <s v="20/01/2026"/>
    <s v="METROPOLITANA"/>
    <x v="0"/>
    <s v="AV ALGAP 30 - 20 L"/>
    <s v="Agrocomercial"/>
    <s v="Factura Electrónica"/>
    <n v="451"/>
    <s v="LITROS"/>
    <n v="20"/>
    <n v="80000"/>
    <n v="4000"/>
    <s v="CLP"/>
    <s v="CHILE"/>
    <d v="2026-04-20T00:00:00"/>
    <s v="AV"/>
    <m/>
    <m/>
  </r>
  <r>
    <x v="0"/>
    <s v="78.061.253-3"/>
    <s v="AGRICOLA DON PEDRO SPA"/>
    <s v="20/01/2026"/>
    <s v="METROPOLITANA"/>
    <x v="0"/>
    <s v="AV ALGAP 30 - 5 L"/>
    <s v="Agrocomercial"/>
    <s v="Factura Electrónica"/>
    <n v="451"/>
    <s v="LITROS"/>
    <n v="10"/>
    <n v="40000"/>
    <n v="4000"/>
    <s v="CLP"/>
    <s v="CHILE"/>
    <d v="2026-04-20T00:00:00"/>
    <s v="AV"/>
    <m/>
    <m/>
  </r>
  <r>
    <x v="0"/>
    <s v="78.061.253-3"/>
    <s v="AGRICOLA DON PEDRO SPA"/>
    <s v="20/01/2026"/>
    <s v="METROPOLITANA"/>
    <x v="0"/>
    <s v="AV SILFORTE - 20 L"/>
    <s v="Agrocomercial"/>
    <s v="Factura Electrónica"/>
    <n v="451"/>
    <s v="LITROS"/>
    <n v="120"/>
    <n v="1404000"/>
    <n v="11700"/>
    <s v="CLP"/>
    <s v="CHILE"/>
    <d v="2026-04-20T00:00:00"/>
    <s v="AV"/>
    <m/>
    <m/>
  </r>
  <r>
    <x v="0"/>
    <s v="78.061.253-3"/>
    <s v="AGRICOLA DON PEDRO SPA"/>
    <s v="20/01/2026"/>
    <s v="METROPOLITANA"/>
    <x v="0"/>
    <s v="AV CYTO PRIME - 5 L"/>
    <s v="Agrocomercial"/>
    <s v="Factura Electrónica"/>
    <n v="451"/>
    <s v="LITROS"/>
    <n v="10"/>
    <n v="149000"/>
    <n v="14900"/>
    <s v="CLP"/>
    <s v="CHILE"/>
    <d v="2026-04-20T00:00:00"/>
    <s v="AV"/>
    <m/>
    <m/>
  </r>
  <r>
    <x v="0"/>
    <s v="78.223.261-4"/>
    <s v="AGRICOLA TOMATERRA SPA"/>
    <s v="20/01/2026"/>
    <s v="QUINTA"/>
    <x v="1"/>
    <s v="AV ROOT MAX - 20 L"/>
    <s v="Agrocomercial"/>
    <s v="Factura Electrónica"/>
    <n v="452"/>
    <s v="LITROS"/>
    <n v="20"/>
    <n v="170000"/>
    <n v="8500"/>
    <s v="CLP"/>
    <s v="CHILE"/>
    <d v="2026-01-20T00:00:00"/>
    <s v="AV"/>
    <m/>
    <m/>
  </r>
  <r>
    <x v="0"/>
    <s v="5.280.371-3"/>
    <s v="JUAN FRANCISCO VARGAS MANCILLA"/>
    <s v="20/01/2026"/>
    <s v="LOS LAGOS"/>
    <x v="3"/>
    <s v="AV PLUS POTASIO - 5 L"/>
    <s v="Agrocomercial"/>
    <s v="Factura Electrónica"/>
    <n v="453"/>
    <s v="LITROS"/>
    <n v="10"/>
    <n v="53320"/>
    <n v="5332"/>
    <s v="CLP"/>
    <s v="CHILE"/>
    <d v="2026-03-21T00:00:00"/>
    <s v="AV"/>
    <m/>
    <m/>
  </r>
  <r>
    <x v="0"/>
    <s v="5.280.371-3"/>
    <s v="JUAN FRANCISCO VARGAS MANCILLA"/>
    <s v="20/01/2026"/>
    <s v="LOS LAGOS"/>
    <x v="3"/>
    <s v="AV PLUS POTASIO - 1 L"/>
    <s v="Agrocomercial"/>
    <s v="Factura Electrónica"/>
    <n v="453"/>
    <s v="LITROS"/>
    <n v="2"/>
    <n v="14219"/>
    <n v="7109.5"/>
    <s v="CLP"/>
    <s v="CHILE"/>
    <d v="2026-03-21T00:00:00"/>
    <s v="AV"/>
    <m/>
    <m/>
  </r>
  <r>
    <x v="0"/>
    <s v="5.280.371-3"/>
    <s v="JUAN FRANCISCO VARGAS MANCILLA"/>
    <s v="20/01/2026"/>
    <s v="LOS LAGOS"/>
    <x v="3"/>
    <s v="AV PLUS CALCIO BORO - 5 L"/>
    <s v="Agrocomercial"/>
    <s v="Factura Electrónica"/>
    <n v="453"/>
    <s v="LITROS"/>
    <n v="5"/>
    <n v="31103"/>
    <n v="6220.6"/>
    <s v="CLP"/>
    <s v="CHILE"/>
    <d v="2026-03-21T00:00:00"/>
    <s v="AV"/>
    <m/>
    <m/>
  </r>
  <r>
    <x v="0"/>
    <s v="5.280.371-3"/>
    <s v="JUAN FRANCISCO VARGAS MANCILLA"/>
    <s v="20/01/2026"/>
    <s v="LOS LAGOS"/>
    <x v="3"/>
    <s v="AV MOVE - 5 L"/>
    <s v="Agrocomercial"/>
    <s v="Factura Electrónica"/>
    <n v="453"/>
    <s v="LITROS"/>
    <n v="5"/>
    <n v="44433"/>
    <n v="8886.6"/>
    <s v="CLP"/>
    <s v="CHILE"/>
    <d v="2026-03-21T00:00:00"/>
    <s v="AV"/>
    <m/>
    <m/>
  </r>
  <r>
    <x v="0"/>
    <s v="13.535.138-5"/>
    <s v="MARCELA ANDREA DUBO ORDENES"/>
    <s v="20/01/2026"/>
    <s v="CUARTA"/>
    <x v="0"/>
    <s v="BIOVECA FOLIAR - 250 GRS"/>
    <s v="Agrocomercial"/>
    <s v="Factura Electrónica"/>
    <n v="454"/>
    <s v="UN"/>
    <n v="2"/>
    <n v="56000"/>
    <n v="28000"/>
    <s v="CLP"/>
    <s v="CHILE"/>
    <d v="2026-01-27T00:00:00"/>
    <s v="AV"/>
    <m/>
    <m/>
  </r>
  <r>
    <x v="0"/>
    <s v="11.937.873-7"/>
    <s v="MARITZA DEL PILAR DUBO ORDENES"/>
    <s v="20/01/2026"/>
    <s v="CUARTA"/>
    <x v="0"/>
    <s v="BIOVECA FOLIAR 250 GRS"/>
    <s v="Agrocomercial"/>
    <s v="Factura Electrónica"/>
    <n v="455"/>
    <s v="UN"/>
    <n v="7"/>
    <n v="196000"/>
    <n v="28000"/>
    <s v="CLP"/>
    <s v="CHILE"/>
    <d v="2026-03-20T00:00:00"/>
    <s v="AV"/>
    <m/>
    <m/>
  </r>
  <r>
    <x v="0"/>
    <s v="11.937.873-7"/>
    <s v="MARITZA DEL PILAR DUBO ORDENES"/>
    <s v="20/01/2026"/>
    <s v="CUARTA"/>
    <x v="0"/>
    <s v="VECASIL FORTE X 20LT"/>
    <s v="Agroveca"/>
    <s v="Factura Electrónica"/>
    <n v="455"/>
    <s v="LITROS"/>
    <n v="20"/>
    <n v="228800"/>
    <n v="11440"/>
    <s v="CLP"/>
    <s v="CHILE"/>
    <d v="2026-03-20T00:00:00"/>
    <s v="AV"/>
    <m/>
    <m/>
  </r>
  <r>
    <x v="0"/>
    <s v="11.937.873-7"/>
    <s v="MARITZA DEL PILAR DUBO ORDENES"/>
    <s v="20/01/2026"/>
    <s v="CUARTA"/>
    <x v="0"/>
    <s v="AV MICROMIX X 20LT"/>
    <s v="Agroveca"/>
    <s v="Factura Electrónica"/>
    <n v="455"/>
    <s v="LITROS"/>
    <n v="20"/>
    <n v="96000"/>
    <n v="4800"/>
    <s v="CLP"/>
    <s v="CHILE"/>
    <d v="2026-03-20T00:00:00"/>
    <s v="AV"/>
    <m/>
    <m/>
  </r>
  <r>
    <x v="0"/>
    <s v="77.135.740-7"/>
    <s v="RAUL JOFRE Y COMPAQIA LIMITADA"/>
    <s v="21/01/2026"/>
    <s v="SEXTA"/>
    <x v="4"/>
    <s v="VECA PLUS POTASIO X 1LT"/>
    <s v="Agroveca"/>
    <s v="Factura Electrónica"/>
    <n v="456"/>
    <s v="LITROS"/>
    <n v="11"/>
    <n v="59730"/>
    <n v="5430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POTASIO X 5LT"/>
    <s v="Agroveca"/>
    <s v="Factura Electrónica"/>
    <n v="456"/>
    <s v="LITROS"/>
    <n v="20"/>
    <n v="81460"/>
    <n v="4073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MAGNESIO X 1LT"/>
    <s v="Agroveca"/>
    <s v="Factura Electrónica"/>
    <n v="456"/>
    <s v="LITROS"/>
    <n v="7"/>
    <n v="38010"/>
    <n v="5430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MAGNESIO X 5LT"/>
    <s v="Agroveca"/>
    <s v="Factura Electrónica"/>
    <n v="456"/>
    <s v="LITROS"/>
    <n v="5"/>
    <n v="20365"/>
    <n v="4073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X 1LT"/>
    <s v="Agroveca"/>
    <s v="Factura Electrónica"/>
    <n v="456"/>
    <s v="LITROS"/>
    <n v="5"/>
    <n v="27150"/>
    <n v="5430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X 5LT"/>
    <s v="Agroveca"/>
    <s v="Factura Electrónica"/>
    <n v="456"/>
    <s v="LITROS"/>
    <n v="5"/>
    <n v="20365"/>
    <n v="4073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BORO_x0009_X 5LT"/>
    <s v="Agroveca"/>
    <s v="Factura Electrónica"/>
    <n v="456"/>
    <s v="LITROS"/>
    <n v="10"/>
    <n v="47510"/>
    <n v="4751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ZINC X 5 LT"/>
    <s v="Agroveca"/>
    <s v="Factura Electrónica"/>
    <n v="456"/>
    <s v="LITROS"/>
    <n v="5"/>
    <n v="20365"/>
    <n v="4073"/>
    <s v="CLP"/>
    <s v="CHILE"/>
    <d v="2026-03-30T00:00:00"/>
    <s v="AV"/>
    <m/>
    <m/>
  </r>
  <r>
    <x v="0"/>
    <s v="77.135.740-7"/>
    <s v="RAUL JOFRE Y COMPAQIA LIMITADA"/>
    <s v="21/01/2026"/>
    <s v="SEXTA"/>
    <x v="4"/>
    <s v="VECA ROOT MAX X 1LT"/>
    <s v="Agroveca"/>
    <s v="Factura Electrónica"/>
    <n v="456"/>
    <s v="LITROS"/>
    <n v="4"/>
    <n v="29684"/>
    <n v="7421"/>
    <s v="CLP"/>
    <s v="CHILE"/>
    <d v="2026-03-30T00:00:00"/>
    <s v="AV"/>
    <m/>
    <m/>
  </r>
  <r>
    <x v="0"/>
    <s v="77.135.740-7"/>
    <s v="RAUL JOFRE Y COMPAQIA LIMITADA"/>
    <s v="21/01/2026"/>
    <s v="SEXTA"/>
    <x v="4"/>
    <s v="PK DEFENDER MAX X 5LT"/>
    <s v="Agroveca"/>
    <s v="Factura Electrónica"/>
    <n v="456"/>
    <s v="LITROS"/>
    <n v="5"/>
    <n v="27150"/>
    <n v="5430"/>
    <s v="CLP"/>
    <s v="CHILE"/>
    <d v="2026-03-30T00:00:00"/>
    <s v="AV"/>
    <m/>
    <m/>
  </r>
  <r>
    <x v="0"/>
    <s v="77.317.590-K"/>
    <s v="SOCIEDAD AGRICOLA SAN FRANCISCO"/>
    <s v="21/01/2026"/>
    <s v="SEXTA"/>
    <x v="4"/>
    <s v="VECA AMIN SUGAR X 1LT"/>
    <s v="Agroveca"/>
    <s v="Factura Electrónica"/>
    <n v="457"/>
    <s v="LITROS"/>
    <n v="7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SUGAR X 5LT"/>
    <s v="Agroveca"/>
    <s v="Factura Electrónica"/>
    <n v="457"/>
    <s v="LITROS"/>
    <n v="4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1LT"/>
    <s v="Agroveca"/>
    <s v="Factura Electrónica"/>
    <n v="457"/>
    <s v="LITROS"/>
    <n v="2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5LT"/>
    <s v="Agroveca"/>
    <s v="Factura Electrónica"/>
    <n v="457"/>
    <s v="LITROS"/>
    <n v="1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HIERRO X 5LT"/>
    <s v="Agroveca"/>
    <s v="Factura Electrónica"/>
    <n v="457"/>
    <s v="LITROS"/>
    <n v="2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1LT"/>
    <s v="Agroveca"/>
    <s v="Factura Electrónica"/>
    <n v="457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5LT"/>
    <s v="Agroveca"/>
    <s v="Factura Electrónica"/>
    <n v="457"/>
    <s v="LITROS"/>
    <n v="3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ROOT MAX X 1LT"/>
    <s v="Agroveca"/>
    <s v="Factura Electrónica"/>
    <n v="457"/>
    <s v="LITROS"/>
    <n v="3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ROOT MAX X 5LT"/>
    <s v="Agroveca"/>
    <s v="Factura Electrónica"/>
    <n v="457"/>
    <s v="LITROS"/>
    <n v="1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1LT"/>
    <s v="Agroveca"/>
    <s v="Factura Electrónica"/>
    <n v="457"/>
    <s v="LITROS"/>
    <n v="3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5LT"/>
    <s v="Agroveca"/>
    <s v="Factura Electrónica"/>
    <n v="457"/>
    <s v="LITROS"/>
    <n v="2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1LT"/>
    <s v="Agroveca"/>
    <s v="Factura Electrónica"/>
    <n v="457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5LT"/>
    <s v="Agroveca"/>
    <s v="Factura Electrónica"/>
    <n v="457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1LT"/>
    <s v="Agroveca"/>
    <s v="Factura Electrónica"/>
    <n v="457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5LT"/>
    <s v="Agroveca"/>
    <s v="Factura Electrónica"/>
    <n v="457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1LT"/>
    <s v="Agroveca"/>
    <s v="Factura Electrónica"/>
    <n v="457"/>
    <s v="LITROS"/>
    <n v="6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5LT"/>
    <s v="Agroveca"/>
    <s v="Factura Electrónica"/>
    <n v="457"/>
    <s v="LITROS"/>
    <n v="4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7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5LT"/>
    <s v="Agroveca"/>
    <s v="Factura Electrónica"/>
    <n v="457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20LT"/>
    <s v="Agroveca"/>
    <s v="Factura Electrónica"/>
    <n v="457"/>
    <s v="LITROS"/>
    <n v="10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7"/>
    <s v="LITROS"/>
    <n v="8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CALCIO X 1LT"/>
    <s v="Agroveca"/>
    <s v="Factura Electrónica"/>
    <n v="458"/>
    <s v="LITROS"/>
    <n v="2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CALCIO X 5LT"/>
    <s v="Agroveca"/>
    <s v="Factura Electrónica"/>
    <n v="458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C HIERRO X 5LT"/>
    <s v="Agroveca"/>
    <s v="Factura Electrónica"/>
    <n v="458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SIL FORTE X 1LT"/>
    <s v="Agroveca"/>
    <s v="Factura Electrónica"/>
    <n v="458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20LT"/>
    <s v="Agroveca"/>
    <s v="Factura Electrónica"/>
    <n v="458"/>
    <s v="LITROS"/>
    <n v="2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8"/>
    <s v="LITROS"/>
    <n v="8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5LT"/>
    <s v="Agroveca"/>
    <s v="Factura Electrónica"/>
    <n v="458"/>
    <s v="LITROS"/>
    <n v="1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1LT"/>
    <s v="Agroveca"/>
    <s v="Factura Electrónica"/>
    <n v="458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5LT"/>
    <s v="Agroveca"/>
    <s v="Factura Electrónica"/>
    <n v="458"/>
    <s v="LITROS"/>
    <n v="2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20 LT"/>
    <s v="Agroveca"/>
    <s v="Factura Electrónica"/>
    <n v="458"/>
    <s v="LITROS"/>
    <n v="4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1LT"/>
    <s v="Agroveca"/>
    <s v="Factura Electrónica"/>
    <n v="458"/>
    <s v="LITROS"/>
    <n v="9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8"/>
    <s v="LITROS"/>
    <n v="6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ANCE X 5LT"/>
    <s v="Agroveca"/>
    <s v="Factura Electrónica"/>
    <n v="458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5LT"/>
    <s v="Agroveca"/>
    <s v="Factura Electrónica"/>
    <n v="459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5LT"/>
    <s v="Agroveca"/>
    <s v="Factura Electrónica"/>
    <n v="459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9"/>
    <s v="LITROS"/>
    <n v="2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1LT"/>
    <s v="Agroveca"/>
    <s v="Factura Electrónica"/>
    <n v="459"/>
    <s v="LITROS"/>
    <n v="3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5LT"/>
    <s v="Agroveca"/>
    <s v="Factura Electrónica"/>
    <n v="459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5LT"/>
    <s v="Agroveca"/>
    <s v="Factura Electrónica"/>
    <n v="459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9"/>
    <s v="LITROS"/>
    <n v="1"/>
    <n v="0"/>
    <n v="0"/>
    <s v="CLP"/>
    <s v="CHILE"/>
    <d v="2026-04-30T00:00:00"/>
    <s v="AV"/>
    <m/>
    <m/>
  </r>
  <r>
    <x v="0"/>
    <s v="78.168.038-9"/>
    <s v="INSUMOS AGRICOLAS RAICES DEL CAMPO SPA"/>
    <s v="21/01/2026"/>
    <s v="METROPOLITANA"/>
    <x v="3"/>
    <s v="VECA MAX FULVIC 45% - 20 L"/>
    <s v="Agroveca"/>
    <s v="Factura Electrónica"/>
    <n v="460"/>
    <s v="LTS"/>
    <n v="200"/>
    <n v="0"/>
    <n v="0"/>
    <s v="CLP"/>
    <s v="CHILE"/>
    <d v="2026-01-23T00:00:00"/>
    <s v="AV"/>
    <s v="GUIA N 74"/>
    <d v="2025-11-07T00:00:00"/>
  </r>
  <r>
    <x v="0"/>
    <s v="78.168.038-9"/>
    <s v="INSUMOS AGRICOLAS RAICES DEL CAMPO SPA"/>
    <s v="21/01/2026"/>
    <s v="METROPOLITANA"/>
    <x v="3"/>
    <s v="BIOVECA RAIZ - 500 GR"/>
    <s v="Agroveca"/>
    <s v="Factura Electrónica"/>
    <n v="460"/>
    <s v="UN"/>
    <n v="15"/>
    <n v="0"/>
    <n v="0"/>
    <s v="CLP"/>
    <s v="CHILE"/>
    <d v="2026-01-23T00:00:00"/>
    <s v="AV"/>
    <s v="GUIA N 74"/>
    <d v="2025-11-07T00:00:00"/>
  </r>
  <r>
    <x v="0"/>
    <s v="78.168.038-9"/>
    <s v="INSUMOS AGRICOLAS RAICES DEL CAMPO SPA"/>
    <s v="21/01/2026"/>
    <s v="METROPOLITANA"/>
    <x v="3"/>
    <s v="AV BIOVECA RAIZ - 500 GR"/>
    <s v="Agrocomercial"/>
    <s v="Guía de Despacho Electrónica"/>
    <n v="161"/>
    <s v="UNIDAD"/>
    <n v="20"/>
    <n v="351368"/>
    <n v="17568.400000000001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BLOOM - 5 L"/>
    <s v="Agrocomercial"/>
    <s v="Guía de Despacho Electrónica"/>
    <n v="161"/>
    <s v="LITROS"/>
    <n v="40"/>
    <n v="355816"/>
    <n v="8895.4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BLOOM - 1 L"/>
    <s v="Agrocomercial"/>
    <s v="Guía de Despacho Electrónica"/>
    <n v="161"/>
    <s v="LITROS"/>
    <n v="12"/>
    <n v="128094"/>
    <n v="10674.5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MAX FULVIC 45% - 20 L"/>
    <s v="Agrocomercial"/>
    <s v="Guía de Despacho Electrónica"/>
    <n v="161"/>
    <s v="LITROS"/>
    <n v="120"/>
    <n v="512375"/>
    <n v="4269.791666666667"/>
    <s v="CLP"/>
    <s v="CHILE"/>
    <d v="2026-03-22T00:00:00"/>
    <s v="AV"/>
    <m/>
    <m/>
  </r>
  <r>
    <x v="0"/>
    <s v="76.412.827-3"/>
    <s v="FRUTICOLA RIO BLANCO SPA"/>
    <s v="22/01/2026"/>
    <s v="METROPOLITANA"/>
    <x v="0"/>
    <s v="AV ROOT MAX - 20 L"/>
    <s v="Agroveca"/>
    <s v="Guía de Despacho Electrónica"/>
    <n v="162"/>
    <s v="LITROS"/>
    <n v="40"/>
    <n v="320000"/>
    <n v="8000"/>
    <s v="CLP"/>
    <s v="CHILE"/>
    <d v="2026-04-30T00:00:00"/>
    <s v="AV"/>
    <m/>
    <m/>
  </r>
  <r>
    <x v="0"/>
    <s v="78.148.834-8"/>
    <s v="COMERCIALIZADORA LA COLONIA LIMITADA"/>
    <s v="22/01/2026"/>
    <s v="QUINTA"/>
    <x v="1"/>
    <s v="AV AMIN SUGAR - 20 L"/>
    <s v="Agrocomercial"/>
    <s v="Guía de Despacho Electrónica"/>
    <n v="164"/>
    <s v="LITROS"/>
    <n v="500"/>
    <n v="2125000"/>
    <n v="4250"/>
    <s v="CLP"/>
    <s v="CHILE"/>
    <d v="2026-05-19T00:00:00"/>
    <s v="AV"/>
    <m/>
    <m/>
  </r>
  <r>
    <x v="0"/>
    <s v="77.650.227-8"/>
    <s v="SOCIEDAD AGRICOLA COMERCIAL LA HIGUERA SPA"/>
    <s v="22/01/2026"/>
    <s v="SEXTA"/>
    <x v="3"/>
    <s v="AV MOVE - 5 L"/>
    <s v="Agrocomercial"/>
    <s v="Guía de Despacho Electrónica"/>
    <n v="165"/>
    <s v="LITROS"/>
    <n v="5"/>
    <n v="43911"/>
    <n v="8782.2000000000007"/>
    <s v="CLP"/>
    <s v="CHILE"/>
    <d v="2026-03-23T00:00:00"/>
    <s v="AV"/>
    <m/>
    <m/>
  </r>
  <r>
    <x v="0"/>
    <s v="6.725.491-0"/>
    <s v="JOSE CRISTOBAL GONZALEZ CORREA"/>
    <s v="23/01/2026"/>
    <s v="SEXTA"/>
    <x v="4"/>
    <s v="AV PLUS POTASIO - 20 L"/>
    <s v="Agroveca"/>
    <s v="Factura Electrónica"/>
    <n v="461"/>
    <s v="LITROS"/>
    <n v="100"/>
    <n v="264000"/>
    <n v="2640"/>
    <s v="CLP"/>
    <s v="CHILE"/>
    <d v="2026-02-14T00:00:00"/>
    <s v="AV"/>
    <m/>
    <m/>
  </r>
  <r>
    <x v="0"/>
    <s v="17.504.838-3"/>
    <s v="ALUDI ALEJANDRA REYES PEREZ"/>
    <s v="23/01/2026"/>
    <s v="SEXTA"/>
    <x v="4"/>
    <s v="AV15 40-20 - 20 L"/>
    <s v="Agroveca"/>
    <s v="Factura Electrónica"/>
    <n v="462"/>
    <s v="LITROS"/>
    <n v="4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ROOT MAX - 20 L"/>
    <s v="Agroveca"/>
    <s v="Factura Electrónica"/>
    <n v="462"/>
    <s v="LITROS"/>
    <n v="4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HUMIC ROOT - 20 L"/>
    <s v="Agroveca"/>
    <s v="Factura Electrónica"/>
    <n v="462"/>
    <s v="LITROS"/>
    <n v="2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ALGAP 30 - 20 L"/>
    <s v="Agroveca"/>
    <s v="Factura Electrónica"/>
    <n v="462"/>
    <s v="LITROS"/>
    <n v="20"/>
    <n v="0"/>
    <n v="0"/>
    <s v="CLP"/>
    <s v="CHILE"/>
    <d v="2026-01-23T00:00:00"/>
    <s v="AV"/>
    <s v="GUIA N 169"/>
    <d v="2026-01-23T00:00:00"/>
  </r>
  <r>
    <x v="0"/>
    <s v="96.661.820-5"/>
    <s v="COMERCIAL COPELEC SA"/>
    <s v="23/01/2026"/>
    <s v="ÑUBLE"/>
    <x v="2"/>
    <s v="ALGAP 30 - 1 L"/>
    <s v="Agroveca"/>
    <s v="Factura Electrónica"/>
    <n v="463"/>
    <s v="LTS"/>
    <n v="12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NUTRI MIX - 1 L"/>
    <s v="Agroveca"/>
    <s v="Factura Electrónica"/>
    <n v="463"/>
    <s v="LTS"/>
    <n v="24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AMIN - 1 L"/>
    <s v="Agroveca"/>
    <s v="Factura Electrónica"/>
    <n v="463"/>
    <s v="LTS"/>
    <n v="36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MAGNESIO - 1 L"/>
    <s v="Agroveca"/>
    <s v="Factura Electrónica"/>
    <n v="463"/>
    <s v="LTS"/>
    <n v="12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POTASIO - 1 L"/>
    <s v="Agroveca"/>
    <s v="Factura Electrónica"/>
    <n v="463"/>
    <s v="LTS"/>
    <n v="48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CALCIO BORO - 1 L"/>
    <s v="Agroveca"/>
    <s v="Factura Electrónica"/>
    <n v="463"/>
    <s v="LTS"/>
    <n v="36"/>
    <n v="0"/>
    <n v="0"/>
    <s v="CLP"/>
    <s v="CHILE"/>
    <d v="2026-02-22T00:00:00"/>
    <s v="AV"/>
    <s v="GUIA N 160"/>
    <d v="2026-01-19T00:00:00"/>
  </r>
  <r>
    <x v="0"/>
    <s v="77.458.933-3"/>
    <s v="VIVERO PARQUE LANTAÑO SPA"/>
    <s v="23/01/2026"/>
    <s v="ÑUBLE"/>
    <x v="2"/>
    <s v="BIOPOTASICO 500CC GATILLO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FUNGISTOP 500CC GATILLO"/>
    <s v="Agrocomercial"/>
    <s v="Factura Electrónica"/>
    <n v="464"/>
    <s v="UNIDAD"/>
    <n v="3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RAIZ 500CC GATILLO"/>
    <s v="Agrocomercial"/>
    <s v="Factura Electrónica"/>
    <n v="464"/>
    <s v="UNIDAD"/>
    <n v="2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SILFORTEM 500 CC GATILLO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NUTRAMIX 500CC GATILLO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BALANCE 500CC GATILLO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TERRAPULSE CONC. 200 CC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BIOPOTASICO CONC. 200CC"/>
    <s v="Agrocomercial"/>
    <s v="Factura Electrónica"/>
    <n v="464"/>
    <s v="UNIDAD"/>
    <n v="2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FUNGISTOP CONC. 200CC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BIORAIZ - 20 GR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6.412.827-3"/>
    <s v="FRUTICOLA RIO BLANCO SPA"/>
    <s v="23/01/2026"/>
    <s v="METROPOLITANA"/>
    <x v="0"/>
    <s v="AV MOVE - 20 L"/>
    <s v="Agrocomercial"/>
    <s v="Factura Electrónica"/>
    <n v="465"/>
    <s v="LITROS"/>
    <n v="80"/>
    <n v="520000"/>
    <n v="6500"/>
    <s v="CLP"/>
    <s v="CHILE"/>
    <d v="2026-05-30T00:00:00"/>
    <s v="AV"/>
    <m/>
    <m/>
  </r>
  <r>
    <x v="0"/>
    <s v="76.044.123-6"/>
    <s v="AGRICOLA EL TOQUI LIMITADA"/>
    <s v="23/01/2026"/>
    <s v="SEXTA"/>
    <x v="4"/>
    <s v="AV MOVE - 20 L"/>
    <s v="Agroveca"/>
    <s v="Guía de Despacho Electrónica"/>
    <n v="166"/>
    <s v="LITROS"/>
    <n v="140"/>
    <n v="985600"/>
    <n v="7040"/>
    <s v="CLP"/>
    <s v="CHILE"/>
    <d v="2026-05-30T00:00:00"/>
    <s v="AV"/>
    <m/>
    <m/>
  </r>
  <r>
    <x v="0"/>
    <s v="76.044.123-6"/>
    <s v="AGRICOLA EL TOQUI LIMITADA"/>
    <s v="23/01/2026"/>
    <s v="SEXTA"/>
    <x v="4"/>
    <s v="AV MOVE - 5 L"/>
    <s v="Agroveca"/>
    <s v="Guía de Despacho Electrónica"/>
    <n v="166"/>
    <s v="LITROS"/>
    <n v="10"/>
    <n v="70400"/>
    <n v="7040"/>
    <s v="CLP"/>
    <s v="CHILE"/>
    <d v="2026-05-30T00:00:00"/>
    <s v="AV"/>
    <m/>
    <m/>
  </r>
  <r>
    <x v="0"/>
    <s v="77.112.646-4"/>
    <s v="AGRICOLA LAS VERTIENTES S.A."/>
    <s v="23/01/2026"/>
    <s v="SEXTA"/>
    <x v="4"/>
    <s v="AV BALANCE - 20 L"/>
    <s v="Agrocomercial"/>
    <s v="Guía de Despacho Electrónica"/>
    <n v="167"/>
    <s v="LITROS"/>
    <n v="120"/>
    <n v="1580760"/>
    <n v="13173"/>
    <s v="CLP"/>
    <s v="CHILE"/>
    <d v="2026-05-22T00:00:00"/>
    <s v="AV"/>
    <m/>
    <m/>
  </r>
  <r>
    <x v="0"/>
    <s v="77.112.646-4"/>
    <s v="AGRICOLA LAS VERTIENTES S.A."/>
    <s v="23/01/2026"/>
    <s v="SEXTA"/>
    <x v="4"/>
    <s v="AV BALANCE - 5 L"/>
    <s v="Agrocomercial"/>
    <s v="Guía de Despacho Electrónica"/>
    <n v="167"/>
    <s v="LITROS"/>
    <n v="5"/>
    <n v="65865"/>
    <n v="13173"/>
    <s v="CLP"/>
    <s v="CHILE"/>
    <d v="2026-05-22T00:00:00"/>
    <s v="AV"/>
    <m/>
    <m/>
  </r>
  <r>
    <x v="0"/>
    <s v="77.112.646-4"/>
    <s v="AGRICOLA LAS VERTIENTES S.A."/>
    <s v="23/01/2026"/>
    <s v="SEXTA"/>
    <x v="4"/>
    <s v="AV BALANCE - 1 L"/>
    <s v="Agrocomercial"/>
    <s v="Guía de Despacho Electrónica"/>
    <n v="167"/>
    <s v="LITROS"/>
    <n v="1"/>
    <n v="13173"/>
    <n v="13173"/>
    <s v="CLP"/>
    <s v="CHILE"/>
    <d v="2026-05-22T00:00:00"/>
    <s v="AV"/>
    <m/>
    <m/>
  </r>
  <r>
    <x v="0"/>
    <s v="77.112.646-4"/>
    <s v="AGRICOLA LAS VERTIENTES S.A."/>
    <s v="23/01/2026"/>
    <s v="SEXTA"/>
    <x v="4"/>
    <s v="AV PLUS ZINC MANGANESO - 20 L"/>
    <s v="Agroveca"/>
    <s v="Guía de Despacho Electrónica"/>
    <n v="168"/>
    <s v="LITROS"/>
    <n v="60"/>
    <n v="202800"/>
    <n v="3380"/>
    <s v="CLP"/>
    <s v="CHILE"/>
    <d v="2026-05-22T00:00:00"/>
    <s v="AV"/>
    <m/>
    <m/>
  </r>
  <r>
    <x v="0"/>
    <s v="77.112.646-4"/>
    <s v="AGRICOLA LAS VERTIENTES S.A."/>
    <s v="23/01/2026"/>
    <s v="SEXTA"/>
    <x v="4"/>
    <s v="AV PLUS MAGNESIO - 20 L"/>
    <s v="Agroveca"/>
    <s v="Guía de Despacho Electrónica"/>
    <n v="168"/>
    <s v="LITROS"/>
    <n v="480"/>
    <n v="1281120"/>
    <n v="2669"/>
    <s v="CLP"/>
    <s v="CHILE"/>
    <d v="2026-05-22T00:00:00"/>
    <s v="AV"/>
    <m/>
    <m/>
  </r>
  <r>
    <x v="0"/>
    <s v="77.112.646-4"/>
    <s v="AGRICOLA LAS VERTIENTES S.A."/>
    <s v="23/01/2026"/>
    <s v="SEXTA"/>
    <x v="4"/>
    <s v="AV PLUS POTASIO - 20 L"/>
    <s v="Agroveca"/>
    <s v="Guía de Despacho Electrónica"/>
    <n v="168"/>
    <s v="LITROS"/>
    <n v="440"/>
    <n v="1174360"/>
    <n v="2669"/>
    <s v="CLP"/>
    <s v="CHILE"/>
    <d v="2026-05-22T00:00:00"/>
    <s v="AV"/>
    <m/>
    <m/>
  </r>
  <r>
    <x v="0"/>
    <s v="17.504.838-3"/>
    <s v="ALUDI ALEJANDRA REYES PEREZ"/>
    <s v="23/01/2026"/>
    <s v="SEXTA"/>
    <x v="4"/>
    <s v="AV15 40-20 - 20 L"/>
    <s v="Agroveca"/>
    <s v="Guía de Despacho Electrónica"/>
    <n v="169"/>
    <s v="LITROS"/>
    <n v="40"/>
    <n v="0"/>
    <n v="0"/>
    <s v="CLP"/>
    <s v="CHILE"/>
    <d v="2026-01-23T00:00:00"/>
    <s v="AV"/>
    <m/>
    <m/>
  </r>
  <r>
    <x v="0"/>
    <s v="17.504.838-3"/>
    <s v="ALUDI ALEJANDRA REYES PEREZ"/>
    <s v="23/01/2026"/>
    <s v="SEXTA"/>
    <x v="4"/>
    <s v="AV ROOT MAX - 20 L"/>
    <s v="Agroveca"/>
    <s v="Guía de Despacho Electrónica"/>
    <n v="169"/>
    <s v="LITROS"/>
    <n v="40"/>
    <n v="0"/>
    <n v="0"/>
    <s v="CLP"/>
    <s v="CHILE"/>
    <d v="2026-01-23T00:00:00"/>
    <s v="AV"/>
    <m/>
    <m/>
  </r>
  <r>
    <x v="0"/>
    <s v="17.504.838-3"/>
    <s v="ALUDI ALEJANDRA REYES PEREZ"/>
    <s v="23/01/2026"/>
    <s v="SEXTA"/>
    <x v="4"/>
    <s v="AV HUMIC ROOT - 20 L"/>
    <s v="Agroveca"/>
    <s v="Guía de Despacho Electrónica"/>
    <n v="169"/>
    <s v="LITROS"/>
    <n v="20"/>
    <n v="0"/>
    <n v="0"/>
    <s v="CLP"/>
    <s v="CHILE"/>
    <d v="2026-01-23T00:00:00"/>
    <s v="AV"/>
    <m/>
    <m/>
  </r>
  <r>
    <x v="0"/>
    <s v="17.504.838-3"/>
    <s v="ALUDI ALEJANDRA REYES PEREZ"/>
    <s v="23/01/2026"/>
    <s v="SEXTA"/>
    <x v="4"/>
    <s v="AV ALGAP 30 - 20 L"/>
    <s v="Agroveca"/>
    <s v="Guía de Despacho Electrónica"/>
    <n v="169"/>
    <s v="LITROS"/>
    <n v="20"/>
    <n v="0"/>
    <n v="0"/>
    <s v="CLP"/>
    <s v="CHILE"/>
    <d v="2026-01-23T00:00:00"/>
    <s v="AV"/>
    <m/>
    <m/>
  </r>
  <r>
    <x v="0"/>
    <s v="78.062.921-5"/>
    <s v="PLANTTAE BOTÁNICA SPA"/>
    <s v="23/01/2026"/>
    <s v="OCTAVA"/>
    <x v="2"/>
    <s v="BALANCE 500CC GATILLO"/>
    <s v="Agrocomercial"/>
    <s v="Guía de Despacho Electrónica"/>
    <n v="170"/>
    <s v="UNIDAD"/>
    <n v="6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BIOPOTASICO 500CC GATILLO"/>
    <s v="Agrocomercial"/>
    <s v="Guía de Despacho Electrónica"/>
    <n v="170"/>
    <s v="UNIDAD"/>
    <n v="6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NUTRAMIX 500CC GATILLO"/>
    <s v="Agrocomercial"/>
    <s v="Guía de Despacho Electrónica"/>
    <n v="170"/>
    <s v="UNIDAD"/>
    <n v="8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FUNGISTOP 500CC GATILLO"/>
    <s v="Agrocomercial"/>
    <s v="Guía de Despacho Electrónica"/>
    <n v="170"/>
    <s v="UNIDAD"/>
    <n v="5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RAIZ 500CC GATILLO"/>
    <s v="Agrocomercial"/>
    <s v="Guía de Despacho Electrónica"/>
    <n v="170"/>
    <s v="UNIDAD"/>
    <n v="5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NUTRAMIX CONC. 500CC"/>
    <s v="Agrocomercial"/>
    <s v="Guía de Despacho Electrónica"/>
    <n v="170"/>
    <s v="UNIDAD"/>
    <n v="1"/>
    <n v="0"/>
    <n v="0"/>
    <s v="CLP"/>
    <s v="CHILE"/>
    <d v="2026-02-22T00:00:00"/>
    <s v="AV"/>
    <m/>
    <m/>
  </r>
  <r>
    <x v="0"/>
    <s v="79.611.530-0"/>
    <s v="AGRICOLA BUNSTER Y TAGLE LTDA"/>
    <s v="26/01/2026"/>
    <s v="METROPOLITANA"/>
    <x v="0"/>
    <s v="AV ALGAP 30 - 20 L"/>
    <s v="Agroveca"/>
    <s v="Factura Electrónica"/>
    <n v="466"/>
    <s v="LITROS"/>
    <n v="60"/>
    <n v="235080"/>
    <n v="3918"/>
    <s v="CLP"/>
    <s v="CHILE"/>
    <d v="2026-02-25T00:00:00"/>
    <s v="AV"/>
    <m/>
    <m/>
  </r>
  <r>
    <x v="0"/>
    <s v="78.191.436-3"/>
    <s v="VIVERO DONA AURORA SPA"/>
    <s v="26/01/2026"/>
    <s v="SEPTIMA"/>
    <x v="2"/>
    <s v="BALANCE 500CC GATILLO"/>
    <s v="Agrocomercial"/>
    <s v="Factura Electrónica"/>
    <n v="467"/>
    <s v="UNIDAD"/>
    <n v="4"/>
    <n v="0"/>
    <n v="0"/>
    <s v="CLP"/>
    <s v="CHILE"/>
    <d v="2026-01-26T00:00:00"/>
    <s v="AV"/>
    <m/>
    <m/>
  </r>
  <r>
    <x v="0"/>
    <s v="78.191.436-3"/>
    <s v="VIVERO DONA AURORA SPA"/>
    <s v="26/01/2026"/>
    <s v="SEPTIMA"/>
    <x v="2"/>
    <s v="BALANCE CONC. 200CC"/>
    <s v="Agrocomercial"/>
    <s v="Factura Electrónica"/>
    <n v="467"/>
    <s v="UNIDAD"/>
    <n v="2"/>
    <n v="0"/>
    <n v="0"/>
    <s v="CLP"/>
    <s v="CHILE"/>
    <d v="2026-01-26T00:00:00"/>
    <s v="AV"/>
    <m/>
    <m/>
  </r>
  <r>
    <x v="0"/>
    <s v="78.191.436-3"/>
    <s v="VIVERO DONA AURORA SPA"/>
    <s v="26/01/2026"/>
    <s v="SEPTIMA"/>
    <x v="2"/>
    <s v="TERRAPULSE CONC. 200 CC"/>
    <s v="Agrocomercial"/>
    <s v="Factura Electrónica"/>
    <n v="467"/>
    <s v="UNIDAD"/>
    <n v="2"/>
    <n v="0"/>
    <n v="0"/>
    <s v="CLP"/>
    <s v="CHILE"/>
    <d v="2026-01-26T00:00:00"/>
    <s v="AV"/>
    <m/>
    <m/>
  </r>
  <r>
    <x v="0"/>
    <s v="78.191.436-3"/>
    <s v="VIVERO DONA AURORA SPA"/>
    <s v="26/01/2026"/>
    <s v="SEPTIMA"/>
    <x v="2"/>
    <s v="NUTRAMIX CONC. 200CC"/>
    <s v="Agrocomercial"/>
    <s v="Factura Electrónica"/>
    <n v="467"/>
    <s v="UNIDAD"/>
    <n v="2"/>
    <n v="0"/>
    <n v="0"/>
    <s v="CLP"/>
    <s v="CHILE"/>
    <d v="2026-01-26T00:00:00"/>
    <s v="AV"/>
    <m/>
    <m/>
  </r>
  <r>
    <x v="0"/>
    <s v="78.191.436-3"/>
    <s v="VIVERO DONA AURORA SPA"/>
    <s v="26/01/2026"/>
    <s v="SEPTIMA"/>
    <x v="2"/>
    <s v="SILFORTEM CONC. 200 CC"/>
    <s v="Agrocomercial"/>
    <s v="Factura Electrónica"/>
    <n v="467"/>
    <s v="UNIDAD"/>
    <n v="1"/>
    <n v="0"/>
    <n v="0"/>
    <s v="CLP"/>
    <s v="CHILE"/>
    <d v="2026-01-26T00:00:00"/>
    <s v="AV"/>
    <m/>
    <m/>
  </r>
  <r>
    <x v="0"/>
    <s v="7.036.820-K"/>
    <s v="CARLOS GUILLERMO SOUPER URRA"/>
    <s v="26/01/2026"/>
    <s v="METROPOLITANA"/>
    <x v="0"/>
    <s v="AV MAX FULVIC 45% - 200 L"/>
    <s v="Agroveca"/>
    <s v="Factura Electrónica"/>
    <n v="468"/>
    <s v="LITROS"/>
    <n v="380"/>
    <n v="0"/>
    <n v="0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SILFORTE - 20 L"/>
    <s v="Agroveca"/>
    <s v="Factura Electrónica"/>
    <n v="468"/>
    <s v="LITROS"/>
    <n v="100"/>
    <n v="0"/>
    <n v="0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MAX FULVIC 45% - 200 L"/>
    <s v="Agroveca"/>
    <s v="Factura Electrónica"/>
    <n v="469"/>
    <s v="LITROS"/>
    <n v="380"/>
    <n v="1102000"/>
    <n v="2900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SILFORTE - 20 L"/>
    <s v="Agroveca"/>
    <s v="Factura Electrónica"/>
    <n v="469"/>
    <s v="LITROS"/>
    <n v="100"/>
    <n v="1050000"/>
    <n v="10500"/>
    <s v="CLP"/>
    <s v="CHILE"/>
    <d v="2026-05-30T00:00:00"/>
    <s v="AV"/>
    <m/>
    <m/>
  </r>
  <r>
    <x v="0"/>
    <s v="76.788.317-K"/>
    <s v="AGRICOLA MARIO ALEJANDRO VIDAL NUNEZ EIRL"/>
    <s v="26/01/2026"/>
    <s v="SEXTA"/>
    <x v="3"/>
    <s v="AV BLOOM - 5 L"/>
    <s v="Agrocomercial"/>
    <s v="Factura Electrónica"/>
    <n v="470"/>
    <s v="LITROS"/>
    <n v="10"/>
    <n v="87071"/>
    <n v="8707.1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ROOT MAX - 20 L"/>
    <s v="Agrocomercial"/>
    <s v="Factura Electrónica"/>
    <n v="470"/>
    <s v="LITROS"/>
    <n v="20"/>
    <n v="174142"/>
    <n v="8707.1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ROOT MAX - 5 L"/>
    <s v="Agrocomercial"/>
    <s v="Factura Electrónica"/>
    <n v="470"/>
    <s v="LITROS"/>
    <n v="5"/>
    <n v="47889"/>
    <n v="9577.7999999999993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PLUS POTASIO - 20 L"/>
    <s v="Agrocomercial"/>
    <s v="Factura Electrónica"/>
    <n v="470"/>
    <s v="LITROS"/>
    <n v="20"/>
    <n v="87071"/>
    <n v="4353.55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PLUS CALCIO - 20 L"/>
    <s v="Agrocomercial"/>
    <s v="Factura Electrónica"/>
    <n v="470"/>
    <s v="LITROS"/>
    <n v="20"/>
    <n v="87071"/>
    <n v="4353.55"/>
    <s v="CLP"/>
    <s v="CHILE"/>
    <d v="2026-02-26T00:00:00"/>
    <s v="AV"/>
    <m/>
    <m/>
  </r>
  <r>
    <x v="0"/>
    <s v="17.504.838-3"/>
    <s v="ALUDI ALEJANDRA REYES PEREZ"/>
    <s v="26/01/2026"/>
    <s v="SEXTA"/>
    <x v="4"/>
    <s v="AV15 40-20 - 20 L"/>
    <s v="Agroveca"/>
    <s v="Factura Electrónica"/>
    <n v="471"/>
    <s v="LITROS"/>
    <n v="20"/>
    <n v="114400"/>
    <n v="5720"/>
    <s v="CLP"/>
    <s v="CHILE"/>
    <d v="2026-01-26T00:00:00"/>
    <s v="AV"/>
    <m/>
    <m/>
  </r>
  <r>
    <x v="0"/>
    <s v="17.504.838-3"/>
    <s v="ALUDI ALEJANDRA REYES PEREZ"/>
    <s v="26/01/2026"/>
    <s v="SEXTA"/>
    <x v="4"/>
    <s v="AV ROOT MAX - 20 L"/>
    <s v="Agroveca"/>
    <s v="Factura Electrónica"/>
    <n v="471"/>
    <s v="LITROS"/>
    <n v="20"/>
    <n v="149600"/>
    <n v="7480"/>
    <s v="CLP"/>
    <s v="CHILE"/>
    <d v="2026-01-26T00:00:00"/>
    <s v="AV"/>
    <m/>
    <m/>
  </r>
  <r>
    <x v="0"/>
    <s v="17.504.838-3"/>
    <s v="ALUDI ALEJANDRA REYES PEREZ"/>
    <s v="26/01/2026"/>
    <s v="SEXTA"/>
    <x v="4"/>
    <s v="AV HUMIC ROOT - 20 L"/>
    <s v="Agroveca"/>
    <s v="Factura Electrónica"/>
    <n v="471"/>
    <s v="LITROS"/>
    <n v="20"/>
    <n v="88000"/>
    <n v="4400"/>
    <s v="CLP"/>
    <s v="CHILE"/>
    <d v="2026-01-26T00:00:00"/>
    <s v="AV"/>
    <m/>
    <m/>
  </r>
  <r>
    <x v="0"/>
    <s v="17.504.838-3"/>
    <s v="ALUDI ALEJANDRA REYES PEREZ"/>
    <s v="26/01/2026"/>
    <s v="SEXTA"/>
    <x v="4"/>
    <s v="AV ALGAP 30 - 20 L"/>
    <s v="Agroveca"/>
    <s v="Factura Electrónica"/>
    <n v="471"/>
    <s v="LITROS"/>
    <n v="20"/>
    <n v="126600"/>
    <n v="6330"/>
    <s v="CLP"/>
    <s v="CHILE"/>
    <d v="2026-01-26T00:00:00"/>
    <s v="AV"/>
    <m/>
    <m/>
  </r>
  <r>
    <x v="0"/>
    <s v="89.255.000-K"/>
    <s v="AGRICOLA VICTORIA S.A."/>
    <s v="26/01/2026"/>
    <s v="METROPOLITANA"/>
    <x v="0"/>
    <s v="AV MOVE - 20 L"/>
    <s v="Agroveca"/>
    <s v="Factura Electrónica"/>
    <n v="472"/>
    <s v="LITROS"/>
    <n v="140"/>
    <n v="1050000"/>
    <n v="7500"/>
    <s v="CLP"/>
    <s v="CHILE"/>
    <d v="2026-03-27T00:00:00"/>
    <s v="AV"/>
    <m/>
    <m/>
  </r>
  <r>
    <x v="0"/>
    <s v="89.255.000-K"/>
    <s v="AGRICOLA VICTORIA S.A."/>
    <s v="26/01/2026"/>
    <s v="METROPOLITANA"/>
    <x v="0"/>
    <s v="AV MOVE - 5 L"/>
    <s v="Agroveca"/>
    <s v="Factura Electrónica"/>
    <n v="472"/>
    <s v="LITROS"/>
    <n v="5"/>
    <n v="37500"/>
    <n v="7500"/>
    <s v="CLP"/>
    <s v="CHILE"/>
    <d v="2026-03-27T00:00:00"/>
    <s v="AV"/>
    <m/>
    <m/>
  </r>
  <r>
    <x v="0"/>
    <s v="89.255.000-K"/>
    <s v="AGRICOLA VICTORIA S.A."/>
    <s v="26/01/2026"/>
    <s v="METROPOLITANA"/>
    <x v="0"/>
    <s v="AV MOVE - 1 L"/>
    <s v="Agroveca"/>
    <s v="Factura Electrónica"/>
    <n v="472"/>
    <s v="LITROS"/>
    <n v="1"/>
    <n v="7500"/>
    <n v="7500"/>
    <s v="CLP"/>
    <s v="CHILE"/>
    <d v="2026-03-27T00:00:00"/>
    <s v="AV"/>
    <m/>
    <m/>
  </r>
  <r>
    <x v="0"/>
    <s v="77.133.772-4"/>
    <s v="AGRICOLA GEORUCA SPA"/>
    <s v="26/01/2026"/>
    <s v="SEXTA"/>
    <x v="0"/>
    <s v="AV MOVE - 20 L"/>
    <s v="Agroveca"/>
    <s v="Guía de Despacho Electrónica"/>
    <n v="172"/>
    <s v="LITROS"/>
    <n v="20"/>
    <n v="150000"/>
    <n v="7500"/>
    <s v="CLP"/>
    <s v="CHILE"/>
    <d v="2026-05-26T00:00:00"/>
    <s v="AV"/>
    <m/>
    <m/>
  </r>
  <r>
    <x v="0"/>
    <s v="77.133.772-4"/>
    <s v="AGRICOLA GEORUCA SPA"/>
    <s v="26/01/2026"/>
    <s v="SEXTA"/>
    <x v="0"/>
    <s v="AV MOVE - 5 L"/>
    <s v="Agroveca"/>
    <s v="Guía de Despacho Electrónica"/>
    <n v="172"/>
    <s v="LITROS"/>
    <n v="10"/>
    <n v="75000"/>
    <n v="7500"/>
    <s v="CLP"/>
    <s v="CHILE"/>
    <d v="2026-05-26T00:00:00"/>
    <s v="AV"/>
    <m/>
    <m/>
  </r>
  <r>
    <x v="0"/>
    <s v="77.036.196-6"/>
    <s v="SOCIEDAD COMERCIAL RYN SPA"/>
    <s v="26/01/2026"/>
    <s v="SEXTA"/>
    <x v="4"/>
    <s v="AV PLUS POTASIO - 20 L"/>
    <s v="Agroveca"/>
    <s v="Guía de Despacho Electrónica"/>
    <n v="173"/>
    <s v="LITROS"/>
    <n v="60"/>
    <n v="199800"/>
    <n v="3330"/>
    <s v="CLP"/>
    <s v="CHILE"/>
    <d v="2026-05-21T00:00:00"/>
    <s v="AV"/>
    <m/>
    <m/>
  </r>
  <r>
    <x v="0"/>
    <s v="99.511.460-7"/>
    <s v="SOCIEDAD AGRICOLA SAN NICOLAS LIMITADA"/>
    <s v="26/01/2026"/>
    <s v="SEXTA"/>
    <x v="4"/>
    <s v="AV MOVE - 20 L"/>
    <s v="Agrocomercial"/>
    <s v="Guía de Despacho Electrónica"/>
    <n v="174"/>
    <s v="LITROS"/>
    <n v="20"/>
    <n v="139314"/>
    <n v="6965.7"/>
    <s v="CLP"/>
    <s v="CHILE"/>
    <d v="2026-03-27T00:00:00"/>
    <s v="AV"/>
    <m/>
    <m/>
  </r>
  <r>
    <x v="0"/>
    <s v="99.511.460-7"/>
    <s v="SOCIEDAD AGRICOLA SAN NICOLAS LIMITADA"/>
    <s v="27/01/2026"/>
    <s v="SEXTA"/>
    <x v="4"/>
    <s v="AV MOVE - 5 L"/>
    <s v="Agroveca"/>
    <s v="Factura Electrónica"/>
    <n v="473"/>
    <s v="LITROS"/>
    <n v="10"/>
    <n v="69040"/>
    <n v="6904"/>
    <s v="CLP"/>
    <s v="CHILE"/>
    <d v="2026-03-25T00:00:00"/>
    <s v="AV"/>
    <m/>
    <m/>
  </r>
  <r>
    <x v="0"/>
    <s v="76.188.119-1"/>
    <s v="PEDRO PATRICIO MENESES SOTO AGRICOLA Y TRANSPORTES E.I.R.L."/>
    <s v="27/01/2026"/>
    <s v="SEXTA"/>
    <x v="4"/>
    <s v="AV AMIN - 5 L"/>
    <s v="Agroveca"/>
    <s v="Factura Electrónica"/>
    <n v="474"/>
    <s v="LITROS"/>
    <n v="5"/>
    <n v="43000"/>
    <n v="8600"/>
    <s v="CLP"/>
    <s v="CHILE"/>
    <d v="2026-04-23T00:00:00"/>
    <s v="AV"/>
    <m/>
    <m/>
  </r>
  <r>
    <x v="0"/>
    <s v="77.135.740-7"/>
    <s v="RAUL JOFRE Y COMPAQIA LIMITADA"/>
    <s v="27/01/2026"/>
    <s v="SEXTA"/>
    <x v="4"/>
    <s v="AV PLUS POTASIO - 1 L"/>
    <s v="Agrocomercial"/>
    <s v="Factura Electrónica"/>
    <n v="475"/>
    <s v="LITROS"/>
    <n v="11"/>
    <n v="57079"/>
    <n v="5189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POTASIO - 5 L"/>
    <s v="Agrocomercial"/>
    <s v="Factura Electrónica"/>
    <n v="475"/>
    <s v="LITROS"/>
    <n v="25"/>
    <n v="97275"/>
    <n v="3891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MAGNESIO - 1 L"/>
    <s v="Agrocomercial"/>
    <s v="Factura Electrónica"/>
    <n v="475"/>
    <s v="LITROS"/>
    <n v="7"/>
    <n v="36323"/>
    <n v="5189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CALCIO - 1 L"/>
    <s v="Agrocomercial"/>
    <s v="Factura Electrónica"/>
    <n v="475"/>
    <s v="LITROS"/>
    <n v="5"/>
    <n v="25945"/>
    <n v="5189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CALCIO - 5 L"/>
    <s v="Agrocomercial"/>
    <s v="Factura Electrónica"/>
    <n v="475"/>
    <s v="LITROS"/>
    <n v="10"/>
    <n v="38910"/>
    <n v="3891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BORO - 1 L"/>
    <s v="Agrocomercial"/>
    <s v="Factura Electrónica"/>
    <n v="475"/>
    <s v="LITROS"/>
    <n v="5"/>
    <n v="28535"/>
    <n v="5707"/>
    <s v="CLP"/>
    <s v="CHILE"/>
    <d v="2026-04-26T00:00:00"/>
    <s v="AV"/>
    <m/>
    <m/>
  </r>
  <r>
    <x v="0"/>
    <s v="77.135.740-7"/>
    <s v="RAUL JOFRE Y COMPAQIA LIMITADA"/>
    <s v="27/01/2026"/>
    <s v="SEXTA"/>
    <x v="4"/>
    <s v="AV15 40-20 - 1 L"/>
    <s v="Agrocomercial"/>
    <s v="Factura Electrónica"/>
    <n v="475"/>
    <s v="LITROS"/>
    <n v="10"/>
    <n v="69180"/>
    <n v="6918"/>
    <s v="CLP"/>
    <s v="CHILE"/>
    <d v="2026-04-26T00:00:00"/>
    <s v="AV"/>
    <m/>
    <m/>
  </r>
  <r>
    <x v="0"/>
    <s v="77.135.740-7"/>
    <s v="RAUL JOFRE Y COMPAQIA LIMITADA"/>
    <s v="27/01/2026"/>
    <s v="SEXTA"/>
    <x v="4"/>
    <s v="AV15 40-20 - 5 L"/>
    <s v="Agrocomercial"/>
    <s v="Factura Electrónica"/>
    <n v="475"/>
    <s v="LITROS"/>
    <n v="5"/>
    <n v="25945"/>
    <n v="5189"/>
    <s v="CLP"/>
    <s v="CHILE"/>
    <d v="2026-04-26T00:00:00"/>
    <s v="AV"/>
    <m/>
    <m/>
  </r>
  <r>
    <x v="0"/>
    <s v="76.209.230-1"/>
    <s v="AGRICOLA JOSE MARIA Y OTRO LTDA"/>
    <s v="27/01/2026"/>
    <s v="SEXTA"/>
    <x v="0"/>
    <s v="AV MOVE - 20 L"/>
    <s v="Agroveca"/>
    <s v="Guía de Despacho Electrónica"/>
    <n v="177"/>
    <s v="LITROS"/>
    <n v="300"/>
    <n v="2130000"/>
    <n v="7100"/>
    <s v="CLP"/>
    <s v="CHILE"/>
    <d v="2026-04-30T00:00:00"/>
    <s v="AV"/>
    <m/>
    <m/>
  </r>
  <r>
    <x v="0"/>
    <s v="78.189.158-4"/>
    <s v="AGRICOLA SAN PEDRO SPA"/>
    <s v="27/01/2026"/>
    <s v="SEXTA"/>
    <x v="0"/>
    <s v="AV HUMIC ROOT - 1000 L"/>
    <s v="Agroveca"/>
    <s v="Guía de Despacho Electrónica"/>
    <n v="178"/>
    <s v="LITROS"/>
    <n v="1000"/>
    <n v="2500000"/>
    <n v="2500"/>
    <s v="CLP"/>
    <s v="CHILE"/>
    <d v="2026-05-30T00:00:00"/>
    <s v="AV"/>
    <m/>
    <m/>
  </r>
  <r>
    <x v="0"/>
    <s v="78.189.158-4"/>
    <s v="AGRICOLA SAN PEDRO SPA"/>
    <s v="27/01/2026"/>
    <s v="SEXTA"/>
    <x v="0"/>
    <s v="AV HUMIC ROOT - 200 L"/>
    <s v="Agroveca"/>
    <s v="Guía de Despacho Electrónica"/>
    <n v="178"/>
    <s v="LITROS"/>
    <n v="550"/>
    <n v="1375000"/>
    <n v="2500"/>
    <s v="CLP"/>
    <s v="CHILE"/>
    <d v="2026-05-30T00:00:00"/>
    <s v="AV"/>
    <m/>
    <m/>
  </r>
  <r>
    <x v="0"/>
    <s v="78.189.158-4"/>
    <s v="AGRICOLA SAN PEDRO SPA"/>
    <s v="27/01/2026"/>
    <s v="SEXTA"/>
    <x v="0"/>
    <s v="AV ROOT MAX - 200 L"/>
    <s v="Agroveca"/>
    <s v="Guía de Despacho Electrónica"/>
    <n v="178"/>
    <s v="LITROS"/>
    <n v="190"/>
    <n v="1292000"/>
    <n v="6800"/>
    <s v="CLP"/>
    <s v="CHILE"/>
    <d v="2026-05-30T00:00:00"/>
    <s v="AV"/>
    <m/>
    <m/>
  </r>
  <r>
    <x v="0"/>
    <s v="76.210.444-K"/>
    <s v="SOCIEDAD AGRICOLA ALIAGA LTDA"/>
    <s v="27/01/2026"/>
    <s v="SEXTA"/>
    <x v="0"/>
    <s v="AV HUMIC ROOT - 1000 L"/>
    <s v="Agroveca"/>
    <s v="Guía de Despacho Electrónica"/>
    <n v="179"/>
    <s v="LITROS"/>
    <n v="1000"/>
    <n v="2500000"/>
    <n v="2500"/>
    <s v="CLP"/>
    <s v="CHILE"/>
    <d v="2026-05-30T00:00:00"/>
    <s v="AV"/>
    <m/>
    <m/>
  </r>
  <r>
    <x v="0"/>
    <s v="76.210.444-K"/>
    <s v="SOCIEDAD AGRICOLA ALIAGA LTDA"/>
    <s v="27/01/2026"/>
    <s v="SEXTA"/>
    <x v="0"/>
    <s v="AV HUMIC ROOT - 200 L"/>
    <s v="Agroveca"/>
    <s v="Guía de Despacho Electrónica"/>
    <n v="179"/>
    <s v="LITROS"/>
    <n v="150"/>
    <n v="375000"/>
    <n v="2500"/>
    <s v="CLP"/>
    <s v="CHILE"/>
    <d v="2026-05-30T00:00:00"/>
    <s v="AV"/>
    <m/>
    <m/>
  </r>
  <r>
    <x v="0"/>
    <s v="76.210.444-K"/>
    <s v="SOCIEDAD AGRICOLA ALIAGA LTDA"/>
    <s v="27/01/2026"/>
    <s v="SEXTA"/>
    <x v="0"/>
    <s v="AV ROOT MAX - 200 L"/>
    <s v="Agroveca"/>
    <s v="Guía de Despacho Electrónica"/>
    <n v="179"/>
    <s v="LITROS"/>
    <n v="180"/>
    <n v="1224000"/>
    <n v="6800"/>
    <s v="CLP"/>
    <s v="CHILE"/>
    <d v="2026-05-30T00:00:00"/>
    <s v="AV"/>
    <m/>
    <m/>
  </r>
  <r>
    <x v="0"/>
    <s v="76.036.193-3"/>
    <s v="AGRICOLA LUIS ANTONIO HERRERA AVENDANO E.I.R.L."/>
    <s v="28/01/2026"/>
    <s v="SEXTA"/>
    <x v="0"/>
    <s v="AV MOVE - 20 L"/>
    <s v="Agroveca"/>
    <s v="Factura Electrónica"/>
    <n v="476"/>
    <s v="LITROS"/>
    <n v="60"/>
    <n v="450000"/>
    <n v="7500"/>
    <s v="CLP"/>
    <s v="CHILE"/>
    <d v="2026-01-28T00:00:00"/>
    <s v="AV"/>
    <m/>
    <m/>
  </r>
  <r>
    <x v="0"/>
    <s v="77.317.590-K"/>
    <s v="SOCIEDAD AGRICOLA SAN FRANCISCO"/>
    <s v="29/01/2026"/>
    <s v="SEXTA"/>
    <x v="4"/>
    <s v="AV PLUS CALCIO - 1 L"/>
    <s v="Agrocomercial"/>
    <s v="Factura Electrónica"/>
    <n v="477"/>
    <s v="LITROS"/>
    <n v="2"/>
    <n v="12450"/>
    <n v="622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1 L"/>
    <s v="Agrocomercial"/>
    <s v="Factura Electrónica"/>
    <n v="477"/>
    <s v="LITROS"/>
    <n v="2"/>
    <n v="12450"/>
    <n v="622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5 L"/>
    <s v="Agrocomercial"/>
    <s v="Factura Electrónica"/>
    <n v="477"/>
    <s v="LITROS"/>
    <n v="5"/>
    <n v="23625"/>
    <n v="472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MAGNESIO - 5 L"/>
    <s v="Agrocomercial"/>
    <s v="Factura Electrónica"/>
    <n v="477"/>
    <s v="LITROS"/>
    <n v="10"/>
    <n v="47250"/>
    <n v="472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CALCIO BORO - 1 L"/>
    <s v="Agrocomercial"/>
    <s v="Factura Electrónica"/>
    <n v="477"/>
    <s v="LITROS"/>
    <n v="3"/>
    <n v="20640"/>
    <n v="6880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BORO - 5 L"/>
    <s v="Agrocomercial"/>
    <s v="Factura Electrónica"/>
    <n v="477"/>
    <s v="LITROS"/>
    <n v="10"/>
    <n v="50400"/>
    <n v="5040"/>
    <s v="CLP"/>
    <s v="CHILE"/>
    <d v="2026-06-30T00:00:00"/>
    <s v="AV"/>
    <m/>
    <m/>
  </r>
  <r>
    <x v="0"/>
    <s v="77.317.590-K"/>
    <s v="SOCIEDAD AGRICOLA SAN FRANCISCO"/>
    <s v="29/01/2026"/>
    <s v="SEXTA"/>
    <x v="4"/>
    <s v="AV15 40-20 - 1 L"/>
    <s v="Agrocomercial"/>
    <s v="Factura Electrónica"/>
    <n v="477"/>
    <s v="LITROS"/>
    <n v="6"/>
    <n v="58500"/>
    <n v="9750"/>
    <s v="CLP"/>
    <s v="CHILE"/>
    <d v="2026-06-30T00:00:00"/>
    <s v="AV"/>
    <m/>
    <m/>
  </r>
  <r>
    <x v="0"/>
    <s v="77.317.590-K"/>
    <s v="SOCIEDAD AGRICOLA SAN FRANCISCO"/>
    <s v="29/01/2026"/>
    <s v="SEXTA"/>
    <x v="4"/>
    <s v="AV15 40-20 - 5 L"/>
    <s v="Agrocomercial"/>
    <s v="Factura Electrónica"/>
    <n v="477"/>
    <s v="LITROS"/>
    <n v="15"/>
    <n v="101250"/>
    <n v="6750"/>
    <s v="CLP"/>
    <s v="CHILE"/>
    <d v="2026-06-30T00:00:00"/>
    <s v="AV"/>
    <m/>
    <m/>
  </r>
  <r>
    <x v="0"/>
    <s v="77.317.590-K"/>
    <s v="SOCIEDAD AGRICOLA SAN FRANCISCO"/>
    <s v="29/01/2026"/>
    <s v="SEXTA"/>
    <x v="4"/>
    <s v="AV BLOOM - 1 L"/>
    <s v="Agrocomercial"/>
    <s v="Factura Electrónica"/>
    <n v="477"/>
    <s v="LITROS"/>
    <n v="4"/>
    <n v="36600"/>
    <n v="9150"/>
    <s v="CLP"/>
    <s v="CHILE"/>
    <d v="2026-06-30T00:00:00"/>
    <s v="AV"/>
    <m/>
    <m/>
  </r>
  <r>
    <x v="0"/>
    <s v="77.317.590-K"/>
    <s v="SOCIEDAD AGRICOLA SAN FRANCISCO"/>
    <s v="29/01/2026"/>
    <s v="SEXTA"/>
    <x v="4"/>
    <s v="AV BLOOM - 5 L"/>
    <s v="Agrocomercial"/>
    <s v="Factura Electrónica"/>
    <n v="477"/>
    <s v="LITROS"/>
    <n v="5"/>
    <n v="43125"/>
    <n v="8625"/>
    <s v="CLP"/>
    <s v="CHILE"/>
    <d v="2026-06-30T00:00:00"/>
    <s v="AV"/>
    <m/>
    <m/>
  </r>
  <r>
    <x v="0"/>
    <s v="77.317.590-K"/>
    <s v="SOCIEDAD AGRICOLA SAN FRANCISCO"/>
    <s v="29/01/2026"/>
    <s v="SEXTA"/>
    <x v="4"/>
    <s v="AV MOVE - 1 L"/>
    <s v="Agrocomercial"/>
    <s v="Factura Electrónica"/>
    <n v="477"/>
    <s v="LITROS"/>
    <n v="1"/>
    <n v="9375"/>
    <n v="9375"/>
    <s v="CLP"/>
    <s v="CHILE"/>
    <d v="2026-06-30T00:00:00"/>
    <s v="AV"/>
    <m/>
    <m/>
  </r>
  <r>
    <x v="0"/>
    <s v="77.317.590-K"/>
    <s v="SOCIEDAD AGRICOLA SAN FRANCISCO"/>
    <s v="29/01/2026"/>
    <s v="SEXTA"/>
    <x v="4"/>
    <s v="AV MOVE - 5 L"/>
    <s v="Agrocomercial"/>
    <s v="Factura Electrónica"/>
    <n v="477"/>
    <s v="LITROS"/>
    <n v="5"/>
    <n v="43125"/>
    <n v="8625"/>
    <s v="CLP"/>
    <s v="CHILE"/>
    <d v="2026-06-30T00:00:00"/>
    <s v="AV"/>
    <m/>
    <m/>
  </r>
  <r>
    <x v="0"/>
    <s v="77.317.590-K"/>
    <s v="SOCIEDAD AGRICOLA SAN FRANCISCO"/>
    <s v="29/01/2026"/>
    <s v="SEXTA"/>
    <x v="4"/>
    <s v="AV BALANCE - 1 L"/>
    <s v="Agrocomercial"/>
    <s v="Factura Electrónica"/>
    <n v="477"/>
    <s v="LITROS"/>
    <n v="2"/>
    <n v="32850"/>
    <n v="16425"/>
    <s v="CLP"/>
    <s v="CHILE"/>
    <d v="2026-06-30T00:00:00"/>
    <s v="AV"/>
    <m/>
    <m/>
  </r>
  <r>
    <x v="0"/>
    <s v="77.317.590-K"/>
    <s v="SOCIEDAD AGRICOLA SAN FRANCISCO"/>
    <s v="29/01/2026"/>
    <s v="SEXTA"/>
    <x v="4"/>
    <s v="AV BALANCE - 5 L"/>
    <s v="Agrocomercial"/>
    <s v="Factura Electrónica"/>
    <n v="477"/>
    <s v="LITROS"/>
    <n v="10"/>
    <n v="141750"/>
    <n v="1417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20 L"/>
    <s v="Agrocomercial"/>
    <s v="Factura Electrónica"/>
    <n v="477"/>
    <s v="LITROS"/>
    <n v="140"/>
    <n v="619500"/>
    <n v="4425"/>
    <s v="CLP"/>
    <s v="CHILE"/>
    <d v="2026-06-30T00:00:00"/>
    <s v="AV"/>
    <m/>
    <m/>
  </r>
  <r>
    <x v="0"/>
    <s v="76.036.193-3"/>
    <s v="AGRICOLA LUIS ANTONIO HERRERA AVENDANO E.I.R.L."/>
    <s v="29/01/2026"/>
    <s v="SEXTA"/>
    <x v="0"/>
    <s v="AV MOVE - 20 L"/>
    <s v="Agroveca"/>
    <s v="Factura Electrónica"/>
    <n v="478"/>
    <s v="LITROS"/>
    <n v="20"/>
    <n v="150000"/>
    <n v="7500"/>
    <s v="CLP"/>
    <s v="CHILE"/>
    <d v="2026-01-29T00:00:00"/>
    <s v="AV"/>
    <m/>
    <m/>
  </r>
  <r>
    <x v="0"/>
    <s v="77.758.114-7"/>
    <s v="SOCIEDAD AGRÍCOLA COMERCIAL SIEMBRA SPA"/>
    <s v="29/01/2026"/>
    <s v="SEXTA"/>
    <x v="4"/>
    <s v="AV PLUS POTASIO - 1 L"/>
    <s v="Agrocomercial"/>
    <s v="Factura Electrónica"/>
    <n v="479"/>
    <s v="LITROS"/>
    <n v="24"/>
    <n v="116400"/>
    <n v="4850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AMIN - 1 L"/>
    <s v="Agrocomercial"/>
    <s v="Factura Electrónica"/>
    <n v="479"/>
    <s v="LITROS"/>
    <n v="24"/>
    <n v="135120"/>
    <n v="5630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PLUS MICRO MIX - 1 L"/>
    <s v="Agrocomercial"/>
    <s v="Factura Electrónica"/>
    <n v="479"/>
    <s v="LITROS"/>
    <n v="12"/>
    <n v="41568"/>
    <n v="3464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PLUS NUTRI MIX - 1 L"/>
    <s v="Agrocomercial"/>
    <s v="Factura Electrónica"/>
    <n v="479"/>
    <s v="LITROS"/>
    <n v="24"/>
    <n v="123672"/>
    <n v="5153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ALGAP 30 - 5 L"/>
    <s v="Agrocomercial"/>
    <s v="Factura Electrónica"/>
    <n v="480"/>
    <s v="LITROS"/>
    <n v="10"/>
    <n v="60550"/>
    <n v="6055"/>
    <s v="CLP"/>
    <s v="CHILE"/>
    <d v="2026-03-30T00:00:00"/>
    <s v="AV"/>
    <m/>
    <m/>
  </r>
  <r>
    <x v="0"/>
    <s v="76.421.617-2"/>
    <s v="AGRICOLA CASA DEL CERRILLO EIRL"/>
    <s v="29/01/2026"/>
    <s v="QUINTA"/>
    <x v="1"/>
    <s v="AV AMIN SUGAR - 20 L"/>
    <s v="Agrocomercial"/>
    <s v="Factura Electrónica"/>
    <n v="481"/>
    <s v="LITROS"/>
    <n v="20"/>
    <n v="0"/>
    <n v="0"/>
    <s v="CLP"/>
    <s v="CHILE"/>
    <d v="2026-03-01T00:00:00"/>
    <s v="AV"/>
    <m/>
    <m/>
  </r>
  <r>
    <x v="0"/>
    <s v="76.421.617-2"/>
    <s v="AGRICOLA CASA DEL CERRILLO EIRL"/>
    <s v="29/01/2026"/>
    <s v="QUINTA"/>
    <x v="1"/>
    <s v="AV AMIN SUGAR - 5 L"/>
    <s v="Agrocomercial"/>
    <s v="Factura Electrónica"/>
    <n v="481"/>
    <s v="LITROS"/>
    <n v="10"/>
    <n v="0"/>
    <n v="0"/>
    <s v="CLP"/>
    <s v="CHILE"/>
    <d v="2026-03-01T00:00:00"/>
    <s v="AV"/>
    <m/>
    <m/>
  </r>
  <r>
    <x v="0"/>
    <s v="5.786.817-1"/>
    <s v="MARIO FERNANDO MUÑOZ SILVA"/>
    <s v="29/01/2026"/>
    <s v="SEXTA "/>
    <x v="0"/>
    <s v="AV ROOT MAX - 20 L"/>
    <s v="Agroveca"/>
    <s v="Guía de Despacho Electrónica"/>
    <n v="181"/>
    <s v="LITROS"/>
    <n v="40"/>
    <n v="424000"/>
    <n v="10600"/>
    <s v="CLP"/>
    <s v="CHILE"/>
    <d v="2026-05-30T00:00:00"/>
    <s v="AV"/>
    <m/>
    <m/>
  </r>
  <r>
    <x v="0"/>
    <s v="5.786.817-1"/>
    <s v="MARIO FERNANDO MUÑOZ SILVA"/>
    <s v="29/01/2026"/>
    <s v="SEXTA "/>
    <x v="0"/>
    <s v="AV MAX FULVIC 45% - 20 L"/>
    <s v="Agroveca"/>
    <s v="Guía de Despacho Electrónica"/>
    <n v="181"/>
    <s v="LITROS"/>
    <n v="80"/>
    <n v="288000"/>
    <n v="3600"/>
    <s v="CLP"/>
    <s v="CHILE"/>
    <d v="2026-05-30T00:00:00"/>
    <s v="AV"/>
    <m/>
    <m/>
  </r>
  <r>
    <x v="0"/>
    <s v="76.536.492-2"/>
    <s v="AGRICOLA FUNDO LA PIEDRA LIMITADA"/>
    <s v="30/01/2026"/>
    <s v="SEPTIMA"/>
    <x v="1"/>
    <s v="AV HUMIC ROOT - 1000 L"/>
    <s v="Agrocomercial"/>
    <s v="Guía de Despacho Electrónica"/>
    <n v="184"/>
    <s v="LITROS"/>
    <n v="1000"/>
    <n v="2000000"/>
    <n v="2000"/>
    <s v="CLP"/>
    <s v="CHILE"/>
    <d v="2026-08-20T00:00:00"/>
    <s v="AV"/>
    <m/>
    <m/>
  </r>
  <r>
    <x v="0"/>
    <s v="77.536.995-7"/>
    <s v="RAMADA DE CAMPO SPA"/>
    <s v="30/01/2026"/>
    <s v="SEPTIMA "/>
    <x v="3"/>
    <s v="AV PLUS NUTRI MIX - 5 L"/>
    <s v="Agroveca"/>
    <s v="Guía de Despacho Electrónica"/>
    <n v="185"/>
    <s v="LITROS"/>
    <n v="5"/>
    <n v="32625"/>
    <n v="6525"/>
    <s v="CLP"/>
    <s v="CHILE"/>
    <d v="2026-05-30T00:00:00"/>
    <s v="AV"/>
    <m/>
    <m/>
  </r>
  <r>
    <x v="0"/>
    <s v="77.536.995-7"/>
    <s v="RAMADA DE CAMPO SPA"/>
    <s v="30/01/2026"/>
    <s v="SEPTIMA"/>
    <x v="3"/>
    <s v="AV BIOVECA RAIZ - 500 GR"/>
    <s v="Agroveca"/>
    <s v="Guía de Despacho Electrónica"/>
    <n v="185"/>
    <s v="UNIDAD"/>
    <n v="1"/>
    <n v="28500"/>
    <n v="28500"/>
    <s v="CLP"/>
    <s v="CHILE"/>
    <d v="2026-05-30T00:00:00"/>
    <s v="AV"/>
    <m/>
    <m/>
  </r>
  <r>
    <x v="0"/>
    <s v="77.536.995-7"/>
    <s v="RAMADA DE CAMPO SPA"/>
    <s v="30/01/2026"/>
    <s v="SEPTIMA "/>
    <x v="3"/>
    <s v="AV ROOT MAX - 1 L"/>
    <s v="Agroveca"/>
    <s v="Guía de Despacho Electrónica"/>
    <n v="185"/>
    <s v="LITROS"/>
    <n v="5"/>
    <n v="53625"/>
    <n v="10725"/>
    <s v="CLP"/>
    <s v="CHILE"/>
    <d v="2026-05-30T00:00:00"/>
    <s v="AV"/>
    <m/>
    <m/>
  </r>
  <r>
    <x v="0"/>
    <s v="77.536.995-7"/>
    <s v="RAMADA DE CAMPO SPA"/>
    <s v="30/01/2026"/>
    <s v="SEPTIMA"/>
    <x v="3"/>
    <s v="AV HUMIC ROOT - 20 L"/>
    <s v="Agroveca"/>
    <s v="Guía de Despacho Electrónica"/>
    <n v="185"/>
    <s v="LITROS"/>
    <n v="40"/>
    <n v="151520"/>
    <n v="3788"/>
    <s v="CLP"/>
    <s v="CHILE"/>
    <d v="2026-05-30T00:00:00"/>
    <s v="AV"/>
    <m/>
    <m/>
  </r>
  <r>
    <x v="0"/>
    <s v="77.536.995-7"/>
    <s v="RAMADA DE CAMPO SPA"/>
    <s v="30/01/2026"/>
    <s v="SEPTIMA "/>
    <x v="3"/>
    <s v="AV PLUS MAGNESIO - 1 L"/>
    <s v="Agroveca"/>
    <s v="Guía de Despacho Electrónica"/>
    <n v="185"/>
    <s v="LITROS"/>
    <n v="6"/>
    <n v="37350"/>
    <n v="6225"/>
    <s v="CLP"/>
    <s v="CHILE"/>
    <d v="2026-05-30T00:00:00"/>
    <s v="AV"/>
    <m/>
    <m/>
  </r>
  <r>
    <x v="0"/>
    <s v="77.536.995-7"/>
    <s v="RAMADA DE CAMPO SPA"/>
    <s v="30/01/2026"/>
    <s v="SEPTIMA"/>
    <x v="3"/>
    <s v="AV PLUS POTASIO - 1 L"/>
    <s v="Agroveca"/>
    <s v="Guía de Despacho Electrónica"/>
    <n v="185"/>
    <s v="LITROS"/>
    <n v="10"/>
    <n v="62250"/>
    <n v="6225"/>
    <s v="CLP"/>
    <s v="CHILE"/>
    <d v="2026-05-30T00:00:00"/>
    <s v="AV"/>
    <m/>
    <m/>
  </r>
  <r>
    <x v="0"/>
    <s v="77.536.995-7"/>
    <s v="RAMADA DE CAMPO SPA"/>
    <s v="30/01/2026"/>
    <s v="SEPTIMA "/>
    <x v="3"/>
    <s v="AV SILFORTE - 1 L"/>
    <s v="Agroveca"/>
    <s v="Guía de Despacho Electrónica"/>
    <n v="185"/>
    <s v="LITROS"/>
    <n v="4"/>
    <n v="58800"/>
    <n v="14700"/>
    <s v="CLP"/>
    <s v="CHILE"/>
    <d v="2026-05-30T00:00:00"/>
    <s v="AV"/>
    <m/>
    <m/>
  </r>
  <r>
    <x v="0"/>
    <s v="77.536.995-7"/>
    <s v="RAMADA DE CAMPO SPA"/>
    <s v="30/01/2026"/>
    <s v="SEPTIMA"/>
    <x v="3"/>
    <s v="AV ALGAP 30 - 1 L"/>
    <s v="Agroveca"/>
    <s v="Guía de Despacho Electrónica"/>
    <n v="185"/>
    <s v="LITROS"/>
    <n v="6"/>
    <n v="54000"/>
    <n v="9000"/>
    <s v="CLP"/>
    <s v="CHILE"/>
    <d v="2026-05-30T00:00:00"/>
    <s v="AV"/>
    <m/>
    <m/>
  </r>
  <r>
    <x v="0"/>
    <s v="77.536.995-7"/>
    <s v="RAMADA DE CAMPO SPA"/>
    <s v="30/01/2026"/>
    <s v="SEPTIMA "/>
    <x v="3"/>
    <s v="AV MOVE - 5 L"/>
    <s v="Agroveca"/>
    <s v="Guía de Despacho Electrónica"/>
    <n v="185"/>
    <s v="LITROS"/>
    <n v="10"/>
    <n v="86250"/>
    <n v="8625"/>
    <s v="CLP"/>
    <s v="CHILE"/>
    <d v="2026-05-30T00:00:00"/>
    <s v="AV"/>
    <m/>
    <m/>
  </r>
  <r>
    <x v="0"/>
    <s v="77.536.995-7"/>
    <s v="RAMADA DE CAMPO SPA"/>
    <s v="30/01/2026"/>
    <s v="SEPTIMA"/>
    <x v="3"/>
    <s v="AV CYTO PRIME - 1 L"/>
    <s v="Agroveca"/>
    <s v="Guía de Despacho Electrónica"/>
    <n v="185"/>
    <s v="LITROS"/>
    <n v="2"/>
    <n v="39750"/>
    <n v="19875"/>
    <s v="CLP"/>
    <s v="CHILE"/>
    <d v="2026-05-30T00:00:00"/>
    <s v="AV"/>
    <m/>
    <m/>
  </r>
  <r>
    <x v="0"/>
    <s v="77.536.995-7"/>
    <s v="RAMADA DE CAMPO SPA"/>
    <s v="30/01/2026"/>
    <s v="SEPTIMA "/>
    <x v="3"/>
    <s v="AV BALANCE - 1 L"/>
    <s v="Agroveca"/>
    <s v="Guía de Despacho Electrónica"/>
    <n v="185"/>
    <s v="LITROS"/>
    <n v="3"/>
    <n v="49275"/>
    <n v="16425"/>
    <s v="CLP"/>
    <s v="CHILE"/>
    <d v="2026-05-30T00:00:00"/>
    <s v="AV"/>
    <m/>
    <m/>
  </r>
  <r>
    <x v="0"/>
    <s v="77.536.995-7"/>
    <s v="RAMADA DE CAMPO SPA"/>
    <s v="30/01/2026"/>
    <s v="SEPTIMA"/>
    <x v="3"/>
    <s v="AV ALGAP 30 - 1 L"/>
    <s v="Agroveca"/>
    <s v="Guía de Despacho Electrónica"/>
    <n v="185"/>
    <s v="LITROS"/>
    <n v="6"/>
    <n v="54000"/>
    <n v="9000"/>
    <s v="CLP"/>
    <s v="CHILE"/>
    <d v="2026-05-30T00:00:00"/>
    <s v="AV"/>
    <m/>
    <m/>
  </r>
  <r>
    <x v="0"/>
    <s v="77.536.995-7"/>
    <s v="RAMADA DE CAMPO SPA"/>
    <s v="30/01/2026"/>
    <s v="SEPTIMA "/>
    <x v="3"/>
    <s v="AV PLUS CALCIO - 1 L"/>
    <s v="Agroveca"/>
    <s v="Guía de Despacho Electrónica"/>
    <n v="185"/>
    <s v="LITROS"/>
    <n v="8"/>
    <n v="49800"/>
    <n v="6225"/>
    <s v="CLP"/>
    <s v="CHILE"/>
    <d v="2026-05-30T00:00:00"/>
    <s v="AV"/>
    <m/>
    <m/>
  </r>
  <r>
    <x v="0"/>
    <s v="77.536.995-7"/>
    <s v="RAMADA DE CAMPO SPA"/>
    <s v="30/01/2026"/>
    <s v="SEPTIMA"/>
    <x v="3"/>
    <s v="AV PLUS POTASIO - 1 L"/>
    <s v="Agroveca"/>
    <s v="Guía de Despacho Electrónica"/>
    <n v="185"/>
    <s v="LITROS"/>
    <n v="10"/>
    <n v="62250"/>
    <n v="6225"/>
    <s v="CLP"/>
    <s v="CHILE"/>
    <d v="2026-05-30T00:00:00"/>
    <s v="AV"/>
    <m/>
    <m/>
  </r>
  <r>
    <x v="0"/>
    <s v="77.536.995-7"/>
    <s v="RAMADA DE CAMPO SPA"/>
    <s v="30/01/2026"/>
    <s v="SEPTIMA "/>
    <x v="3"/>
    <s v="AV MOVE - 5 L"/>
    <s v="Agroveca"/>
    <s v="Guía de Despacho Electrónica"/>
    <n v="185"/>
    <s v="LITROS"/>
    <n v="10"/>
    <n v="86250"/>
    <n v="8625"/>
    <s v="CLP"/>
    <s v="CHILE"/>
    <d v="2026-05-30T00:00:00"/>
    <s v="AV"/>
    <m/>
    <m/>
  </r>
  <r>
    <x v="0"/>
    <s v="77.536.995-7"/>
    <s v="RAMADA DE CAMPO SPA"/>
    <s v="30/01/2026"/>
    <s v="SEPTIMA"/>
    <x v="3"/>
    <s v="AV PLUS MAGNESIO - 1 L"/>
    <s v="Agroveca"/>
    <s v="Guía de Despacho Electrónica"/>
    <n v="185"/>
    <s v="LITROS"/>
    <n v="6"/>
    <n v="37350"/>
    <n v="6225"/>
    <s v="CLP"/>
    <s v="CHILE"/>
    <d v="2026-05-30T00:00:00"/>
    <s v="AV"/>
    <m/>
    <m/>
  </r>
  <r>
    <x v="0"/>
    <s v="77.536.995-7"/>
    <s v="RAMADA DE CAMPO SPA"/>
    <s v="30/01/2026"/>
    <s v="SEPTIMA "/>
    <x v="3"/>
    <s v="AV PLUS NUTRI MIX - 1 L"/>
    <s v="Agroveca"/>
    <s v="Guía de Despacho Electrónica"/>
    <n v="185"/>
    <s v="LITROS"/>
    <n v="8"/>
    <n v="52200"/>
    <n v="6525"/>
    <s v="CLP"/>
    <s v="CHILE"/>
    <d v="2026-05-30T00:00:00"/>
    <s v="AV"/>
    <m/>
    <m/>
  </r>
  <r>
    <x v="0"/>
    <s v="77.536.995-7"/>
    <s v="RAMADA DE CAMPO SPA"/>
    <s v="30/01/2026"/>
    <s v="SEPTIMA"/>
    <x v="3"/>
    <s v="AV BIOVECA RAIZ - 500 GR"/>
    <s v="Agroveca"/>
    <s v="Guía de Despacho Electrónica"/>
    <n v="185"/>
    <s v="UNIDAD"/>
    <n v="1"/>
    <n v="28500"/>
    <n v="28500"/>
    <s v="CLP"/>
    <s v="CHILE"/>
    <d v="2026-05-30T00:00:00"/>
    <s v="AV"/>
    <m/>
    <m/>
  </r>
  <r>
    <x v="0"/>
    <s v="77.536.995-7"/>
    <s v="RAMADA DE CAMPO SPA"/>
    <s v="30/01/2026"/>
    <s v="SEPTIMA "/>
    <x v="3"/>
    <s v="AV BIOVECA PRADERAS - 250 GR"/>
    <s v="Agrocomercial"/>
    <s v="Guía de Despacho Electrónica"/>
    <n v="185"/>
    <s v="UNIDAD"/>
    <n v="6"/>
    <n v="157500"/>
    <n v="26250"/>
    <s v="CLP"/>
    <s v="CHILE"/>
    <d v="2026-05-30T00:00:00"/>
    <s v="AV"/>
    <m/>
    <m/>
  </r>
  <r>
    <x v="0"/>
    <s v="77.941.544-9"/>
    <s v="BODEN SPA"/>
    <s v="30/01/2026"/>
    <s v="LOS LAGOS"/>
    <x v="3"/>
    <s v="BODENPRO POTASIO - 20 L"/>
    <s v="Agrocomercial"/>
    <s v="Guía de Despacho Electrónica"/>
    <n v="187"/>
    <s v="LITROS"/>
    <n v="2000"/>
    <n v="3780000"/>
    <n v="1890"/>
    <s v="CLP"/>
    <s v="CHILE"/>
    <d v="2026-06-01T00:00:00"/>
    <s v="AV"/>
    <m/>
    <m/>
  </r>
  <r>
    <x v="1"/>
    <s v="76.238.110-9"/>
    <s v="AGRICOLA FRANCISCA MONTES E.I.R.L"/>
    <s v="02/02/2026"/>
    <s v="SEXTA"/>
    <x v="0"/>
    <s v="AV BALANCE - 20 L"/>
    <s v="Agroveca"/>
    <s v="Factura Electrónica"/>
    <n v="483"/>
    <s v="LITROS"/>
    <n v="20"/>
    <n v="300000"/>
    <n v="15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BALANCE - 5 L"/>
    <s v="Agroveca"/>
    <s v="Factura Electrónica"/>
    <n v="483"/>
    <s v="LITROS"/>
    <n v="5"/>
    <n v="75000"/>
    <n v="15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BALANCE - 1 L"/>
    <s v="Agroveca"/>
    <s v="Factura Electrónica"/>
    <n v="483"/>
    <s v="LITROS"/>
    <n v="1"/>
    <n v="15000"/>
    <n v="15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20 L"/>
    <s v="Agroveca"/>
    <s v="Factura Electrónica"/>
    <n v="483"/>
    <s v="LITROS"/>
    <n v="20"/>
    <n v="80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5 L"/>
    <s v="Agroveca"/>
    <s v="Factura Electrónica"/>
    <n v="483"/>
    <s v="LITROS"/>
    <n v="5"/>
    <n v="20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1 L"/>
    <s v="Agroveca"/>
    <s v="Factura Electrónica"/>
    <n v="483"/>
    <s v="LITROS"/>
    <n v="1"/>
    <n v="4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20 L"/>
    <s v="Agroveca"/>
    <s v="Factura Electrónica"/>
    <n v="483"/>
    <s v="LITROS"/>
    <n v="20"/>
    <n v="80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5 L"/>
    <s v="Agroveca"/>
    <s v="Factura Electrónica"/>
    <n v="483"/>
    <s v="LITROS"/>
    <n v="5"/>
    <n v="20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1 L"/>
    <s v="Agroveca"/>
    <s v="Factura Electrónica"/>
    <n v="483"/>
    <s v="LITROS"/>
    <n v="1"/>
    <n v="4000"/>
    <n v="4000"/>
    <s v="CLP"/>
    <s v="CHILE"/>
    <d v="2026-03-04T00:00:00"/>
    <s v="AV"/>
    <m/>
    <m/>
  </r>
  <r>
    <x v="1"/>
    <s v="76.421.617-2"/>
    <s v="AGRICOLA CASA DEL CERRILLO EIRL"/>
    <s v="02/02/2026"/>
    <s v="QUINTA"/>
    <x v="1"/>
    <s v="AV AMIN SUGAR - 20 L"/>
    <s v="Agroveca"/>
    <s v="Factura Electrónica"/>
    <n v="484"/>
    <s v="LITROS"/>
    <n v="20"/>
    <n v="110000"/>
    <n v="5500"/>
    <s v="CLP"/>
    <s v="CHILE"/>
    <d v="2026-03-01T00:00:00"/>
    <s v="AV"/>
    <m/>
    <m/>
  </r>
  <r>
    <x v="1"/>
    <s v="76.421.617-2"/>
    <s v="AGRICOLA CASA DEL CERRILLO EIRL"/>
    <s v="02/02/2026"/>
    <s v="QUINTA"/>
    <x v="1"/>
    <s v="AV AMIN SUGAR - 5 L"/>
    <s v="Agroveca"/>
    <s v="Factura Electrónica"/>
    <n v="484"/>
    <s v="LITROS"/>
    <n v="5"/>
    <n v="27500"/>
    <n v="5500"/>
    <s v="CLP"/>
    <s v="CHILE"/>
    <d v="2026-03-01T00:00:00"/>
    <s v="AV"/>
    <m/>
    <m/>
  </r>
  <r>
    <x v="1"/>
    <s v="76.412.827-3"/>
    <s v="FRUTICOLA RIO BLANCO SPA"/>
    <s v="02/02/2026"/>
    <s v="METROPOLITANA"/>
    <x v="0"/>
    <s v="AV ROOT MAX - 20 L"/>
    <s v="Agroveca"/>
    <s v="Factura Electrónica"/>
    <n v="485"/>
    <s v="LITROS"/>
    <n v="40"/>
    <n v="0"/>
    <n v="0"/>
    <s v="CLP"/>
    <s v="CHILE"/>
    <d v="2026-04-30T00:00:00"/>
    <s v="AV"/>
    <s v="GUIA N 162"/>
    <d v="2026-01-22T00:00:00"/>
  </r>
  <r>
    <x v="1"/>
    <s v="76.031.255-K"/>
    <s v="AGRICOLA LLANQUIHUE S.A."/>
    <s v="02/02/2026"/>
    <s v="DECIMA"/>
    <x v="0"/>
    <s v="AV BIOVECA PRADERAS - 250 GR"/>
    <s v="Agroveca"/>
    <s v="Factura Electrónica"/>
    <n v="486"/>
    <s v="UNIDAD"/>
    <n v="100"/>
    <n v="2600000"/>
    <n v="26000"/>
    <s v="CLP"/>
    <s v="CHILE"/>
    <d v="2026-03-04T00:00:00"/>
    <s v="AV"/>
    <s v="GUIA N 188"/>
    <d v="2026-02-02T00:00:00"/>
  </r>
  <r>
    <x v="1"/>
    <s v="76.031.255-K"/>
    <s v="AGRICOLA LLANQUIHUE S.A."/>
    <s v="02/02/2026"/>
    <s v="DECIMA"/>
    <x v="0"/>
    <s v="AV BIOVECA PRADERAS - 250 GR"/>
    <s v="Agroveca"/>
    <s v="Guía de Despacho Electrónica"/>
    <n v="188"/>
    <s v="UNIDAD"/>
    <n v="100"/>
    <n v="0"/>
    <n v="0"/>
    <s v="CLP"/>
    <s v="CHILE"/>
    <d v="2026-03-04T00:00:00"/>
    <s v="AV"/>
    <m/>
    <m/>
  </r>
  <r>
    <x v="1"/>
    <s v="77.036.196-6"/>
    <s v="SOCIEDAD COMERCIAL RYN SPA"/>
    <s v="02/02/2026"/>
    <s v="SEXTA"/>
    <x v="4"/>
    <s v="AV HUMIC ROOT - 20 L"/>
    <s v="Agroveca"/>
    <s v="Guía de Despacho Electrónica"/>
    <n v="189"/>
    <s v="LITROS"/>
    <n v="100"/>
    <n v="270000"/>
    <n v="2700"/>
    <s v="CLP"/>
    <s v="CHILE"/>
    <d v="2026-05-31T00:00:00"/>
    <s v="AV"/>
    <m/>
    <m/>
  </r>
  <r>
    <x v="1"/>
    <s v="77.036.196-6"/>
    <s v="SOCIEDAD COMERCIAL RYN SPA"/>
    <s v="02/02/2026"/>
    <s v="SEXTA"/>
    <x v="4"/>
    <s v="AV HUMIC ROOT - 200 L"/>
    <s v="Agroveca"/>
    <s v="Guía de Despacho Electrónica"/>
    <n v="189"/>
    <s v="LITROS"/>
    <n v="400"/>
    <n v="1000000"/>
    <n v="2500"/>
    <s v="CLP"/>
    <s v="CHILE"/>
    <d v="2026-05-31T00:00:00"/>
    <s v="AV"/>
    <m/>
    <m/>
  </r>
  <r>
    <x v="1"/>
    <s v="17.504.838-3"/>
    <s v="ALUDI ALEJANDRA REYES PEREZ"/>
    <s v="03/02/2026"/>
    <s v="SEXTA"/>
    <x v="4"/>
    <s v="AV BALANCE - 20 L"/>
    <s v="Agroveca"/>
    <s v="Factura Electrónica"/>
    <n v="487"/>
    <s v="LITROS"/>
    <n v="20"/>
    <n v="235600"/>
    <n v="11780"/>
    <s v="CLP"/>
    <s v="CHILE"/>
    <d v="2026-03-05T00:00:00"/>
    <s v="AV"/>
    <m/>
    <m/>
  </r>
  <r>
    <x v="1"/>
    <s v="17.504.838-3"/>
    <s v="ALUDI ALEJANDRA REYES PEREZ"/>
    <s v="03/02/2026"/>
    <s v="SEXTA"/>
    <x v="4"/>
    <s v="AV PLUS MAGNESIO - 5 L"/>
    <s v="Agroveca"/>
    <s v="Factura Electrónica"/>
    <n v="487"/>
    <s v="LITROS"/>
    <n v="10"/>
    <n v="43300"/>
    <n v="4330"/>
    <s v="CLP"/>
    <s v="CHILE"/>
    <d v="2026-03-05T00:00:00"/>
    <s v="AV"/>
    <m/>
    <m/>
  </r>
  <r>
    <x v="1"/>
    <s v="78.109.329-7"/>
    <s v="SOCIEDAD COMERCIAL HIERBA BUENA LIMITADA"/>
    <s v="03/02/2026"/>
    <s v="METROPOLITANA"/>
    <x v="7"/>
    <s v="BALANCE 500CC GATILLO"/>
    <s v="Agrocomercial"/>
    <s v="Factura Electrónica"/>
    <n v="488"/>
    <s v="UNIDAD"/>
    <n v="20"/>
    <n v="0"/>
    <n v="0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SILFORTEM 500 CC GATILLO"/>
    <s v="Agrocomercial"/>
    <s v="Factura Electrónica"/>
    <n v="488"/>
    <s v="UNIDAD"/>
    <n v="5"/>
    <n v="0"/>
    <n v="0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BALANCE CONC. 500CC"/>
    <s v="Agrocomercial"/>
    <s v="Factura Electrónica"/>
    <n v="488"/>
    <s v="UNIDAD"/>
    <n v="1"/>
    <n v="0"/>
    <n v="0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BALANCE CONC. 200CC"/>
    <s v="Agrocomercial"/>
    <s v="Factura Electrónica"/>
    <n v="488"/>
    <s v="UNIDAD"/>
    <n v="3"/>
    <n v="0"/>
    <n v="0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TERRAPULSE CONC. 200 CC"/>
    <s v="Agrocomercial"/>
    <s v="Factura Electrónica"/>
    <n v="488"/>
    <s v="UNIDAD"/>
    <n v="5"/>
    <n v="0"/>
    <n v="0"/>
    <s v="CLP"/>
    <s v="CHILE"/>
    <d v="2026-02-03T00:00:00"/>
    <s v="AV"/>
    <m/>
    <m/>
  </r>
  <r>
    <x v="1"/>
    <s v="78.168.038-9"/>
    <s v="INSUMOS AGRICOLAS RAICES DEL CAMPO SPA"/>
    <s v="04/02/2026"/>
    <s v="METROPOLITANA"/>
    <x v="3"/>
    <s v="VECA MAX FULVIC 45% - 20 L"/>
    <s v="Agrocomercial"/>
    <s v="Factura Electrónica"/>
    <n v="489"/>
    <s v="LTS"/>
    <n v="200"/>
    <n v="0"/>
    <n v="0"/>
    <s v="CLP"/>
    <s v="CHILE"/>
    <d v="2026-02-08T00:00:00"/>
    <s v="AV"/>
    <s v="GUIA N 96"/>
    <d v="2025-12-10T00:00:00"/>
  </r>
  <r>
    <x v="1"/>
    <s v="78.168.038-9"/>
    <s v="INSUMOS AGRICOLAS RAICES DEL CAMPO SPA"/>
    <s v="04/02/2026"/>
    <s v="METROPOLITANA"/>
    <x v="3"/>
    <s v="VECA MAX FULVIC 45% - 20 L"/>
    <s v="Agrocomercial"/>
    <s v="Factura Electrónica"/>
    <n v="490"/>
    <s v="LTS"/>
    <n v="300"/>
    <n v="0"/>
    <n v="0"/>
    <s v="CLP"/>
    <s v="CHILE"/>
    <d v="2026-02-14T00:00:00"/>
    <s v="AV"/>
    <s v="GUIA N 103"/>
    <d v="2026-12-16T00:00:00"/>
  </r>
  <r>
    <x v="1"/>
    <s v="77.112.646-4"/>
    <s v="AGRICOLA LAS VERTIENTES S.A."/>
    <s v="04/02/2026"/>
    <s v="SEXTA"/>
    <x v="4"/>
    <s v="AV BALANCE - 20 L"/>
    <s v="Agrocomercial"/>
    <s v="Factura Electrónica"/>
    <n v="491"/>
    <s v="LITROS"/>
    <n v="120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BALANCE - 5 L"/>
    <s v="Agrocomercial"/>
    <s v="Factura Electrónica"/>
    <n v="491"/>
    <s v="LITROS"/>
    <n v="5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BALANCE - 1 L"/>
    <s v="Agrocomercial"/>
    <s v="Factura Electrónica"/>
    <n v="491"/>
    <s v="LITROS"/>
    <n v="1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PLUS ZINC MANGANESO - 20 L"/>
    <s v="Agroveca"/>
    <s v="Factura Electrónica"/>
    <n v="492"/>
    <s v="LITROS"/>
    <n v="60"/>
    <n v="0"/>
    <n v="0"/>
    <s v="CLP"/>
    <s v="CHILE"/>
    <d v="2026-05-22T00:00:00"/>
    <s v="AV"/>
    <s v="GUIA N 168"/>
    <d v="2026-01-23T00:00:00"/>
  </r>
  <r>
    <x v="1"/>
    <s v="77.112.646-4"/>
    <s v="AGRICOLA LAS VERTIENTES S.A."/>
    <s v="04/02/2026"/>
    <s v="SEXTA"/>
    <x v="4"/>
    <s v="AV PLUS MAGNESIO - 20 L"/>
    <s v="Agroveca"/>
    <s v="Factura Electrónica"/>
    <n v="492"/>
    <s v="LITROS"/>
    <n v="480"/>
    <n v="0"/>
    <n v="0"/>
    <s v="CLP"/>
    <s v="CHILE"/>
    <d v="2026-05-22T00:00:00"/>
    <s v="AV"/>
    <s v="GUIA N 168"/>
    <d v="2026-01-23T00:00:00"/>
  </r>
  <r>
    <x v="1"/>
    <s v="77.112.646-4"/>
    <s v="AGRICOLA LAS VERTIENTES S.A."/>
    <s v="04/02/2026"/>
    <s v="SEXTA"/>
    <x v="4"/>
    <s v="AV PLUS POTASIO - 20 L"/>
    <s v="Agroveca"/>
    <s v="Factura Electrónica"/>
    <n v="492"/>
    <s v="LITROS"/>
    <n v="440"/>
    <n v="0"/>
    <n v="0"/>
    <s v="CLP"/>
    <s v="CHILE"/>
    <d v="2026-05-22T00:00:00"/>
    <s v="AV"/>
    <s v="GUIA N 168"/>
    <d v="2026-01-23T00:00:00"/>
  </r>
  <r>
    <x v="1"/>
    <s v="78.260.910-6"/>
    <s v="SOC AGRICOLA SANTA TERESA LIMITADA"/>
    <s v="05/02/2026"/>
    <s v="CUARTA"/>
    <x v="0"/>
    <s v="VECA MAX FULVIC 45% - 20 L"/>
    <s v="Agroveca"/>
    <s v="Factura Electrónica"/>
    <n v="493"/>
    <s v="LTS"/>
    <n v="32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K-DEFEND MAX - 20 L"/>
    <s v="Agroveca"/>
    <s v="Factura Electrónica"/>
    <n v="493"/>
    <s v="LTS"/>
    <n v="8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K-DEFEND MAX - 5 L"/>
    <s v="Agroveca"/>
    <s v="Factura Electrónica"/>
    <n v="493"/>
    <s v="LTS"/>
    <n v="1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SIL FORTE - 20 L"/>
    <s v="Agroveca"/>
    <s v="Factura Electrónica"/>
    <n v="493"/>
    <s v="LTS"/>
    <n v="8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SIL FORTE - 5 L"/>
    <s v="Agroveca"/>
    <s v="Factura Electrónica"/>
    <n v="493"/>
    <s v="LTS"/>
    <n v="1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ALGAP 30 - 20 L"/>
    <s v="Agroveca"/>
    <s v="Factura Electrónica"/>
    <n v="493"/>
    <s v="LTS"/>
    <n v="32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AMIN - 20 L"/>
    <s v="Agroveca"/>
    <s v="Factura Electrónica"/>
    <n v="493"/>
    <s v="LTS"/>
    <n v="28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BLOOM - 20 L"/>
    <s v="Agroveca"/>
    <s v="Factura Electrónica"/>
    <n v="493"/>
    <s v="LTS"/>
    <n v="14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BIOVECA RAIZ - 500 GRS"/>
    <s v="Agroveca"/>
    <s v="Factura Electrónica"/>
    <n v="493"/>
    <s v="UN"/>
    <n v="28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ROOT MAX - 20 L"/>
    <s v="Agroveca"/>
    <s v="Factura Electrónica"/>
    <n v="493"/>
    <s v="LTS"/>
    <n v="460"/>
    <n v="0"/>
    <n v="0"/>
    <s v="CLP"/>
    <s v="CHILE"/>
    <d v="2026-03-07T00:00:00"/>
    <s v="AV"/>
    <s v="GUIA AV N 832"/>
    <d v="2025-11-17T00:00:00"/>
  </r>
  <r>
    <x v="1"/>
    <s v="77.242.610-0"/>
    <s v="SOC AGRICOLA LAS TINAJAS LIMITADA"/>
    <s v="05/02/2026"/>
    <s v="CUARTA"/>
    <x v="4"/>
    <s v="AV ALGAP 30 - 20 L"/>
    <s v="Agrocomercial"/>
    <s v="Guía de Despacho Electrónica"/>
    <n v="194"/>
    <s v="LITROS"/>
    <n v="80"/>
    <n v="336175"/>
    <n v="4202.1875"/>
    <s v="CLP"/>
    <s v="CHILE"/>
    <d v="2026-06-05T00:00:00"/>
    <s v="AV"/>
    <m/>
    <m/>
  </r>
  <r>
    <x v="1"/>
    <s v="77.242.610-0"/>
    <s v="SOC AGRICOLA LAS TINAJAS LIMITADA"/>
    <s v="05/02/2026"/>
    <s v="CUARTA"/>
    <x v="4"/>
    <s v="AV ALGAP 30 - 5 L"/>
    <s v="Agrocomercial"/>
    <s v="Guía de Despacho Electrónica"/>
    <n v="194"/>
    <s v="LITROS"/>
    <n v="10"/>
    <n v="42022"/>
    <n v="4202.2"/>
    <s v="CLP"/>
    <s v="CHILE"/>
    <d v="2026-06-05T00:00:00"/>
    <s v="AV"/>
    <m/>
    <m/>
  </r>
  <r>
    <x v="1"/>
    <s v="77.773.872-0"/>
    <s v="GREENBRO SPA"/>
    <s v="06/02/2026"/>
    <s v="SEXTA"/>
    <x v="0"/>
    <s v="AV ROOT MAX - 20 L"/>
    <s v="Agroveca"/>
    <s v="Guía de Despacho Electrónica"/>
    <n v="195"/>
    <s v="LITROS"/>
    <n v="20"/>
    <n v="178400"/>
    <n v="8920"/>
    <s v="CLP"/>
    <s v="CHILE"/>
    <d v="2026-03-08T00:00:00"/>
    <s v="AV"/>
    <m/>
    <m/>
  </r>
  <r>
    <x v="1"/>
    <s v="77.773.872-0"/>
    <s v="GREENBRO SPA"/>
    <s v="06/02/2026"/>
    <s v="SEXTA"/>
    <x v="0"/>
    <s v="AV AMIN - 20 L"/>
    <s v="Agroveca"/>
    <s v="Guía de Despacho Electrónica"/>
    <n v="195"/>
    <s v="LITROS"/>
    <n v="20"/>
    <n v="104800"/>
    <n v="5240"/>
    <s v="CLP"/>
    <s v="CHILE"/>
    <d v="2026-03-08T00:00:00"/>
    <s v="AV"/>
    <m/>
    <m/>
  </r>
  <r>
    <x v="1"/>
    <s v="77.773.872-0"/>
    <s v="GREENBRO SPA"/>
    <s v="06/02/2026"/>
    <s v="SEXTA"/>
    <x v="0"/>
    <s v="AV PLUS CALCIO BORO - 5 L"/>
    <s v="Agroveca"/>
    <s v="Guía de Despacho Electrónica"/>
    <n v="195"/>
    <s v="LITROS"/>
    <n v="5"/>
    <n v="28895"/>
    <n v="5779"/>
    <s v="CLP"/>
    <s v="CHILE"/>
    <d v="2026-03-08T00:00:00"/>
    <s v="AV"/>
    <m/>
    <m/>
  </r>
  <r>
    <x v="1"/>
    <s v="77.773.872-0"/>
    <s v="GREENBRO SPA"/>
    <s v="06/02/2026"/>
    <s v="SEXTA"/>
    <x v="0"/>
    <s v="AV BIOVECA RAIZ - 500 GR"/>
    <s v="Agroveca"/>
    <s v="Guía de Despacho Electrónica"/>
    <n v="195"/>
    <s v="UNIDAD"/>
    <n v="3"/>
    <n v="114000"/>
    <n v="38000"/>
    <s v="CLP"/>
    <s v="CHILE"/>
    <d v="2026-03-08T00:00:00"/>
    <s v="AV"/>
    <m/>
    <m/>
  </r>
  <r>
    <x v="1"/>
    <s v="77.773.872-0"/>
    <s v="GREENBRO SPA"/>
    <s v="06/02/2026"/>
    <s v="SEXTA"/>
    <x v="0"/>
    <s v="AV BIOVECA FOLIAR - 250 GR"/>
    <s v="Agroveca"/>
    <s v="Guía de Despacho Electrónica"/>
    <n v="195"/>
    <s v="UNIDAD"/>
    <n v="1"/>
    <n v="28000"/>
    <n v="28000"/>
    <s v="CLP"/>
    <s v="CHILE"/>
    <d v="2026-03-08T00:00:00"/>
    <s v="AV"/>
    <m/>
    <m/>
  </r>
  <r>
    <x v="1"/>
    <s v="77.773.872-0"/>
    <s v="GREENBRO SPA"/>
    <s v="06/02/2026"/>
    <s v="SEXTA"/>
    <x v="0"/>
    <s v="AV BIOVECA PRADERAS - 250 GR"/>
    <s v="Agroveca"/>
    <s v="Guía de Despacho Electrónica"/>
    <n v="195"/>
    <s v="UNIDAD"/>
    <n v="1"/>
    <n v="28000"/>
    <n v="28000"/>
    <s v="CLP"/>
    <s v="CHILE"/>
    <d v="2026-03-08T00:00:00"/>
    <s v="AV"/>
    <m/>
    <m/>
  </r>
  <r>
    <x v="1"/>
    <s v="11.260.728-5"/>
    <s v="RICARDO ANTONIO ARAYA ALVAREZ"/>
    <s v="06/02/2026"/>
    <s v="CUARTA"/>
    <x v="0"/>
    <s v="AV MAX FULVIC 45% - 20 L"/>
    <s v="Agroveca"/>
    <s v="Guía de Despacho Electrónica"/>
    <n v="196"/>
    <s v="LITROS"/>
    <n v="20"/>
    <n v="80000"/>
    <n v="4000"/>
    <s v="CLP"/>
    <s v="CHILE"/>
    <d v="2026-03-08T00:00:00"/>
    <s v="AV"/>
    <m/>
    <m/>
  </r>
  <r>
    <x v="1"/>
    <s v="11.260.728-5"/>
    <s v="RICARDO ANTONIO ARAYA ALVAREZ"/>
    <s v="06/02/2026"/>
    <s v="CUARTA"/>
    <x v="0"/>
    <s v="AV BIOVECA PRADERAS - 250 GR"/>
    <s v="Agroveca"/>
    <s v="Guía de Despacho Electrónica"/>
    <n v="196"/>
    <s v="UNIDAD"/>
    <n v="2"/>
    <n v="56000"/>
    <n v="28000"/>
    <s v="CLP"/>
    <s v="CHILE"/>
    <d v="2026-03-08T00:00:00"/>
    <s v="AV"/>
    <m/>
    <m/>
  </r>
  <r>
    <x v="1"/>
    <s v="11.260.728-5"/>
    <s v="RICARDO ANTONIO ARAYA ALVAREZ"/>
    <s v="06/02/2026"/>
    <s v="CUARTA"/>
    <x v="0"/>
    <s v="AV SILFORTE - 5 L"/>
    <s v="Agroveca"/>
    <s v="Guía de Despacho Electrónica"/>
    <n v="196"/>
    <s v="LITROS"/>
    <n v="10"/>
    <n v="103000"/>
    <n v="10300"/>
    <s v="CLP"/>
    <s v="CHILE"/>
    <d v="2026-03-08T00:00:00"/>
    <s v="AV"/>
    <m/>
    <m/>
  </r>
  <r>
    <x v="1"/>
    <s v="6.725.491-0"/>
    <s v="JOSE CRISTOBAL GONZALEZ CORREA"/>
    <s v="10/02/2026"/>
    <s v="SEXTA"/>
    <x v="4"/>
    <s v="AV PLUS POTASIO - 20 L"/>
    <s v="Agroveca"/>
    <s v="Factura Electrónica"/>
    <n v="494"/>
    <s v="LITROS"/>
    <n v="60"/>
    <n v="143520"/>
    <n v="2392"/>
    <s v="CLP"/>
    <s v="CHILE"/>
    <d v="2026-03-12T00:00:00"/>
    <s v="AV"/>
    <m/>
    <m/>
  </r>
  <r>
    <x v="1"/>
    <s v="78.485.940-1"/>
    <s v="H R INVERSIONES SPA"/>
    <s v="10/02/2026"/>
    <s v="QUINTA "/>
    <x v="1"/>
    <s v="AV HUMIC ROOT - 200 L"/>
    <s v="Agroveca"/>
    <s v="Factura Electrónica"/>
    <n v="495"/>
    <s v="LITROS"/>
    <n v="1000"/>
    <n v="2300000"/>
    <n v="2300"/>
    <s v="CLP"/>
    <s v="CHILE"/>
    <d v="2026-05-02T00:00:00"/>
    <s v="AV"/>
    <m/>
    <m/>
  </r>
  <r>
    <x v="1"/>
    <s v="78.485.940-1"/>
    <s v="H R INVERSIONES SPA"/>
    <s v="10/02/2026"/>
    <s v="QUINTA "/>
    <x v="1"/>
    <s v="AV HUMIC ROOT - 20 L"/>
    <s v="Agroveca"/>
    <s v="Factura Electrónica"/>
    <n v="495"/>
    <s v="LITROS"/>
    <n v="80"/>
    <n v="184000"/>
    <n v="2300"/>
    <s v="CLP"/>
    <s v="CHILE"/>
    <d v="2026-05-02T00:00:00"/>
    <s v="AV"/>
    <m/>
    <m/>
  </r>
  <r>
    <x v="1"/>
    <s v="4.174.809-5"/>
    <s v="GUILLERMO SEGUNDO CONCHA BUSTOS"/>
    <s v="10/02/2026"/>
    <s v="TERCERA"/>
    <x v="5"/>
    <s v="AV MOVE - 20 L"/>
    <s v="Agroveca"/>
    <s v="Factura Electrónica"/>
    <n v="496"/>
    <s v="LITROS"/>
    <n v="100"/>
    <n v="840000"/>
    <n v="8400"/>
    <s v="CLP"/>
    <s v="CHILE"/>
    <d v="2026-02-10T00:00:00"/>
    <s v="AV"/>
    <m/>
    <m/>
  </r>
  <r>
    <x v="1"/>
    <s v="76.878.072-2"/>
    <s v="SOCIEDAD AGRICOLA FRUTOS DE ÑUBLE LIMITADA"/>
    <s v="10/02/2026"/>
    <s v="ÑUBLE "/>
    <x v="2"/>
    <s v="ANALISIS V-CO-0000 HOJAS ARANDANO"/>
    <s v="Laboratorio"/>
    <s v="Factura Electrónica"/>
    <n v="497"/>
    <s v="UN"/>
    <n v="2"/>
    <n v="0"/>
    <n v="0"/>
    <s v="CLP"/>
    <s v="CHILE"/>
    <d v="2026-02-10T00:00:00"/>
    <s v="AV"/>
    <m/>
    <m/>
  </r>
  <r>
    <x v="1"/>
    <s v="9.056.061-1"/>
    <s v="FELIPE ALBERTO RIQUELME ACUNA"/>
    <s v="10/02/2026"/>
    <s v="ÑUBLE "/>
    <x v="2"/>
    <s v="ANALISIS V-C0-0000 HOJAS ARANDANO"/>
    <s v="Laboratorio"/>
    <s v="Factura Electrónica"/>
    <n v="498"/>
    <s v="UN"/>
    <n v="1"/>
    <n v="0"/>
    <n v="0"/>
    <s v="CLP"/>
    <s v="CHILE"/>
    <d v="2026-02-10T00:00:00"/>
    <s v="AV"/>
    <m/>
    <m/>
  </r>
  <r>
    <x v="1"/>
    <s v="9.056.061-1"/>
    <s v="FELIPE ALBERTO RIQUELME ACUNA"/>
    <s v="10/02/2026"/>
    <s v="ÑUBLE "/>
    <x v="2"/>
    <s v="ANALISIS V-C0-0000 HOJAS CEREZO"/>
    <s v="Agrocomercial"/>
    <s v="Factura Electrónica"/>
    <n v="498"/>
    <s v="UN"/>
    <n v="1"/>
    <n v="0"/>
    <n v="0"/>
    <s v="CLP"/>
    <s v="CHILE"/>
    <d v="2026-02-10T00:00:00"/>
    <s v="AV"/>
    <m/>
    <m/>
  </r>
  <r>
    <x v="1"/>
    <s v="86.673.700-2"/>
    <s v="AGRICOLA LOS ALAMOS LTDA"/>
    <s v="10/02/2026"/>
    <s v="SEXTA"/>
    <x v="0"/>
    <s v="AV MOVE - 20 L"/>
    <s v="Agrocomercial"/>
    <s v="Factura Electrónica"/>
    <n v="499"/>
    <s v="LITROS"/>
    <n v="40"/>
    <n v="0"/>
    <n v="0"/>
    <s v="CLP"/>
    <s v="CHILE"/>
    <d v="2026-03-12T00:00:00"/>
    <s v="AV"/>
    <s v="GUIA N 198"/>
    <d v="2026-02-02T00:00:00"/>
  </r>
  <r>
    <x v="1"/>
    <s v="86.673.700-2"/>
    <s v="AGRICOLA LOS ALAMOS LTDA"/>
    <s v="10/02/2026"/>
    <s v="SEXTA"/>
    <x v="0"/>
    <s v="AV MOVE - 5 L"/>
    <s v="Agrocomercial"/>
    <s v="Factura Electrónica"/>
    <n v="499"/>
    <s v="LITROS"/>
    <n v="10"/>
    <n v="0"/>
    <n v="0"/>
    <s v="CLP"/>
    <s v="CHILE"/>
    <d v="2026-03-12T00:00:00"/>
    <s v="AV"/>
    <s v="GUIA N 198"/>
    <d v="2026-02-02T00:00:00"/>
  </r>
  <r>
    <x v="1"/>
    <s v="77.119.412-5"/>
    <s v="AGRICOLA ADNAL LTDA"/>
    <s v="10/02/2026"/>
    <s v="METROPOLITANA"/>
    <x v="0"/>
    <s v="AV SILFORTE - 20 L"/>
    <s v="Agroveca"/>
    <s v="Factura Electrónica"/>
    <n v="500"/>
    <s v="LITROS"/>
    <n v="60"/>
    <n v="858000"/>
    <n v="14300"/>
    <s v="CLP"/>
    <s v="CHILE"/>
    <d v="2026-03-12T00:00:00"/>
    <s v="AV"/>
    <m/>
    <m/>
  </r>
  <r>
    <x v="1"/>
    <s v="86.673.700-2"/>
    <s v="AGRICOLA LOS ALAMOS LTDA"/>
    <s v="10/02/2026"/>
    <s v="SEXTA"/>
    <x v="0"/>
    <s v="AV MOVE - 20 L"/>
    <s v="Agroveca"/>
    <s v="Factura Electrónica"/>
    <n v="501"/>
    <s v="LITROS"/>
    <n v="40"/>
    <n v="300000"/>
    <n v="7500"/>
    <s v="CLP"/>
    <s v="CHILE"/>
    <d v="2026-03-12T00:00:00"/>
    <s v="AV"/>
    <m/>
    <m/>
  </r>
  <r>
    <x v="1"/>
    <s v="86.673.700-2"/>
    <s v="AGRICOLA LOS ALAMOS LTDA"/>
    <s v="10/02/2026"/>
    <s v="SEXTA"/>
    <x v="0"/>
    <s v="AV MOVE - 5 L"/>
    <s v="Agroveca"/>
    <s v="Factura Electrónica"/>
    <n v="501"/>
    <s v="LITROS"/>
    <n v="10"/>
    <n v="75000"/>
    <n v="7500"/>
    <s v="CLP"/>
    <s v="CHILE"/>
    <d v="2026-03-12T00:00:00"/>
    <s v="AV"/>
    <m/>
    <m/>
  </r>
  <r>
    <x v="1"/>
    <s v="76.073.818-2"/>
    <s v="AGRICOLA LA ITALIANA LTDA"/>
    <s v="10/02/2026"/>
    <s v="CUARTA"/>
    <x v="0"/>
    <s v="AV BALANCE - 20 L"/>
    <s v="Agroveca"/>
    <s v="Factura Electrónica"/>
    <n v="502"/>
    <s v="LITROS"/>
    <n v="20"/>
    <n v="300000"/>
    <n v="15000"/>
    <s v="CLP"/>
    <s v="CHILE"/>
    <d v="2026-06-10T00:00:00"/>
    <s v="AV"/>
    <m/>
    <m/>
  </r>
  <r>
    <x v="1"/>
    <s v="11.260.728-5"/>
    <s v="RICARDO ANTONIO ARAYA ALVAREZ"/>
    <s v="10/02/2026"/>
    <s v="CUARTA"/>
    <x v="0"/>
    <s v="AV MAX FULVIC 45% - 20 L"/>
    <s v="Agroveca"/>
    <s v="Factura Electrónica"/>
    <n v="503"/>
    <s v="LITROS"/>
    <n v="20"/>
    <n v="0"/>
    <n v="0"/>
    <s v="CLP"/>
    <s v="CHILE"/>
    <d v="2026-03-12T00:00:00"/>
    <s v="AV"/>
    <s v="GUIA N 196"/>
    <d v="2026-02-06T00:00:00"/>
  </r>
  <r>
    <x v="1"/>
    <s v="11.260.728-5"/>
    <s v="RICARDO ANTONIO ARAYA ALVAREZ"/>
    <s v="10/02/2026"/>
    <s v="CUARTA"/>
    <x v="0"/>
    <s v="AV BIOVECA PRADERAS - 250 GR"/>
    <s v="Agroveca"/>
    <s v="Factura Electrónica"/>
    <n v="503"/>
    <s v="UNIDAD"/>
    <n v="2"/>
    <n v="0"/>
    <n v="0"/>
    <s v="CLP"/>
    <s v="CHILE"/>
    <d v="2026-03-12T00:00:00"/>
    <s v="AV"/>
    <s v="GUIA N 196"/>
    <d v="2026-02-06T00:00:00"/>
  </r>
  <r>
    <x v="1"/>
    <s v="11.260.728-5"/>
    <s v="RICARDO ANTONIO ARAYA ALVAREZ"/>
    <s v="10/02/2026"/>
    <s v="CUARTA"/>
    <x v="0"/>
    <s v="AV SILFORTE - 5 L"/>
    <s v="Agroveca"/>
    <s v="Factura Electrónica"/>
    <n v="503"/>
    <s v="LITROS"/>
    <n v="10"/>
    <n v="0"/>
    <n v="0"/>
    <s v="CLP"/>
    <s v="CHILE"/>
    <d v="2026-03-12T00:00:00"/>
    <s v="AV"/>
    <s v="GUIA N 196"/>
    <d v="2026-02-06T00:00:00"/>
  </r>
  <r>
    <x v="1"/>
    <s v="77.650.227-8"/>
    <s v="SOCIEDAD AGRICOLA COMERCIAL LA HIGUERA SPA"/>
    <s v="10/02/2026"/>
    <s v="SEXTA"/>
    <x v="3"/>
    <s v="AV MOVE - 5 L"/>
    <s v="Agrocomercial"/>
    <s v="Factura Electrónica"/>
    <n v="504"/>
    <s v="LITROS"/>
    <n v="5"/>
    <n v="42713"/>
    <n v="8542.6"/>
    <s v="CLP"/>
    <s v="CHILE"/>
    <d v="2026-02-10T00:00:00"/>
    <s v="AV"/>
    <s v="GUIA N 200"/>
    <d v="2026-02-10T00:00:00"/>
  </r>
  <r>
    <x v="1"/>
    <s v="77.650.227-8"/>
    <s v="SOCIEDAD AGRICOLA COMERCIAL LA HIGUERA SPA"/>
    <s v="10/02/2026"/>
    <s v="SEXTA"/>
    <x v="3"/>
    <s v="VECA PLUS CALCIO - 5 L"/>
    <s v="Agrocomercial"/>
    <s v="Factura Electrónica"/>
    <n v="505"/>
    <s v="LTS"/>
    <n v="5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VECA MOVE - 5 L"/>
    <s v="Agrocomercial"/>
    <s v="Factura Electrónica"/>
    <n v="505"/>
    <s v="LTS"/>
    <n v="5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VECA AMIN - 1 L"/>
    <s v="Agrocomercial"/>
    <s v="Factura Electrónica"/>
    <n v="505"/>
    <s v="LTS"/>
    <n v="2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BIOVECA FOLIAR"/>
    <s v="Agrocomercial"/>
    <s v="Factura Electrónica"/>
    <n v="505"/>
    <s v="UN"/>
    <n v="1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AV MOVE - 5 L"/>
    <s v="Agrocomercial"/>
    <s v="Factura Electrónica"/>
    <n v="506"/>
    <s v="LITROS"/>
    <n v="5"/>
    <n v="0"/>
    <n v="0"/>
    <s v="CLP"/>
    <s v="CHILE"/>
    <d v="2026-03-23T00:00:00"/>
    <s v="AV"/>
    <s v="GUIA N 165"/>
    <d v="2026-01-22T00:00:00"/>
  </r>
  <r>
    <x v="1"/>
    <s v="77.576.071-0"/>
    <s v="AGRICOLA E INVERSIONES VGV SPA"/>
    <s v="10/02/2026"/>
    <s v="QUINTA "/>
    <x v="1"/>
    <s v="AV HUMIC ROOT - 20 L"/>
    <s v="Agroveca"/>
    <s v="Guía de Despacho Electrónica"/>
    <n v="197"/>
    <s v="LITROS"/>
    <n v="200"/>
    <n v="500000"/>
    <n v="2500"/>
    <s v="CLP"/>
    <s v="CHILE"/>
    <d v="2026-08-01T00:00:00"/>
    <s v="AV"/>
    <m/>
    <m/>
  </r>
  <r>
    <x v="1"/>
    <s v="77.576.071-0"/>
    <s v="AGRICOLA E INVERSIONES VGV SPA"/>
    <s v="10/02/2026"/>
    <s v="QUINTA"/>
    <x v="1"/>
    <s v="AV SILFORTE - 20 L"/>
    <s v="Agroveca"/>
    <s v="Guía de Despacho Electrónica"/>
    <n v="197"/>
    <s v="LITROS"/>
    <n v="60"/>
    <n v="510000"/>
    <n v="8500"/>
    <s v="CLP"/>
    <s v="CHILE"/>
    <d v="2026-08-01T00:00:00"/>
    <s v="AV"/>
    <m/>
    <m/>
  </r>
  <r>
    <x v="1"/>
    <s v="86.673.700-2"/>
    <s v="AGRICOLA LOS ALAMOS LTDA"/>
    <s v="10/02/2026"/>
    <s v="SEXTA"/>
    <x v="0"/>
    <s v="AV MOVE - 20 L"/>
    <s v="Agrocomercial"/>
    <s v="Guía de Despacho Electrónica"/>
    <n v="198"/>
    <s v="LITROS"/>
    <n v="40"/>
    <n v="0"/>
    <n v="0"/>
    <s v="CLP"/>
    <s v="CHILE"/>
    <d v="2026-03-12T00:00:00"/>
    <s v="AV"/>
    <m/>
    <m/>
  </r>
  <r>
    <x v="1"/>
    <s v="86.673.700-2"/>
    <s v="AGRICOLA LOS ALAMOS LTDA"/>
    <s v="10/02/2026"/>
    <s v="SEXTA"/>
    <x v="0"/>
    <s v="AV MOVE - 5 L"/>
    <s v="Agrocomercial"/>
    <s v="Guía de Despacho Electrónica"/>
    <n v="198"/>
    <s v="LITROS"/>
    <n v="10"/>
    <n v="0"/>
    <n v="0"/>
    <s v="CLP"/>
    <s v="CHILE"/>
    <d v="2026-03-12T00:00:00"/>
    <s v="AV"/>
    <m/>
    <m/>
  </r>
  <r>
    <x v="1"/>
    <s v="77.650.227-8"/>
    <s v="SOCIEDAD AGRICOLA COMERCIAL LA HIGUERA SPA"/>
    <s v="10/02/2026"/>
    <s v="SEXTA"/>
    <x v="3"/>
    <s v="AV MOVE - 5 L"/>
    <s v="Agrocomercial"/>
    <s v="Guía de Despacho Electrónica"/>
    <n v="200"/>
    <s v="LITROS"/>
    <n v="5"/>
    <n v="0"/>
    <n v="0"/>
    <s v="CLP"/>
    <s v="CHILE"/>
    <d v="2026-03-12T00:00:00"/>
    <s v="AV"/>
    <m/>
    <m/>
  </r>
  <r>
    <x v="1"/>
    <s v="76.788.317-K"/>
    <s v="AGRICOLA MARIO ALEJANDRO VIDAL NUNEZ EIRL"/>
    <s v="11/02/2026"/>
    <s v="SEXTA"/>
    <x v="3"/>
    <s v="AV CYTO PRIME - 5 L"/>
    <s v="Agrocomercial"/>
    <s v="Factura Electrónica"/>
    <n v="507"/>
    <s v="LITROS"/>
    <n v="5"/>
    <n v="94167"/>
    <n v="18833.400000000001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BALANCE - 5 L"/>
    <s v="Agrocomercial"/>
    <s v="Factura Electrónica"/>
    <n v="507"/>
    <s v="LITROS"/>
    <n v="5"/>
    <n v="77045"/>
    <n v="15409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AMIN - 5 L"/>
    <s v="Agrocomercial"/>
    <s v="Factura Electrónica"/>
    <n v="507"/>
    <s v="LITROS"/>
    <n v="20"/>
    <n v="154091"/>
    <n v="7704.55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PLUS CALCIO - 5 L"/>
    <s v="Agrocomercial"/>
    <s v="Factura Electrónica"/>
    <n v="507"/>
    <s v="LITROS"/>
    <n v="20"/>
    <n v="85606"/>
    <n v="4280.3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PLUS POTASIO - 5 L"/>
    <s v="Agrocomercial"/>
    <s v="Factura Electrónica"/>
    <n v="507"/>
    <s v="LITROS"/>
    <n v="20"/>
    <n v="85606"/>
    <n v="4280.3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15 40-20 - 5 L"/>
    <s v="Agrocomercial"/>
    <s v="Factura Electrónica"/>
    <n v="507"/>
    <s v="LITROS"/>
    <n v="20"/>
    <n v="119848"/>
    <n v="5992.4"/>
    <s v="CLP"/>
    <s v="CHILE"/>
    <d v="2026-02-11T00:00:00"/>
    <s v="AV"/>
    <m/>
    <m/>
  </r>
  <r>
    <x v="1"/>
    <s v="11.260.728-5"/>
    <s v="RICARDO ANTONIO ARAYA ALVAREZ"/>
    <s v="11/02/2026"/>
    <s v="CUARTA"/>
    <x v="0"/>
    <s v="AV BIOSOLARIS - 1 L"/>
    <s v="Agroveca"/>
    <s v="Factura Electrónica"/>
    <n v="508"/>
    <s v="LITROS"/>
    <n v="1"/>
    <n v="12800"/>
    <n v="12800"/>
    <s v="CLP"/>
    <s v="CHILE"/>
    <d v="2026-02-11T00:00:00"/>
    <s v="AV"/>
    <m/>
    <m/>
  </r>
  <r>
    <x v="1"/>
    <s v="14.109.149-2"/>
    <s v="EDUARDO MILTON IBACACHE ORTIZ"/>
    <s v="12/02/2026"/>
    <s v="CUARTA "/>
    <x v="0"/>
    <s v="AV SILFORTE - 5 L"/>
    <s v="Agroveca"/>
    <s v="Factura Electrónica"/>
    <n v="509"/>
    <s v="LITROS"/>
    <n v="5"/>
    <n v="51500"/>
    <n v="10300"/>
    <s v="CLP"/>
    <s v="CHILE"/>
    <d v="2026-02-12T00:00:00"/>
    <s v="AV"/>
    <m/>
    <m/>
  </r>
  <r>
    <x v="1"/>
    <s v="14.109.149-2"/>
    <s v="EDUARDO MILTON IBACACHE ORTIZ"/>
    <s v="12/02/2026"/>
    <s v="CUARTA "/>
    <x v="0"/>
    <s v="AV BIOSOLARIS - 5 L"/>
    <s v="Agroveca"/>
    <s v="Factura Electrónica"/>
    <n v="509"/>
    <s v="LITROS"/>
    <n v="5"/>
    <n v="65000"/>
    <n v="13000"/>
    <s v="CLP"/>
    <s v="CHILE"/>
    <d v="2026-02-12T00:00:00"/>
    <s v="AV"/>
    <m/>
    <m/>
  </r>
  <r>
    <x v="1"/>
    <s v="76.442.085-3"/>
    <s v="AGRICOLA TUNICHE LIMITADA"/>
    <s v="12/02/2026"/>
    <s v="SEXTA"/>
    <x v="4"/>
    <s v="AV15 40-20 - 20 L"/>
    <s v="Agroveca"/>
    <s v="Factura Electrónica"/>
    <n v="511"/>
    <s v="LITROS"/>
    <n v="20"/>
    <n v="0"/>
    <n v="0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5 L"/>
    <s v="Agroveca"/>
    <s v="Factura Electrónica"/>
    <n v="511"/>
    <s v="LITROS"/>
    <n v="10"/>
    <n v="0"/>
    <n v="0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veca"/>
    <s v="Factura Electrónica"/>
    <n v="511"/>
    <s v="LITROS"/>
    <n v="60"/>
    <n v="0"/>
    <n v="0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veca"/>
    <s v="Factura Electrónica"/>
    <n v="511"/>
    <s v="LITROS"/>
    <n v="40"/>
    <n v="0"/>
    <n v="0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comercial"/>
    <s v="Guía de Despacho Electrónica"/>
    <n v="201"/>
    <s v="LITROS"/>
    <n v="20"/>
    <n v="59920"/>
    <n v="2996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1 L"/>
    <s v="Agrocomercial"/>
    <s v="Guía de Despacho Electrónica"/>
    <n v="201"/>
    <s v="LITROS"/>
    <n v="4"/>
    <n v="11984"/>
    <n v="2996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comercial"/>
    <s v="Guía de Despacho Electrónica"/>
    <n v="201"/>
    <s v="LITROS"/>
    <n v="40"/>
    <n v="119840"/>
    <n v="2996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20 L"/>
    <s v="Agroveca"/>
    <s v="Guía de Despacho Electrónica"/>
    <n v="202"/>
    <s v="LITROS"/>
    <n v="20"/>
    <n v="99300"/>
    <n v="4965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5 L"/>
    <s v="Agroveca"/>
    <s v="Guía de Despacho Electrónica"/>
    <n v="202"/>
    <s v="LITROS"/>
    <n v="10"/>
    <n v="49650"/>
    <n v="4965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veca"/>
    <s v="Guía de Despacho Electrónica"/>
    <n v="202"/>
    <s v="LITROS"/>
    <n v="60"/>
    <n v="179760"/>
    <n v="2996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veca"/>
    <s v="Guía de Despacho Electrónica"/>
    <n v="202"/>
    <s v="LITROS"/>
    <n v="40"/>
    <n v="119840"/>
    <n v="2996"/>
    <s v="CLP"/>
    <s v="CHILE"/>
    <d v="2026-04-13T00:00:00"/>
    <s v="AV"/>
    <m/>
    <m/>
  </r>
  <r>
    <x v="1"/>
    <s v="78.223.261-4"/>
    <s v="AGRICOLA TOMATERRA SPA"/>
    <s v="13/02/2026"/>
    <s v="QUINTA"/>
    <x v="1"/>
    <s v="AV ALGAP 30 - 200 L"/>
    <s v="Agrocomercial"/>
    <s v="Factura Electrónica"/>
    <n v="512"/>
    <s v="LITROS"/>
    <n v="200"/>
    <n v="800000"/>
    <n v="4000"/>
    <s v="CLP"/>
    <s v="CHILE"/>
    <d v="2026-02-13T00:00:00"/>
    <s v="AV"/>
    <m/>
    <m/>
  </r>
  <r>
    <x v="1"/>
    <s v="77.980.980-3"/>
    <s v="AGRICOLA GEOAGRO LTDA"/>
    <s v="13/02/2026"/>
    <s v="SEXTA"/>
    <x v="0"/>
    <s v="AV MOVE - 20 L"/>
    <s v="Agroveca"/>
    <s v="Factura Electrónica"/>
    <n v="513"/>
    <s v="LITROS"/>
    <n v="60"/>
    <n v="450000"/>
    <n v="7500"/>
    <s v="CLP"/>
    <s v="CHILE"/>
    <d v="2026-02-13T00:00:00"/>
    <s v="AV"/>
    <m/>
    <m/>
  </r>
  <r>
    <x v="1"/>
    <s v="77.980.980-3"/>
    <s v="AGRICOLA GEOAGRO LTDA"/>
    <s v="13/02/2026"/>
    <s v="SEXTA"/>
    <x v="0"/>
    <s v="AV MOVE - 5 L"/>
    <s v="Agroveca"/>
    <s v="Factura Electrónica"/>
    <n v="513"/>
    <s v="LITROS"/>
    <n v="10"/>
    <n v="75000"/>
    <n v="7500"/>
    <s v="CLP"/>
    <s v="CHILE"/>
    <d v="2026-02-13T00:00:00"/>
    <s v="AV"/>
    <m/>
    <m/>
  </r>
  <r>
    <x v="1"/>
    <s v="76.412.827-3"/>
    <s v="FRUTICOLA RIO BLANCO SPA"/>
    <s v="13/02/2026"/>
    <s v="METROPOLITANA"/>
    <x v="0"/>
    <s v="AV PLUS MICRO MIX - 20 L"/>
    <s v="Agrocomercial"/>
    <s v="Guía de Despacho Electrónica"/>
    <n v="203"/>
    <s v="LITROS"/>
    <n v="160"/>
    <n v="0"/>
    <n v="0"/>
    <s v="CLP"/>
    <s v="CHILE"/>
    <d v="2026-04-30T00:00:00"/>
    <s v="AV"/>
    <m/>
    <m/>
  </r>
  <r>
    <x v="1"/>
    <s v="76.412.827-3"/>
    <s v="FRUTICOLA RIO BLANCO SPA"/>
    <s v="13/02/2026"/>
    <s v="METROPOLITANA"/>
    <x v="0"/>
    <s v="AV PLUS MICRO MIX - 20 L"/>
    <s v="Agroveca"/>
    <s v="Guía de Despacho Electrónica"/>
    <n v="204"/>
    <s v="LITROS"/>
    <n v="200"/>
    <n v="0"/>
    <n v="0"/>
    <s v="CLP"/>
    <s v="CHILE"/>
    <d v="2026-04-30T00:00:00"/>
    <s v="AV"/>
    <m/>
    <m/>
  </r>
  <r>
    <x v="1"/>
    <s v="76.412.827-3"/>
    <s v="FRUTICOLA RIO BLANCO SPA"/>
    <s v="13/02/2026"/>
    <s v="METROPOLITANA"/>
    <x v="0"/>
    <s v="AV MOVE - 20 L"/>
    <s v="Agroveca"/>
    <s v="Guía de Despacho Electrónica"/>
    <n v="205"/>
    <s v="LITROS"/>
    <n v="180"/>
    <n v="1260000"/>
    <n v="7000"/>
    <s v="CLP"/>
    <s v="CHILE"/>
    <d v="2026-04-30T00:00:00"/>
    <s v="AV"/>
    <m/>
    <m/>
  </r>
  <r>
    <x v="1"/>
    <s v="10.936.241-7"/>
    <s v="WILLEM BIERMA"/>
    <s v="17/02/2026"/>
    <s v="LOS LAGOS"/>
    <x v="3"/>
    <s v="AV MOVE - 20 L"/>
    <s v="Agrocomercial"/>
    <s v="Guía de Despacho Electrónica"/>
    <n v="206"/>
    <s v="LITROS"/>
    <n v="100"/>
    <n v="730000"/>
    <n v="7300"/>
    <s v="CLP"/>
    <s v="CHILE"/>
    <d v="2026-06-17T00:00:00"/>
    <s v="AV"/>
    <m/>
    <m/>
  </r>
  <r>
    <x v="1"/>
    <s v="78.295.150-5"/>
    <s v="AGRICOLA LLAHUEN S.A."/>
    <s v="18/02/2026"/>
    <s v="METROPOLITANA"/>
    <x v="5"/>
    <s v="AV ROOT MAX - 20 L"/>
    <s v="Agrocomercial"/>
    <s v="Factura Electrónica"/>
    <n v="514"/>
    <s v="LITROS"/>
    <n v="20"/>
    <n v="0"/>
    <n v="0"/>
    <s v="CLP"/>
    <s v="CHILE"/>
    <d v="2026-03-20T00:00:00"/>
    <s v="AV"/>
    <m/>
    <m/>
  </r>
  <r>
    <x v="1"/>
    <s v="77.870.899-K"/>
    <s v="CULTIAGRO SPA"/>
    <s v="18/02/2026"/>
    <s v="SEXTA"/>
    <x v="4"/>
    <s v="AV BALANCE - 5 L"/>
    <s v="Agrocomercial"/>
    <s v="Guía de Despacho Electrónica"/>
    <n v="207"/>
    <s v="LITROS"/>
    <n v="20"/>
    <n v="232800"/>
    <n v="11640"/>
    <s v="CLP"/>
    <s v="CHILE"/>
    <d v="2026-06-30T00:00:00"/>
    <s v="AV"/>
    <m/>
    <m/>
  </r>
  <r>
    <x v="1"/>
    <s v="77.870.899-K"/>
    <s v="CULTIAGRO SPA"/>
    <s v="18/02/2026"/>
    <s v="SEXTA"/>
    <x v="4"/>
    <s v="AV BALANCE - 1 L"/>
    <s v="Agrocomercial"/>
    <s v="Guía de Despacho Electrónica"/>
    <n v="207"/>
    <s v="LITROS"/>
    <n v="10"/>
    <n v="129300"/>
    <n v="12930"/>
    <s v="CLP"/>
    <s v="CHILE"/>
    <d v="2026-06-30T00:00:00"/>
    <s v="AV"/>
    <m/>
    <m/>
  </r>
  <r>
    <x v="1"/>
    <s v="89.255.000-K"/>
    <s v="AGRICOLA VICTORIA S.A."/>
    <s v="19/02/2026"/>
    <s v="METROPOLITANA"/>
    <x v="0"/>
    <s v="AV MOVE - 20 L"/>
    <s v="Agroveca"/>
    <s v="Factura Electrónica"/>
    <n v="515"/>
    <s v="LITROS"/>
    <n v="40"/>
    <n v="300000"/>
    <n v="7500"/>
    <s v="CLP"/>
    <s v="CHILE"/>
    <d v="2026-04-20T00:00:00"/>
    <s v="AV"/>
    <m/>
    <m/>
  </r>
  <r>
    <x v="1"/>
    <s v="89.255.000-K"/>
    <s v="AGRICOLA VICTORIA S.A."/>
    <s v="19/02/2026"/>
    <s v="METROPOLITANA"/>
    <x v="0"/>
    <s v="AV MOVE - 1 L"/>
    <s v="Agroveca"/>
    <s v="Factura Electrónica"/>
    <n v="515"/>
    <s v="LITROS"/>
    <n v="3"/>
    <n v="22500"/>
    <n v="7500"/>
    <s v="CLP"/>
    <s v="CHILE"/>
    <d v="2026-04-20T00:00:00"/>
    <s v="AV"/>
    <m/>
    <m/>
  </r>
  <r>
    <x v="0"/>
    <s v="78.148.834-8"/>
    <s v="COMERCIALIZADORA LA COLONIA LIMITADA"/>
    <s v="22/01/2026"/>
    <s v="QUINTA"/>
    <x v="1"/>
    <s v="AV AMIN SUGAR - 20 L"/>
    <s v="Agrocomercial"/>
    <s v="Guía de Despacho Electrónica"/>
    <n v="190"/>
    <s v="LITROS"/>
    <n v="500"/>
    <n v="2125000"/>
    <n v="4250"/>
    <s v="CLP"/>
    <s v="CHILE"/>
    <d v="2026-06-01T00:00:00"/>
    <s v="AV"/>
    <m/>
    <m/>
  </r>
  <r>
    <x v="1"/>
    <s v="78.148.834-8"/>
    <s v="COMERCIALIZADORA LA COLONIA LIMITADA"/>
    <s v="20/02/2026"/>
    <s v="QUINTA"/>
    <x v="1"/>
    <s v="AV AMIN SUGAR - 20 L"/>
    <s v="Agroveca"/>
    <s v="Guía de Despacho Electrónica"/>
    <n v="210"/>
    <s v="LITROS"/>
    <n v="500"/>
    <n v="2125000"/>
    <n v="4250"/>
    <s v="CLP"/>
    <s v="CHILE"/>
    <d v="2026-08-19T00:00:00"/>
    <s v="AV"/>
    <m/>
    <m/>
  </r>
  <r>
    <x v="1"/>
    <s v="16.247.441-3"/>
    <s v="ROMINA DEL PILAR MACKENNA RIOS"/>
    <s v="20/02/2026"/>
    <s v="ÑUBLE "/>
    <x v="2"/>
    <s v="NUTRAMIX 500CC GATILLO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BIOPOTASICO 500CC GATILLO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GREEN PLANT 500CC GATILLO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BALANCE CONC. 200CC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TERRAPULSE CONC. 200 CC"/>
    <s v="Agrocomercial"/>
    <s v="Factura Electrónica"/>
    <n v="516"/>
    <s v="LITROS"/>
    <n v="2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NUTRAMIX CONC. 200CC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BIOPOTASICO CONC. 200CC"/>
    <s v="Agrocomercial"/>
    <s v="Factura Electrónica"/>
    <n v="516"/>
    <s v="LITROS"/>
    <n v="2"/>
    <n v="0"/>
    <n v="0"/>
    <s v="CLP"/>
    <s v="CHILE"/>
    <s v="20/02/2026"/>
    <s v="AV"/>
    <m/>
    <m/>
  </r>
  <r>
    <x v="1"/>
    <s v="76.048.467-9"/>
    <s v="SOCIEDAD AGRICOLA VIVEROS EL TREMENDO LIMITADA"/>
    <s v="20/02/2026"/>
    <s v="QUINTA"/>
    <x v="1"/>
    <s v="AV PLUS MICRO MIX - 200 L"/>
    <s v="Agroveca"/>
    <s v="Factura Electrónica"/>
    <n v="517"/>
    <s v="LITROS"/>
    <n v="200"/>
    <n v="900000"/>
    <n v="4500"/>
    <s v="CLP"/>
    <s v="CHILE"/>
    <s v="20/02/2026"/>
    <s v="AV"/>
    <m/>
    <m/>
  </r>
  <r>
    <x v="1"/>
    <s v="77.758.114-7"/>
    <s v="SOCIEDAD AGRÍCOLA COMERCIAL SIEMBRA SPA"/>
    <s v="23/02/2026"/>
    <s v="SEXTA"/>
    <x v="4"/>
    <s v="AV BIOSOLARIS - 1 L"/>
    <s v="Agroveca"/>
    <s v="Factura Electrónica"/>
    <n v="518"/>
    <s v="LITROS"/>
    <n v="12"/>
    <n v="0"/>
    <n v="0"/>
    <s v="CLP"/>
    <s v="CHILE"/>
    <d v="2026-05-30T00:00:00"/>
    <s v="AV"/>
    <s v="GUIA N 157"/>
    <d v="2026-01-16T00:00:00"/>
  </r>
  <r>
    <x v="1"/>
    <s v="77.758.114-7"/>
    <s v="SOCIEDAD AGRÍCOLA COMERCIAL SIEMBRA SPA"/>
    <s v="23/02/2026"/>
    <s v="SEXTA"/>
    <x v="4"/>
    <s v="AV BALANCE - 1 L"/>
    <s v="Agroveca"/>
    <s v="Factura Electrónica"/>
    <n v="518"/>
    <s v="LITROS"/>
    <n v="6"/>
    <n v="0"/>
    <n v="0"/>
    <s v="CLP"/>
    <s v="CHILE"/>
    <d v="2026-05-30T00:00:00"/>
    <s v="AV"/>
    <s v="GUIA N 157"/>
    <d v="2026-01-16T00:00:00"/>
  </r>
  <r>
    <x v="1"/>
    <s v="76.188.119-1"/>
    <s v="PEDRO PATRICIO MENESES SOTO AGRICOLA Y TRANSPORTES E.I.R.L."/>
    <s v="23/02/2026"/>
    <s v="SEXTA"/>
    <x v="4"/>
    <s v="AV PLUS ROOT MAX x 5LT"/>
    <s v="Agroveca"/>
    <s v="Factura Electrónica"/>
    <n v="519"/>
    <s v="LTS"/>
    <n v="5"/>
    <n v="0"/>
    <n v="0"/>
    <s v="CLP"/>
    <s v="CHILE"/>
    <d v="2026-02-26T00:00:00"/>
    <s v="AV"/>
    <s v="GUIA N 133"/>
    <d v="2026-01-07T00:00:00"/>
  </r>
  <r>
    <x v="1"/>
    <s v="76.188.119-1"/>
    <s v="PEDRO PATRICIO MENESES SOTO AGRICOLA Y TRANSPORTES E.I.R.L."/>
    <s v="23/02/2026"/>
    <s v="SEXTA"/>
    <x v="4"/>
    <s v="BIOVECA NEMAOFF 500 GRS"/>
    <s v="Agroveca"/>
    <s v="Factura Electrónica"/>
    <n v="519"/>
    <s v="UN"/>
    <n v="1"/>
    <n v="0"/>
    <n v="0"/>
    <s v="CLP"/>
    <s v="CHILE"/>
    <d v="2026-02-26T00:00:00"/>
    <s v="AV"/>
    <s v="GUIA N 133"/>
    <d v="2026-01-07T00:00:00"/>
  </r>
  <r>
    <x v="1"/>
    <s v="78.062.921-5"/>
    <s v="PLANTTAE BOTÁNICA SPA"/>
    <s v="23/02/2026"/>
    <s v="SEPTIMA"/>
    <x v="2"/>
    <s v="BALANCE 500CC GATILLO"/>
    <s v="Agroveca"/>
    <s v="Factura Electrónica"/>
    <n v="520"/>
    <s v="UNIDAD"/>
    <n v="6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BIOPOTASICO 500CC GATILLO"/>
    <s v="Agroveca"/>
    <s v="Factura Electrónica"/>
    <n v="520"/>
    <s v="UNIDAD"/>
    <n v="6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NUTRAMIX 500CC GATILLO"/>
    <s v="Agroveca"/>
    <s v="Factura Electrónica"/>
    <n v="520"/>
    <s v="UNIDAD"/>
    <n v="8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FUNGISTOP 500CC GATILLO"/>
    <s v="Agroveca"/>
    <s v="Factura Electrónica"/>
    <n v="520"/>
    <s v="UNIDAD"/>
    <n v="5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RAIZ 500CC GATILLO"/>
    <s v="Agroveca"/>
    <s v="Factura Electrónica"/>
    <n v="520"/>
    <s v="UNIDAD"/>
    <n v="5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NUTRAMIX CONC. 500CC"/>
    <s v="Agroveca"/>
    <s v="Factura Electrónica"/>
    <n v="520"/>
    <s v="UNIDAD"/>
    <n v="1"/>
    <n v="0"/>
    <n v="0"/>
    <s v="CLP"/>
    <s v="CHILE"/>
    <d v="2026-02-23T00:00:00"/>
    <s v="AV"/>
    <m/>
    <m/>
  </r>
  <r>
    <x v="1"/>
    <s v="76.412.827-3"/>
    <s v="FRUTICOLA RIO BLANCO SPA"/>
    <s v="23/02/2026"/>
    <s v="METROPOLITANA"/>
    <x v="0"/>
    <s v="AV PLUS MICRO MIX - 20 L"/>
    <s v="Agroveca"/>
    <s v="Factura Electrónica"/>
    <n v="521"/>
    <s v="LITROS"/>
    <n v="160"/>
    <n v="368000"/>
    <n v="2300"/>
    <s v="CLP"/>
    <s v="CHILE"/>
    <d v="2026-04-30T00:00:00"/>
    <s v="AV"/>
    <s v="GUIA N 203"/>
    <d v="2026-02-13T00:00:00"/>
  </r>
  <r>
    <x v="1"/>
    <s v="76.412.827-3"/>
    <s v="FRUTICOLA RIO BLANCO SPA"/>
    <s v="23/02/2026"/>
    <s v="METROPOLITANA"/>
    <x v="0"/>
    <s v="AV PLUS MICRO MIX - 20 L"/>
    <s v="Agroveca"/>
    <s v="Factura Electrónica"/>
    <n v="522"/>
    <s v="LITROS"/>
    <n v="120"/>
    <n v="276000"/>
    <n v="2300"/>
    <s v="CLP"/>
    <s v="CHILE"/>
    <d v="2026-04-30T00:00:00"/>
    <s v="AV"/>
    <s v="GUIA N 213"/>
    <d v="2026-02-23T00:00:00"/>
  </r>
  <r>
    <x v="1"/>
    <s v="76.412.827-3"/>
    <s v="FRUTICOLA RIO BLANCO SPA"/>
    <s v="23/02/2026"/>
    <s v="METROPOLITANA"/>
    <x v="0"/>
    <s v="AV PLUS MICRO MIX - 5 L"/>
    <s v="Agroveca"/>
    <s v="Factura Electrónica"/>
    <n v="522"/>
    <s v="LITROS"/>
    <n v="15"/>
    <n v="34500"/>
    <n v="2300"/>
    <s v="CLP"/>
    <s v="CHILE"/>
    <d v="2026-04-30T00:00:00"/>
    <s v="AV"/>
    <s v="GUIA N 213"/>
    <d v="2026-02-23T00:00:00"/>
  </r>
  <r>
    <x v="1"/>
    <s v="76.412.827-3"/>
    <s v="FRUTICOLA RIO BLANCO SPA"/>
    <s v="23/02/2026"/>
    <s v="METROPOLITANA"/>
    <x v="0"/>
    <s v="AV PLUS MICRO MIX - 20 L"/>
    <s v="Agroveca"/>
    <s v="Factura Electrónica"/>
    <n v="523"/>
    <s v="LITROS"/>
    <n v="200"/>
    <n v="478470"/>
    <n v="2392.35"/>
    <s v="CLP"/>
    <s v="CHILE"/>
    <d v="2026-04-30T00:00:00"/>
    <s v="AV"/>
    <s v="GUIA N 204"/>
    <d v="2026-02-13T00:00:00"/>
  </r>
  <r>
    <x v="1"/>
    <s v="76.210.444-K"/>
    <s v="SOCIEDAD AGRICOLA ALIAGA LTDA"/>
    <s v="23/02/2026"/>
    <s v="SEXTA"/>
    <x v="0"/>
    <s v="AV AMIN SUGAR - 20 L"/>
    <s v="Agroveca"/>
    <s v="Guía de Despacho Electrónica"/>
    <n v="211"/>
    <s v="LITROS"/>
    <n v="40"/>
    <n v="298293"/>
    <n v="7457.3249999999998"/>
    <s v="CLP"/>
    <s v="CHILE"/>
    <d v="2026-12-10T00:00:00"/>
    <s v="AV"/>
    <m/>
    <m/>
  </r>
  <r>
    <x v="1"/>
    <s v="76.210.444-K"/>
    <s v="SOCIEDAD AGRICOLA ALIAGA LTDA"/>
    <s v="23/02/2026"/>
    <s v="SEXTA"/>
    <x v="0"/>
    <s v="AV PLUS ZINC MANGANESO - 20 L"/>
    <s v="Agroveca"/>
    <s v="Guía de Despacho Electrónica"/>
    <n v="211"/>
    <s v="LITROS"/>
    <n v="40"/>
    <n v="156083"/>
    <n v="3902.0749999999998"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20 L"/>
    <s v="Agroveca"/>
    <s v="Guía de Despacho Electrónica"/>
    <n v="212"/>
    <s v="LITROS"/>
    <n v="20"/>
    <n v="149146"/>
    <n v="7457.3"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5 L"/>
    <s v="Agroveca"/>
    <s v="Guía de Despacho Electrónica"/>
    <n v="212"/>
    <s v="LITROS"/>
    <n v="5"/>
    <n v="37287"/>
    <n v="7457.4"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1 L"/>
    <s v="Agroveca"/>
    <s v="Guía de Despacho Electrónica"/>
    <n v="212"/>
    <s v="LITROS"/>
    <n v="1"/>
    <n v="7457"/>
    <n v="7457"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20 L"/>
    <s v="Agroveca"/>
    <s v="Guía de Despacho Electrónica"/>
    <n v="212"/>
    <s v="LITROS"/>
    <n v="20"/>
    <n v="78042"/>
    <n v="3902.1"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5 L"/>
    <s v="Agroveca"/>
    <s v="Guía de Despacho Electrónica"/>
    <n v="212"/>
    <s v="LITROS"/>
    <n v="5"/>
    <n v="19510"/>
    <n v="3902"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1 L"/>
    <s v="Agroveca"/>
    <s v="Guía de Despacho Electrónica"/>
    <n v="212"/>
    <s v="LITROS"/>
    <n v="1"/>
    <n v="3902"/>
    <n v="3902"/>
    <s v="CLP"/>
    <s v="CHILE"/>
    <d v="2026-12-10T00:00:00"/>
    <s v="AV"/>
    <m/>
    <m/>
  </r>
  <r>
    <x v="1"/>
    <s v="78.279.610-0"/>
    <s v="AGRICOLA ALTO CALIBRE LTDA"/>
    <s v="24/02/2026"/>
    <s v="QUINTA"/>
    <x v="1"/>
    <s v="AV PLUS MICRO MIX - 5 L"/>
    <s v="Agroveca"/>
    <s v="Factura Electrónica"/>
    <n v="524"/>
    <s v="LITROS"/>
    <n v="5"/>
    <n v="37500"/>
    <n v="7500"/>
    <s v="CLP"/>
    <s v="CHILE"/>
    <d v="2026-03-26T00:00:00"/>
    <s v="AV"/>
    <m/>
    <m/>
  </r>
  <r>
    <x v="1"/>
    <s v="17.272.914-2"/>
    <s v="LEONARDO ENRIQUE OYARCE GENERAL"/>
    <s v="24/02/2026"/>
    <s v="QUINTA"/>
    <x v="1"/>
    <s v="VECA AMIN SUGAR - 20 L"/>
    <s v="Agroveca"/>
    <s v="Factura Electrónica"/>
    <n v="525"/>
    <s v="UN"/>
    <n v="100"/>
    <n v="0"/>
    <n v="0"/>
    <s v="CLP"/>
    <s v="CHILE"/>
    <d v="2026-04-27T00:00:00"/>
    <s v="AV"/>
    <s v="GUIA N 538"/>
    <d v="2025-02-25T00:00:00"/>
  </r>
  <r>
    <x v="1"/>
    <s v="17.272.914-2"/>
    <s v="LEONARDO ENRIQUE OYARCE GENERAL"/>
    <s v="24/02/2026"/>
    <s v="QUINTA"/>
    <x v="1"/>
    <s v="K-DEFEND MAX - 20 L"/>
    <s v="Agroveca"/>
    <s v="Factura Electrónica"/>
    <n v="525"/>
    <s v="UN"/>
    <n v="40"/>
    <n v="0"/>
    <n v="0"/>
    <s v="CLP"/>
    <s v="CHILE"/>
    <d v="2026-04-27T00:00:00"/>
    <s v="AV"/>
    <s v="GUIA N 538"/>
    <d v="2025-02-25T00:00:00"/>
  </r>
  <r>
    <x v="1"/>
    <s v="5.911.735-1"/>
    <s v="BERMECIDES ENRIQUE ROJAS BUGUENO"/>
    <s v="24/02/2026"/>
    <s v="OVALLE"/>
    <x v="5"/>
    <s v="AV AMIN - 20 L"/>
    <s v="Agroveca"/>
    <s v="Factura Electrónica"/>
    <n v="526"/>
    <s v="LITROS"/>
    <n v="20"/>
    <n v="104000"/>
    <n v="5200"/>
    <s v="CLP"/>
    <s v="CHILE"/>
    <d v="2026-02-24T00:00:00"/>
    <s v="AV"/>
    <m/>
    <m/>
  </r>
  <r>
    <x v="1"/>
    <s v="5.911.735-1"/>
    <s v="BERMECIDES ENRIQUE ROJAS BUGUENO"/>
    <s v="24/02/2026"/>
    <s v="OVALLE"/>
    <x v="5"/>
    <s v="AV ALGAP 30 - 20 L"/>
    <s v="Agroveca"/>
    <s v="Factura Electrónica"/>
    <n v="527"/>
    <s v="LITROS"/>
    <n v="20"/>
    <n v="0"/>
    <n v="0"/>
    <s v="CLP"/>
    <s v="CHILE"/>
    <d v="2026-02-24T00:00:00"/>
    <s v="AV"/>
    <s v="GUIA N 826"/>
    <d v="2025-11-13T00:00:00"/>
  </r>
  <r>
    <x v="1"/>
    <s v="5.911.735-1"/>
    <s v="BERMECIDES ENRIQUE ROJAS BUGUENO"/>
    <s v="24/02/2026"/>
    <s v="OVALLE"/>
    <x v="5"/>
    <s v="AV BLOOM - 20 L"/>
    <s v="Agroveca"/>
    <s v="Factura Electrónica"/>
    <n v="527"/>
    <s v="LITROS"/>
    <n v="20"/>
    <n v="0"/>
    <n v="0"/>
    <s v="CLP"/>
    <s v="CHILE"/>
    <d v="2026-02-24T00:00:00"/>
    <s v="AV"/>
    <s v="GUIA N 826"/>
    <d v="2025-11-13T00:00:00"/>
  </r>
  <r>
    <x v="1"/>
    <s v="78.109.329-7"/>
    <s v="SOCIEDAD COMERCIAL HIERBA BUENA LIMITADA"/>
    <s v="24/02/2026"/>
    <s v="METROPOLITANA"/>
    <x v="7"/>
    <s v="BALANCE 500CC GATILLO"/>
    <s v="Agroveca"/>
    <s v="Factura Electrónica"/>
    <n v="528"/>
    <s v="UNIDAD"/>
    <n v="20"/>
    <n v="0"/>
    <n v="0"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SILFORTEM 500 CC GATILLO"/>
    <s v="Agroveca"/>
    <s v="Factura Electrónica"/>
    <n v="528"/>
    <s v="UNIDAD"/>
    <n v="2"/>
    <n v="0"/>
    <n v="0"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BALANCE CONC. 500CC"/>
    <s v="Agroveca"/>
    <s v="Factura Electrónica"/>
    <n v="528"/>
    <s v="UNIDAD"/>
    <n v="3"/>
    <n v="0"/>
    <n v="0"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BALANCE CONC. 200CC"/>
    <s v="Agroveca"/>
    <s v="Factura Electrónica"/>
    <n v="528"/>
    <s v="UNIDAD"/>
    <n v="10"/>
    <n v="0"/>
    <n v="0"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SILFORTEM CONC. 200 CC"/>
    <s v="Agroveca"/>
    <s v="Factura Electrónica"/>
    <n v="528"/>
    <s v="UNIDAD"/>
    <n v="1"/>
    <n v="0"/>
    <n v="0"/>
    <s v="CLP"/>
    <s v="CHILE"/>
    <d v="2026-02-24T00:00:00"/>
    <s v="AV"/>
    <m/>
    <m/>
  </r>
  <r>
    <x v="1"/>
    <s v="14.681.984-2"/>
    <s v="MONICA GONZALEZ LOPEZ"/>
    <s v="24/02/2026"/>
    <s v="SEPTIMA"/>
    <x v="2"/>
    <s v="AV ROOT MAX - 20 L"/>
    <s v="Agroveca"/>
    <s v="Factura Electrónica"/>
    <n v="529"/>
    <s v="LITROS"/>
    <n v="80"/>
    <n v="765600"/>
    <n v="9570"/>
    <s v="CLP"/>
    <s v="CHILE"/>
    <d v="2026-02-24T00:00:00"/>
    <s v="AV"/>
    <m/>
    <m/>
  </r>
  <r>
    <x v="1"/>
    <s v="13.504.183-1"/>
    <s v="EDUARDO AQUILES HERRERA CABELLO"/>
    <s v="24/02/2026"/>
    <s v="SEXTA"/>
    <x v="0"/>
    <s v="AV ROOT MAX - 5 L"/>
    <s v="Agroveca"/>
    <s v="Guía de Despacho Electrónica"/>
    <n v="214"/>
    <s v="LITROS"/>
    <n v="5"/>
    <n v="53000"/>
    <n v="10600"/>
    <s v="CLP"/>
    <s v="CHILE"/>
    <d v="2026-05-31T00:00:00"/>
    <s v="AV"/>
    <m/>
    <m/>
  </r>
  <r>
    <x v="1"/>
    <s v="5.786.817-1"/>
    <s v="MARIO FERNANDO MUÑOZ SILVA"/>
    <s v="25/02/2026"/>
    <s v="SEXTA"/>
    <x v="0"/>
    <s v="AV SILFORTE - 20 L"/>
    <s v="Agroveca"/>
    <s v="Guía de Despacho Electrónica"/>
    <n v="216"/>
    <s v="LITROS"/>
    <n v="20"/>
    <n v="210000"/>
    <n v="10500"/>
    <s v="CLP"/>
    <s v="CHILE"/>
    <d v="2026-05-31T00:00:00"/>
    <s v="AV"/>
    <m/>
    <m/>
  </r>
  <r>
    <x v="1"/>
    <s v="5.786.817-1"/>
    <s v="MARIO FERNANDO MUÑOZ SILVA"/>
    <s v="25/02/2026"/>
    <s v="SEXTA"/>
    <x v="0"/>
    <s v="AV15 40-20 - 20 L"/>
    <s v="Agroveca"/>
    <s v="Guía de Despacho Electrónica"/>
    <n v="216"/>
    <s v="LITROS"/>
    <n v="40"/>
    <n v="240000"/>
    <n v="6000"/>
    <s v="CLP"/>
    <s v="CHILE"/>
    <d v="2026-05-31T00:00:00"/>
    <s v="AV"/>
    <m/>
    <m/>
  </r>
  <r>
    <x v="1"/>
    <s v="5.786.817-1"/>
    <s v="MARIO FERNANDO MUÑOZ SILVA"/>
    <s v="25/02/2026"/>
    <s v="SEXTA"/>
    <x v="0"/>
    <s v="AV BIOVECA RAIZ - 500 GR"/>
    <s v="Agroveca"/>
    <s v="Guía de Despacho Electrónica"/>
    <n v="216"/>
    <s v="UNIDAD"/>
    <n v="8"/>
    <n v="280000"/>
    <n v="35000"/>
    <s v="CLP"/>
    <s v="CHILE"/>
    <d v="2026-05-31T00:00:00"/>
    <s v="AV"/>
    <m/>
    <m/>
  </r>
  <r>
    <x v="1"/>
    <s v="76.180.961-K"/>
    <s v="AGRICOLA SAN ANTONIO LIMITADA"/>
    <s v="25/02/2026"/>
    <s v="OVALLE"/>
    <x v="5"/>
    <s v="AV ALGAP 30 x 20 LT"/>
    <s v="Agroveca"/>
    <s v="Factura Electrónica"/>
    <n v="530"/>
    <s v="LTS"/>
    <n v="20"/>
    <n v="0"/>
    <n v="0"/>
    <s v="CLP"/>
    <s v="CHILE"/>
    <d v="2026-03-30T00:00:00"/>
    <s v="AV"/>
    <s v="GUIA N 136"/>
    <d v="2026-01-07T00:00:00"/>
  </r>
  <r>
    <x v="1"/>
    <s v="76.180.961-K"/>
    <s v="AGRICOLA SAN ANTONIO LIMITADA"/>
    <s v="25/02/2026"/>
    <s v="OVALLE"/>
    <x v="5"/>
    <s v="AV PLUS MAGNESIO x 20 LT"/>
    <s v="Agroveca"/>
    <s v="Factura Electrónica"/>
    <n v="530"/>
    <s v="LTS"/>
    <n v="20"/>
    <n v="0"/>
    <n v="0"/>
    <s v="CLP"/>
    <s v="CHILE"/>
    <d v="2026-03-30T00:00:00"/>
    <s v="AV"/>
    <s v="GUIA N 136"/>
    <d v="2026-01-07T00:00:00"/>
  </r>
  <r>
    <x v="1"/>
    <s v="77.317.590-K"/>
    <s v="SOCIEDAD AGRICOLA SAN FRANCISCO"/>
    <s v="25/02/2026"/>
    <s v="SEXTA"/>
    <x v="4"/>
    <s v="AV SILFORTE - 20 L"/>
    <s v="Agroveca"/>
    <s v="Factura Electrónica"/>
    <n v="531"/>
    <s v="LITROS"/>
    <n v="320"/>
    <n v="3024000"/>
    <n v="9450"/>
    <s v="CLP"/>
    <s v="CHILE"/>
    <d v="2026-07-30T00:00:00"/>
    <s v="AV"/>
    <m/>
    <m/>
  </r>
  <r>
    <x v="1"/>
    <s v="77.317.590-K"/>
    <s v="SOCIEDAD AGRICOLA SAN FRANCISCO"/>
    <s v="25/02/2026"/>
    <s v="SEXTA"/>
    <x v="4"/>
    <s v="AV SILFORTE - 5 L"/>
    <s v="Agroveca"/>
    <s v="Factura Electrónica"/>
    <n v="531"/>
    <s v="LITROS"/>
    <n v="5"/>
    <n v="47250"/>
    <n v="9450"/>
    <s v="CLP"/>
    <s v="CHILE"/>
    <d v="2026-07-30T00:00:00"/>
    <s v="AV"/>
    <m/>
    <m/>
  </r>
  <r>
    <x v="1"/>
    <s v="77.317.590-K"/>
    <s v="SOCIEDAD AGRICOLA SAN FRANCISCO"/>
    <s v="25/02/2026"/>
    <s v="SEXTA"/>
    <x v="4"/>
    <s v="AV PLUS CALCIO BORO - 5 L"/>
    <s v="Agroveca"/>
    <s v="Factura Electrónica"/>
    <n v="531"/>
    <s v="LITROS"/>
    <n v="10"/>
    <n v="52800"/>
    <n v="5280"/>
    <s v="CLP"/>
    <s v="CHILE"/>
    <d v="2026-07-30T00:00:00"/>
    <s v="AV"/>
    <m/>
    <m/>
  </r>
  <r>
    <x v="1"/>
    <s v="77.317.590-K"/>
    <s v="SOCIEDAD AGRICOLA SAN FRANCISCO"/>
    <s v="25/02/2026"/>
    <s v="SEXTA"/>
    <x v="4"/>
    <s v="AV ROOT MAX - 1 L"/>
    <s v="Agroveca"/>
    <s v="Factura Electrónica"/>
    <n v="531"/>
    <s v="LITROS"/>
    <n v="5"/>
    <n v="49690"/>
    <n v="9938"/>
    <s v="CLP"/>
    <s v="CHILE"/>
    <d v="2026-07-30T00:00:00"/>
    <s v="AV"/>
    <m/>
    <m/>
  </r>
  <r>
    <x v="1"/>
    <s v="77.576.071-0"/>
    <s v="AGRICOLA E INVERSIONES VGV SPA"/>
    <s v="26/02/2026"/>
    <s v="QUINTA"/>
    <x v="1"/>
    <s v="AV HUMIC ROOT - 20 L"/>
    <s v="Agroveca"/>
    <s v="Guía de Despacho Electrónica"/>
    <n v="217"/>
    <s v="LITROS"/>
    <n v="380"/>
    <n v="950000"/>
    <n v="2500"/>
    <s v="CLP"/>
    <s v="CHILE"/>
    <d v="2026-08-30T00:00:00"/>
    <s v="AV"/>
    <m/>
    <m/>
  </r>
  <r>
    <x v="1"/>
    <s v="77.576.071-0"/>
    <s v="AGRICOLA E INVERSIONES VGV SPA"/>
    <s v="26/02/2026"/>
    <s v="QUINTA"/>
    <x v="1"/>
    <s v="AV MAX FULVIC 45% - 20 L"/>
    <s v="Agroveca"/>
    <s v="Guía de Despacho Electrónica"/>
    <n v="217"/>
    <s v="LITROS"/>
    <n v="380"/>
    <n v="950000"/>
    <n v="2500"/>
    <s v="CLP"/>
    <s v="CHILE"/>
    <d v="2026-08-30T00:00:00"/>
    <s v="AV"/>
    <m/>
    <m/>
  </r>
  <r>
    <x v="1"/>
    <s v="10.824.336-8"/>
    <s v="EUGENIO ALFREDO AMPUERO GUERRA"/>
    <s v="26/02/2026"/>
    <s v="QUINTA"/>
    <x v="1"/>
    <s v="AV BIOVECA NEMA OFF - 500 GR"/>
    <s v="Agroveca"/>
    <s v="Guía de Despacho Electrónica"/>
    <n v="218"/>
    <s v="UNIDAD"/>
    <n v="2"/>
    <n v="64000"/>
    <n v="32000"/>
    <s v="CLP"/>
    <s v="CHILE"/>
    <d v="2026-04-27T00:00:00"/>
    <s v="AV"/>
    <m/>
    <m/>
  </r>
  <r>
    <x v="1"/>
    <s v="10.824.336-8"/>
    <s v="EUGENIO ALFREDO AMPUERO GUERRA"/>
    <s v="26/02/2026"/>
    <s v="QUINTA"/>
    <x v="1"/>
    <s v="AV BIOVECA RAIZ - 500 GR"/>
    <s v="Agroveca"/>
    <s v="Guía de Despacho Electrónica"/>
    <n v="218"/>
    <s v="UNIDAD"/>
    <n v="2"/>
    <n v="64000"/>
    <n v="32000"/>
    <s v="CLP"/>
    <s v="CHILE"/>
    <d v="2026-04-27T00:00:00"/>
    <s v="AV"/>
    <m/>
    <m/>
  </r>
  <r>
    <x v="1"/>
    <s v="78.220.721-0"/>
    <s v="AGRICOLA Y COMERCIALIZADORA ALDO ROBERTO ARRIETA AHUMADA E.I.R.L."/>
    <s v="26/02/2026"/>
    <s v="QUINTA"/>
    <x v="1"/>
    <s v="AV BLOOM - 20 L"/>
    <s v="Agroveca"/>
    <s v="Guía de Despacho Electrónica"/>
    <n v="219"/>
    <s v="LITROS"/>
    <n v="20"/>
    <n v="190000"/>
    <n v="9500"/>
    <s v="CLP"/>
    <s v="CHILE"/>
    <d v="2026-03-25T00:00:00"/>
    <s v="AV"/>
    <m/>
    <m/>
  </r>
  <r>
    <x v="1"/>
    <s v="77.758.114-7"/>
    <s v="SOCIEDAD AGRÍCOLA COMERCIAL SIEMBRA SPA"/>
    <s v="26/02/2026"/>
    <s v="SEXTA"/>
    <x v="4"/>
    <s v="AV BLOOM - 5 L"/>
    <s v="Agroveca"/>
    <s v="Guía de Despacho Electrónica"/>
    <n v="220"/>
    <s v="LITROS"/>
    <n v="10"/>
    <n v="60060"/>
    <n v="6006"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 BLOOM - 1 L"/>
    <s v="Agroveca"/>
    <s v="Guía de Despacho Electrónica"/>
    <n v="220"/>
    <s v="LITROS"/>
    <n v="12"/>
    <n v="86484"/>
    <n v="7207"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15 40-20 - 1 L"/>
    <s v="Agroveca"/>
    <s v="Guía de Despacho Electrónica"/>
    <n v="220"/>
    <s v="LITROS"/>
    <n v="12"/>
    <n v="72072"/>
    <n v="6006"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15 40-20 - 5 L"/>
    <s v="Agroveca"/>
    <s v="Guía de Despacho Electrónica"/>
    <n v="220"/>
    <s v="LITROS"/>
    <n v="20"/>
    <n v="96100"/>
    <n v="4805"/>
    <s v="CLP"/>
    <s v="CHILE"/>
    <d v="2026-05-30T00:00:00"/>
    <s v="AV"/>
    <m/>
    <m/>
  </r>
  <r>
    <x v="1"/>
    <s v="77.317.590-K"/>
    <s v="SOCIEDAD AGRICOLA SAN FRANCISCO LTDA"/>
    <s v="26/02/2026"/>
    <s v="SEXTA"/>
    <x v="4"/>
    <s v="AV PLUS CALCIO - 1 L"/>
    <s v="Agroveca"/>
    <s v="Factura Electrónica"/>
    <n v="532"/>
    <s v="LITROS"/>
    <n v="3"/>
    <n v="18675"/>
    <n v="62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CALCIO - 5 L"/>
    <s v="Agroveca"/>
    <s v="Factura Electrónica"/>
    <n v="532"/>
    <s v="LITROS"/>
    <n v="10"/>
    <n v="47250"/>
    <n v="47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AMIN - 1 L"/>
    <s v="Agroveca"/>
    <s v="Factura Electrónica"/>
    <n v="532"/>
    <s v="LITROS"/>
    <n v="1"/>
    <n v="7575"/>
    <n v="757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1 L"/>
    <s v="Agroveca"/>
    <s v="Factura Electrónica"/>
    <n v="532"/>
    <s v="LITROS"/>
    <n v="12"/>
    <n v="74700"/>
    <n v="62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5 L"/>
    <s v="Agroveca"/>
    <s v="Factura Electrónica"/>
    <n v="532"/>
    <s v="LITROS"/>
    <n v="30"/>
    <n v="141750"/>
    <n v="47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CALCIO BORO - 5 L"/>
    <s v="Agroveca"/>
    <s v="Factura Electrónica"/>
    <n v="532"/>
    <s v="LITROS"/>
    <n v="5"/>
    <n v="26400"/>
    <n v="5280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15 40-20 - 1 L"/>
    <s v="Agroveca"/>
    <s v="Factura Electrónica"/>
    <n v="532"/>
    <s v="LITROS"/>
    <n v="3"/>
    <n v="29250"/>
    <n v="9750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BALANCE - 5 L"/>
    <s v="Agroveca"/>
    <s v="Factura Electrónica"/>
    <n v="532"/>
    <s v="LITROS"/>
    <n v="5"/>
    <n v="70875"/>
    <n v="1417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ALGAP 30 - 1 L"/>
    <s v="Agroveca"/>
    <s v="Factura Electrónica"/>
    <n v="532"/>
    <s v="LITROS"/>
    <n v="1"/>
    <n v="9000"/>
    <n v="9000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MOVE - 1 L"/>
    <s v="Agroveca"/>
    <s v="Factura Electrónica"/>
    <n v="532"/>
    <s v="LITROS"/>
    <n v="1"/>
    <n v="9375"/>
    <n v="937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MOVE - 5 L"/>
    <s v="Agroveca"/>
    <s v="Factura Electrónica"/>
    <n v="532"/>
    <s v="LITROS"/>
    <n v="15"/>
    <n v="129375"/>
    <n v="86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MAGNESIO - 1 L"/>
    <s v="Agroveca"/>
    <s v="Factura Electrónica"/>
    <n v="532"/>
    <s v="LITROS"/>
    <n v="4"/>
    <n v="24900"/>
    <n v="62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MAGNESIO - 5 L"/>
    <s v="Agroveca"/>
    <s v="Factura Electrónica"/>
    <n v="532"/>
    <s v="LITROS"/>
    <n v="5"/>
    <n v="23625"/>
    <n v="47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20 L"/>
    <s v="Agroveca"/>
    <s v="Factura Electrónica"/>
    <n v="532"/>
    <s v="LITROS"/>
    <n v="20"/>
    <n v="88500"/>
    <n v="4425"/>
    <s v="CLP"/>
    <s v="CHILE"/>
    <d v="2026-07-30T00:00:00"/>
    <s v="AV"/>
    <m/>
    <m/>
  </r>
  <r>
    <x v="1"/>
    <s v="78.223.261-4"/>
    <s v="AGRICOLA TOMATERRA SPA"/>
    <s v="26/02/2026"/>
    <s v="QUINTA"/>
    <x v="1"/>
    <s v="AV SILFORTE - 20 L"/>
    <s v="Agroveca"/>
    <s v="Factura Electrónica"/>
    <n v="533"/>
    <s v="LITROS"/>
    <n v="20"/>
    <n v="200000"/>
    <n v="10000"/>
    <s v="CLP"/>
    <s v="CHILE"/>
    <d v="2026-02-26T00:00:00"/>
    <s v="AV"/>
    <m/>
    <m/>
  </r>
  <r>
    <x v="1"/>
    <s v="77.941.544-9"/>
    <s v="BODEN SPA"/>
    <s v="26/02/2026"/>
    <s v="NOVENA"/>
    <x v="3"/>
    <s v="SOLUFOS - 500 GR"/>
    <s v="Agroveca"/>
    <s v="Guía de Despacho Electrónica"/>
    <n v="47"/>
    <s v="UN"/>
    <n v="200"/>
    <n v="5000000"/>
    <n v="25000"/>
    <s v="CLP"/>
    <s v="CHILE"/>
    <d v="2025-12-19T00:00:00"/>
    <s v="AV"/>
    <m/>
    <m/>
  </r>
  <r>
    <x v="2"/>
    <s v="12.266.087-7"/>
    <s v="MAURICIO ESTEBAN POBLETE BARRA"/>
    <s v="02/03/2026"/>
    <s v="ÑUBLE "/>
    <x v="2"/>
    <s v="GREEN PLANT 500CC GATILLO"/>
    <s v="Agrocomercial"/>
    <s v="Factura Electrónica"/>
    <n v="534"/>
    <s v="UNIDAD"/>
    <n v="2"/>
    <n v="0"/>
    <n v="0"/>
    <s v="CLP"/>
    <s v="CHILE"/>
    <d v="2026-03-02T00:00:00"/>
    <s v="AV"/>
    <m/>
    <m/>
  </r>
  <r>
    <x v="2"/>
    <s v="12.266.087-7"/>
    <s v="MAURICIO ESTEBAN POBLETE BARRA"/>
    <s v="02/03/2026"/>
    <s v="ÑUBLE "/>
    <x v="2"/>
    <s v="RAIZ 500CC GATILLO"/>
    <s v="Agrocomercial"/>
    <s v="Factura Electrónica"/>
    <n v="534"/>
    <s v="UNIDAD"/>
    <n v="2"/>
    <n v="0"/>
    <n v="0"/>
    <s v="CLP"/>
    <s v="CHILE"/>
    <d v="2026-03-02T00:00:00"/>
    <s v="AV"/>
    <m/>
    <m/>
  </r>
  <r>
    <x v="2"/>
    <s v="12.266.087-7"/>
    <s v="MAURICIO ESTEBAN POBLETE BARRA"/>
    <s v="02/03/2026"/>
    <s v="ÑUBLE "/>
    <x v="2"/>
    <s v="BALANCE 500CC GATILLO"/>
    <s v="Agrocomercial"/>
    <s v="Factura Electrónica"/>
    <n v="534"/>
    <s v="UNIDAD"/>
    <n v="2"/>
    <n v="0"/>
    <n v="0"/>
    <s v="CLP"/>
    <s v="CHILE"/>
    <d v="2026-03-02T00:00:00"/>
    <s v="AV"/>
    <m/>
    <m/>
  </r>
  <r>
    <x v="2"/>
    <s v="12.266.087-7"/>
    <s v="MAURICIO ESTEBAN POBLETE BARRA"/>
    <s v="02/03/2026"/>
    <s v="ÑUBLE "/>
    <x v="2"/>
    <s v="NUTRAMIX 500CC GATILLO"/>
    <s v="Agrocomercial"/>
    <s v="Factura Electrónica"/>
    <n v="534"/>
    <s v="UNIDAD"/>
    <n v="10"/>
    <n v="0"/>
    <n v="0"/>
    <s v="CLP"/>
    <s v="CHILE"/>
    <d v="2026-03-02T00:00:00"/>
    <s v="AV"/>
    <m/>
    <m/>
  </r>
  <r>
    <x v="2"/>
    <s v="77.135.740-7"/>
    <s v="RAUL JOFRE Y COMPAQIA LIMITADA"/>
    <s v="02/03/2026"/>
    <s v="ÑUBLE "/>
    <x v="4"/>
    <s v="AV PLUS POTASIO - 1 L"/>
    <s v="Agrocomercial"/>
    <s v="Factura Electrónica"/>
    <n v="535"/>
    <s v="LITROS"/>
    <n v="15"/>
    <n v="77505"/>
    <n v="5167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POTASIO - 5 L"/>
    <s v="Agrocomercial"/>
    <s v="Factura Electrónica"/>
    <n v="535"/>
    <s v="LITROS"/>
    <n v="35"/>
    <n v="135625"/>
    <n v="3875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MAGNESIO - 1 L"/>
    <s v="Agrocomercial"/>
    <s v="Factura Electrónica"/>
    <n v="535"/>
    <s v="LITROS"/>
    <n v="3"/>
    <n v="15501"/>
    <n v="5167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MAGNESIO - 5 L"/>
    <s v="Agrocomercial"/>
    <s v="Factura Electrónica"/>
    <n v="535"/>
    <s v="LITROS"/>
    <n v="15"/>
    <n v="58125"/>
    <n v="3875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- 1 L"/>
    <s v="Agrocomercial"/>
    <s v="Factura Electrónica"/>
    <n v="535"/>
    <s v="LITROS"/>
    <n v="6"/>
    <n v="31002"/>
    <n v="5167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- 5 L"/>
    <s v="Agrocomercial"/>
    <s v="Factura Electrónica"/>
    <n v="535"/>
    <s v="LITROS"/>
    <n v="15"/>
    <n v="58125"/>
    <n v="3875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BORO - 1 L"/>
    <s v="Agrocomercial"/>
    <s v="Factura Electrónica"/>
    <n v="535"/>
    <s v="LITROS"/>
    <n v="3"/>
    <n v="17052"/>
    <n v="5684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BORO - 5 L"/>
    <s v="Agrocomercial"/>
    <s v="Factura Electrónica"/>
    <n v="535"/>
    <s v="LITROS"/>
    <n v="10"/>
    <n v="45210"/>
    <n v="4521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ZINC - 1 L"/>
    <s v="Agrocomercial"/>
    <s v="Factura Electrónica"/>
    <n v="535"/>
    <s v="LITROS"/>
    <n v="2"/>
    <n v="13780"/>
    <n v="6890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BORO - 1 L"/>
    <s v="Agrocomercial"/>
    <s v="Factura Electrónica"/>
    <n v="535"/>
    <s v="LITROS"/>
    <n v="3"/>
    <n v="15501"/>
    <n v="5167"/>
    <s v="CLP"/>
    <s v="CHILE"/>
    <d v="2026-05-27T00:00:00"/>
    <s v="AV"/>
    <m/>
    <m/>
  </r>
  <r>
    <x v="2"/>
    <s v="77.135.740-7"/>
    <s v="RAUL JOFRE Y COMPAQIA LIMITADA"/>
    <s v="02/03/2026"/>
    <s v="SEXTA"/>
    <x v="4"/>
    <s v="AV15 40-20 - 1 L"/>
    <s v="Agrocomercial"/>
    <s v="Factura Electrónica"/>
    <n v="535"/>
    <s v="LITROS"/>
    <n v="1"/>
    <n v="6890"/>
    <n v="6890"/>
    <s v="CLP"/>
    <s v="CHILE"/>
    <d v="2026-05-27T00:00:00"/>
    <s v="AV"/>
    <m/>
    <m/>
  </r>
  <r>
    <x v="2"/>
    <s v="76.209.230-1"/>
    <s v="AGRICOLA JOSE MARIA Y OTRO LTDA"/>
    <s v="02/03/2026"/>
    <s v="SEXTA"/>
    <x v="0"/>
    <s v="AV MOVE - 20 L"/>
    <s v="Agroveca"/>
    <s v="Guía de Despacho Electrónica"/>
    <n v="222"/>
    <s v="LITROS"/>
    <n v="100"/>
    <n v="710000"/>
    <n v="7100"/>
    <s v="CLP"/>
    <s v="CHILE"/>
    <d v="2026-04-30T00:00:00"/>
    <s v="AV"/>
    <m/>
    <m/>
  </r>
  <r>
    <x v="2"/>
    <s v="10.824.336-8"/>
    <s v="EUGENIO ALFREDO AMPUERO GUERRA"/>
    <s v="02/03/2026"/>
    <s v="QUINTA"/>
    <x v="1"/>
    <s v="AV ROOT MAX - 20 L"/>
    <s v="Agroveca"/>
    <s v="Guía de Despacho Electrónica"/>
    <n v="225"/>
    <s v="LITROS"/>
    <n v="20"/>
    <n v="160000"/>
    <n v="8000"/>
    <s v="CLP"/>
    <s v="CHILE"/>
    <d v="2026-05-02T00:00:00"/>
    <s v="AV"/>
    <m/>
    <m/>
  </r>
  <r>
    <x v="2"/>
    <s v="76.044.123-6"/>
    <s v="AGRICOLA EL TOQUI LIMITADA"/>
    <s v="02/03/2026"/>
    <s v="SEXTA"/>
    <x v="4"/>
    <s v="AV MOVE - 20 L"/>
    <s v="Agrocomercial"/>
    <s v="Guía de Despacho Electrónica"/>
    <n v="227"/>
    <s v="LITROS"/>
    <n v="20"/>
    <n v="141304"/>
    <n v="7065.2"/>
    <s v="CLP"/>
    <s v="CHILE"/>
    <d v="2026-05-30T00:00:00"/>
    <s v="AV"/>
    <m/>
    <m/>
  </r>
  <r>
    <x v="2"/>
    <s v="76.044.123-6"/>
    <s v="AGRICOLA EL TOQUI LIMITADA"/>
    <s v="02/03/2026"/>
    <s v="SEXTA"/>
    <x v="4"/>
    <s v="AV MOVE - 5 L"/>
    <s v="Agrocomercial"/>
    <s v="Guía de Despacho Electrónica"/>
    <n v="227"/>
    <s v="LITROS"/>
    <n v="10"/>
    <n v="70652"/>
    <n v="7065.2"/>
    <s v="CLP"/>
    <s v="CHILE"/>
    <d v="2026-05-30T00:00:00"/>
    <s v="AV"/>
    <m/>
    <m/>
  </r>
  <r>
    <x v="2"/>
    <s v="77.941.544-9"/>
    <s v="BODEN SPA"/>
    <s v="03/03/2026"/>
    <s v="NOVENA"/>
    <x v="3"/>
    <s v="CRYOPHILE - 250 GR"/>
    <s v="Agrocomercial"/>
    <s v="Factura Electrónica"/>
    <n v="536"/>
    <s v="UNIDAD"/>
    <n v="200"/>
    <n v="4000000"/>
    <n v="20000"/>
    <s v="CLP"/>
    <s v="CHILE"/>
    <d v="2026-03-03T00:00:00"/>
    <s v="AV"/>
    <m/>
    <m/>
  </r>
  <r>
    <x v="2"/>
    <s v="76.776.128-7"/>
    <s v="AGRICOLA SANTA SABINA LIMITADA"/>
    <s v="03/03/2026"/>
    <s v="QUINTA"/>
    <x v="1"/>
    <s v="AV PLUS ZINC - 20 L"/>
    <s v="Agrocomercial"/>
    <s v="Guía de Despacho Electrónica"/>
    <n v="228"/>
    <s v="LITROS"/>
    <n v="20"/>
    <n v="80000"/>
    <n v="4000"/>
    <s v="CLP"/>
    <s v="CHILE"/>
    <d v="2026-05-03T00:00:00"/>
    <s v="AV"/>
    <m/>
    <m/>
  </r>
  <r>
    <x v="2"/>
    <s v="76.776.128-7"/>
    <s v="AGRICOLA SANTA SABINA LIMITADA"/>
    <s v="03/03/2026"/>
    <s v="QUINTA"/>
    <x v="1"/>
    <s v="AV PLUS HIERRO - 20 L"/>
    <s v="Agrocomercial"/>
    <s v="Guía de Despacho Electrónica"/>
    <n v="228"/>
    <s v="LITROS"/>
    <n v="20"/>
    <n v="80000"/>
    <n v="4000"/>
    <s v="CLP"/>
    <s v="CHILE"/>
    <d v="2026-05-03T00:00:00"/>
    <s v="AV"/>
    <m/>
    <m/>
  </r>
  <r>
    <x v="2"/>
    <s v="76.776.128-7"/>
    <s v="AGRICOLA SANTA SABINA LIMITADA"/>
    <s v="03/03/2026"/>
    <s v="QUINTA"/>
    <x v="1"/>
    <s v="AV PLUS MICRO MIX - 20 L"/>
    <s v="Agrocomercial"/>
    <s v="Guía de Despacho Electrónica"/>
    <n v="228"/>
    <s v="LITROS"/>
    <n v="20"/>
    <n v="120000"/>
    <n v="6000"/>
    <s v="CLP"/>
    <s v="CHILE"/>
    <d v="2026-05-03T00:00:00"/>
    <s v="AV"/>
    <m/>
    <m/>
  </r>
  <r>
    <x v="2"/>
    <s v="6.363.035-7"/>
    <s v="EDWIN LEONARDO GOYKOVIC CORTES"/>
    <s v="03/03/2026"/>
    <s v="QUINTA"/>
    <x v="6"/>
    <s v="ANALISIS FOLIAR"/>
    <s v="Agroveca"/>
    <s v="Factura Electrónica"/>
    <n v="537"/>
    <s v="UN"/>
    <n v="1"/>
    <n v="0"/>
    <n v="0"/>
    <s v="CLP"/>
    <s v="CHILE"/>
    <m/>
    <s v="AV"/>
    <s v="Analisis foliar"/>
    <m/>
  </r>
  <r>
    <x v="2"/>
    <s v="76.009.895-7"/>
    <s v="AGRICOLA BERRIES QUILLOTA LIMITADA"/>
    <s v="03/03/2026"/>
    <s v="QUINTA"/>
    <x v="1"/>
    <s v="ALGAP 30 - 200 L"/>
    <s v="Agroveca"/>
    <s v="Factura Electrónica"/>
    <n v="538"/>
    <s v="LTS"/>
    <n v="200"/>
    <n v="0"/>
    <n v="0"/>
    <s v="CLP"/>
    <s v="CHILE"/>
    <m/>
    <s v="AV"/>
    <s v="GUIA N 98"/>
    <d v="2025-12-10T00:00:00"/>
  </r>
  <r>
    <x v="2"/>
    <s v="77.053.472-0"/>
    <s v="TERMOFUSION ANTONIO RENATO MADARIAGA ARAVENA EMPRESA INDIVIDUAL DE RES"/>
    <s v="03/03/2026"/>
    <s v="QUINTA"/>
    <x v="1"/>
    <s v="AV PLUS MICRO MIX - 5 L"/>
    <s v="Agroveca"/>
    <s v="Factura Electrónica"/>
    <n v="539"/>
    <s v="LITROS"/>
    <n v="10"/>
    <n v="65000"/>
    <n v="6500"/>
    <s v="CLP"/>
    <s v="CHILE"/>
    <d v="2026-03-03T00:00:00"/>
    <s v="AV"/>
    <m/>
    <m/>
  </r>
  <r>
    <x v="2"/>
    <s v="78.109.329-7"/>
    <s v="SOCIEDAD COMERCIAL HIERBA BUENA LIMITADA"/>
    <s v="03/03/2026"/>
    <s v="METROPOLITANA"/>
    <x v="7"/>
    <s v="NUTRAMIX 500CC GATILLO"/>
    <s v="Agroveca"/>
    <s v="Factura Electrónica"/>
    <n v="540"/>
    <s v="UNIDAD"/>
    <n v="5"/>
    <n v="0"/>
    <n v="0"/>
    <s v="CLP"/>
    <s v="CHILE"/>
    <m/>
    <s v="AV"/>
    <s v="CUIDA TU PLANTA"/>
    <m/>
  </r>
  <r>
    <x v="2"/>
    <s v="78.109.329-7"/>
    <s v="SOCIEDAD COMERCIAL HIERBA BUENA LIMITADA"/>
    <s v="03/03/2026"/>
    <s v="METROPOLITANA"/>
    <x v="7"/>
    <s v="SILFORTEM 500 CC GATILLO"/>
    <s v="Agroveca"/>
    <s v="Factura Electrónica"/>
    <n v="540"/>
    <s v="UNIDAD"/>
    <n v="3"/>
    <n v="0"/>
    <n v="0"/>
    <s v="CLP"/>
    <s v="CHILE"/>
    <m/>
    <s v="AV"/>
    <s v="CUIDA TU PLANTA"/>
    <m/>
  </r>
  <r>
    <x v="2"/>
    <s v="77.157.056-9"/>
    <s v="CRR SERVICIOS SPA"/>
    <s v="04/03/2026"/>
    <s v="METROPOLITANA"/>
    <x v="7"/>
    <s v="GREEN PLANT 500CC GATILLO"/>
    <s v="Agrocomercial"/>
    <s v="Factura Electrónica"/>
    <n v="541"/>
    <s v="UNIDAD"/>
    <n v="5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BALANCE CONC. 500CC"/>
    <s v="Agrocomercial"/>
    <s v="Factura Electrónica"/>
    <n v="541"/>
    <s v="UNIDAD"/>
    <n v="2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NUTRAMIX CONC. 500CC"/>
    <s v="Agrocomercial"/>
    <s v="Factura Electrónica"/>
    <n v="541"/>
    <s v="UNIDAD"/>
    <n v="2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RAIZ CONC. 500CC"/>
    <s v="Agrocomercial"/>
    <s v="Factura Electrónica"/>
    <n v="541"/>
    <s v="UNIDAD"/>
    <n v="2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TERRAPULSE CONC. 500 CC"/>
    <s v="Agrocomercial"/>
    <s v="Factura Electrónica"/>
    <n v="541"/>
    <s v="UNIDAD"/>
    <n v="3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AV BIOVECA RAIZ - 500 GR"/>
    <s v="Agrocomercial"/>
    <s v="Factura Electrónica"/>
    <n v="541"/>
    <s v="UNIDAD"/>
    <n v="1"/>
    <n v="0"/>
    <n v="0"/>
    <s v="CLP"/>
    <s v="CHILE"/>
    <d v="2026-03-04T00:00:00"/>
    <s v="AV"/>
    <m/>
    <m/>
  </r>
  <r>
    <x v="2"/>
    <s v="7.714.703-9"/>
    <s v="CECILIA VELENTINA MALEBRAN"/>
    <s v="04/03/2026"/>
    <s v="QUINTA"/>
    <x v="1"/>
    <s v="Prodructos de 1 litro"/>
    <s v="Agrocomercial"/>
    <s v="Boleta Electronica"/>
    <n v="62"/>
    <s v="LTS"/>
    <n v="9"/>
    <n v="96000"/>
    <n v="10666.666666666666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NUTRAMIX 500CC GATILLO"/>
    <s v="Agrocomercial"/>
    <s v="Factura Electrónica"/>
    <n v="542"/>
    <s v="UNIDAD"/>
    <n v="12"/>
    <n v="0"/>
    <n v="0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BALANCE 500CC GATILLO"/>
    <s v="Agrocomercial"/>
    <s v="Factura Electrónica"/>
    <n v="542"/>
    <s v="UNIDAD"/>
    <n v="12"/>
    <n v="0"/>
    <n v="0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NUTRAMIX CONC. 200CC"/>
    <s v="Agrocomercial"/>
    <s v="Factura Electrónica"/>
    <n v="542"/>
    <s v="UNIDAD"/>
    <n v="6"/>
    <n v="0"/>
    <n v="0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TERRAPULSE CONC. 200 CC"/>
    <s v="Agrocomercial"/>
    <s v="Factura Electrónica"/>
    <n v="542"/>
    <s v="UNIDAD"/>
    <n v="10"/>
    <n v="0"/>
    <n v="0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BALANCE CONC. 200CC"/>
    <s v="Agrocomercial"/>
    <s v="Factura Electrónica"/>
    <n v="542"/>
    <s v="UNIDAD"/>
    <n v="6"/>
    <n v="0"/>
    <n v="0"/>
    <s v="CLP"/>
    <s v="CHILE"/>
    <d v="2026-03-04T00:00:00"/>
    <s v="AV"/>
    <m/>
    <m/>
  </r>
  <r>
    <x v="2"/>
    <s v="81.669.200-8"/>
    <s v="PONTIFICIA UNIVERSIDAD CATOLICA DE VALPARAISO"/>
    <s v="04/03/2026"/>
    <s v="QUINTA"/>
    <x v="1"/>
    <s v="AV MOVE - 20 L"/>
    <s v="Agrocomercial"/>
    <s v="Factura Electrónica"/>
    <n v="543"/>
    <s v="LITROS"/>
    <n v="20"/>
    <n v="170000"/>
    <n v="8500"/>
    <s v="CLP"/>
    <s v="CHILE"/>
    <d v="2026-04-06T00:00:00"/>
    <s v="AV"/>
    <m/>
    <m/>
  </r>
  <r>
    <x v="2"/>
    <s v="81.669.200-8"/>
    <s v="PONTIFICIA UNIVERSIDAD CATOLICA DE VALPARAISO"/>
    <s v="04/03/2026"/>
    <s v="QUINTA"/>
    <x v="1"/>
    <s v="AV MOVE - 5 L"/>
    <s v="Agrocomercial"/>
    <s v="Factura Electrónica"/>
    <n v="543"/>
    <s v="LITROS"/>
    <n v="10"/>
    <n v="85000"/>
    <n v="8500"/>
    <s v="CLP"/>
    <s v="CHILE"/>
    <d v="2026-04-06T00:00:00"/>
    <s v="AV"/>
    <m/>
    <m/>
  </r>
  <r>
    <x v="2"/>
    <s v="77.467.157-9"/>
    <s v="IMPORTADORA BRISAS VALDOVINO SPA"/>
    <s v="05/03/2026"/>
    <s v="SEXTA"/>
    <x v="4"/>
    <s v="AV PLUS ZINC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MAGNESIO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HIERRO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MICRO MIX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POTASIO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CALCIO BORO - 5 L"/>
    <s v="Agrocomercial"/>
    <s v="Factura Electrónica"/>
    <n v="544"/>
    <s v="LITROS"/>
    <n v="5"/>
    <n v="24790"/>
    <n v="4958"/>
    <s v="CLP"/>
    <s v="CHILE"/>
    <d v="2026-03-05T00:00:00"/>
    <s v="AV"/>
    <m/>
    <m/>
  </r>
  <r>
    <x v="2"/>
    <s v="76.442.085-3"/>
    <s v="AGRICOLA TUNICHE LIMITADA"/>
    <s v="05/03/2026"/>
    <s v="SEXTA"/>
    <x v="4"/>
    <s v="AV PLUS POTASIO - 20 L"/>
    <s v="Agroveca"/>
    <s v="Factura Electrónica"/>
    <n v="545"/>
    <s v="LITROS"/>
    <n v="20"/>
    <n v="0"/>
    <n v="0"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POTASIO - 5 L"/>
    <s v="Agroveca"/>
    <s v="Factura Electrónica"/>
    <n v="545"/>
    <s v="LITROS"/>
    <n v="15"/>
    <n v="0"/>
    <n v="0"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POTASIO - 1 L"/>
    <s v="Agroveca"/>
    <s v="Factura Electrónica"/>
    <n v="545"/>
    <s v="LITROS"/>
    <n v="1"/>
    <n v="0"/>
    <n v="0"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MAGNESIO - 5 L"/>
    <s v="Agroveca"/>
    <s v="Factura Electrónica"/>
    <n v="545"/>
    <s v="LITROS"/>
    <n v="5"/>
    <n v="0"/>
    <n v="0"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MAGNESIO - 1 L"/>
    <s v="Agroveca"/>
    <s v="Factura Electrónica"/>
    <n v="545"/>
    <s v="LITROS"/>
    <n v="3"/>
    <n v="0"/>
    <n v="0"/>
    <s v="CLP"/>
    <s v="CHILE"/>
    <d v="2026-03-20T00:00:00"/>
    <s v="AV"/>
    <s v="GUIA N 159"/>
    <d v="2026-01-19T00:00:00"/>
  </r>
  <r>
    <x v="2"/>
    <s v="77.139.169-9"/>
    <s v="AGRICOLA FUNDO LA PROVIDENCIA LTDA"/>
    <s v="05/03/2026"/>
    <s v="METROPOLITANA"/>
    <x v="0"/>
    <s v="BIOVECA RAÍZ - 500 GR"/>
    <s v="Agroveca"/>
    <s v="Factura Electrónica"/>
    <n v="546"/>
    <s v="UN"/>
    <n v="16"/>
    <n v="0"/>
    <n v="0"/>
    <s v="CLP"/>
    <s v="CHILE"/>
    <d v="2026-02-26T00:00:00"/>
    <s v="AV"/>
    <s v="GUIA N 120"/>
    <d v="2025-12-28T00:00:00"/>
  </r>
  <r>
    <x v="2"/>
    <s v="77.139.169-9"/>
    <s v="AGRICOLA FUNDO LA PROVIDENCIA LTDA"/>
    <s v="05/03/2026"/>
    <s v="METROPOLITANA"/>
    <x v="0"/>
    <s v="VECASIL FORTE - 20 L"/>
    <s v="Agroveca"/>
    <s v="Factura Electrónica"/>
    <n v="546"/>
    <s v="LTS"/>
    <n v="70"/>
    <n v="0"/>
    <n v="0"/>
    <s v="CLP"/>
    <s v="CHILE"/>
    <d v="2026-02-26T00:00:00"/>
    <s v="AV"/>
    <s v="GUIA N 120"/>
    <d v="2025-12-28T00:00:00"/>
  </r>
  <r>
    <x v="2"/>
    <s v="77.139.169-9"/>
    <s v="AGRICOLA FUNDO LA PROVIDENCIA LTDA"/>
    <s v="05/03/2026"/>
    <s v="METROPOLITANA"/>
    <x v="0"/>
    <s v="VECA ROOT MAX - 20 L"/>
    <s v="Agroveca"/>
    <s v="Factura Electrónica"/>
    <n v="546"/>
    <s v="LTS"/>
    <n v="75"/>
    <n v="0"/>
    <n v="0"/>
    <s v="CLP"/>
    <s v="CHILE"/>
    <d v="2026-02-26T00:00:00"/>
    <s v="AV"/>
    <s v="GUIA N 120"/>
    <d v="2025-12-28T00:00:00"/>
  </r>
  <r>
    <x v="2"/>
    <s v="78.168.038-9"/>
    <s v="INSUMOS AGRICOLAS RAICES DEL CAMPO SPA"/>
    <s v="05/03/2026"/>
    <s v="METROPOLITANA"/>
    <x v="3"/>
    <s v="AV BIOVECA RAIZ - 500 GR"/>
    <s v="Agrocomercial"/>
    <s v="Factura Electrónica"/>
    <n v="547"/>
    <s v="UNIDAD"/>
    <n v="20"/>
    <n v="0"/>
    <n v="0"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BLOOM - 5 L"/>
    <s v="Agrocomercial"/>
    <s v="Factura Electrónica"/>
    <n v="547"/>
    <s v="LITROS"/>
    <n v="40"/>
    <n v="0"/>
    <n v="0"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BLOOM - 1 L"/>
    <s v="Agrocomercial"/>
    <s v="Factura Electrónica"/>
    <n v="547"/>
    <s v="LITROS"/>
    <n v="12"/>
    <n v="0"/>
    <n v="0"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MAX FULVIC 45% - 20 L"/>
    <s v="Agrocomercial"/>
    <s v="Factura Electrónica"/>
    <n v="547"/>
    <s v="LITROS"/>
    <n v="120"/>
    <n v="0"/>
    <n v="0"/>
    <s v="CLP"/>
    <s v="CHILE"/>
    <d v="2026-03-22T00:00:00"/>
    <s v="AV"/>
    <s v="GUIA N 161"/>
    <d v="2026-01-21T00:00:00"/>
  </r>
  <r>
    <x v="2"/>
    <s v="9.501.614-6"/>
    <s v="JUAN ENRIQUE VARGAS ALZAMORA"/>
    <s v="05/03/2026"/>
    <s v="QUINTA"/>
    <x v="1"/>
    <s v="VECA MAX FULVIC 45% 20LT"/>
    <s v="Agrocomercial"/>
    <s v="Factura Electrónica"/>
    <n v="548"/>
    <s v="LTS"/>
    <n v="200"/>
    <n v="0"/>
    <n v="0"/>
    <s v="CLP"/>
    <s v="CHILE"/>
    <d v="2026-03-10T00:00:00"/>
    <s v="AV"/>
    <s v="GUIA N 99"/>
    <d v="2025-12-11T00:00:00"/>
  </r>
  <r>
    <x v="2"/>
    <s v="77.654.430-2"/>
    <s v="AGRICOLA LA LOICA SPA"/>
    <s v="05/03/2026"/>
    <s v="QUINTA"/>
    <x v="0"/>
    <s v="ALGAP 30 - 200 L"/>
    <s v="Agroveca"/>
    <s v="Factura Electrónica"/>
    <n v="549"/>
    <s v="LTS"/>
    <n v="200"/>
    <n v="0"/>
    <n v="0"/>
    <s v="CLP"/>
    <s v="CHILE"/>
    <d v="2026-03-01T00:00:00"/>
    <s v="AV"/>
    <s v="GUIA N 82"/>
    <d v="2025-12-01T00:00:00"/>
  </r>
  <r>
    <x v="2"/>
    <s v="10.824.336-8"/>
    <s v="EUGENIO ALFREDO AMPUERO GUERRA"/>
    <s v="05/03/2026"/>
    <s v="QUINTA"/>
    <x v="1"/>
    <s v="VECA AMIN SUGAR x 20LT"/>
    <s v="Agrocomercial"/>
    <s v="Factura Electrónica"/>
    <n v="550"/>
    <s v="LTS"/>
    <n v="100"/>
    <n v="0"/>
    <n v="0"/>
    <s v="CLP"/>
    <s v="CHILE"/>
    <d v="2026-02-04T00:00:00"/>
    <s v="AV"/>
    <s v="GUIA N 88"/>
    <d v="2025-12-04T00:00:00"/>
  </r>
  <r>
    <x v="2"/>
    <s v="77.112.646-4"/>
    <s v="AGRICOLA LAS VERTIENTES S.A."/>
    <s v="06/03/2026"/>
    <s v="SEXTA"/>
    <x v="4"/>
    <s v="AV MOVE - 20 L"/>
    <s v="Agrocomercial"/>
    <s v="Factura Electrónica"/>
    <n v="551"/>
    <s v="LITROS"/>
    <n v="40"/>
    <n v="320000"/>
    <n v="8000"/>
    <s v="CLP"/>
    <s v="CHILE"/>
    <d v="2026-07-15T00:00:00"/>
    <s v="AV"/>
    <m/>
    <m/>
  </r>
  <r>
    <x v="2"/>
    <s v="81.669.200-8"/>
    <s v="PONTIFICIA UNIVERSIDAD CATOLICA DE VALPARAISO"/>
    <s v="06/03/2026"/>
    <s v="QUINTA"/>
    <x v="1"/>
    <s v="AV PLUS MICRO MIX - 5 L"/>
    <s v="Agroveca"/>
    <s v="Guía de Despacho Electrónica"/>
    <n v="230"/>
    <s v="LITROS"/>
    <n v="10"/>
    <n v="70000"/>
    <n v="70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ROOT MAX - 20 L"/>
    <s v="Agroveca"/>
    <s v="Guía de Despacho Electrónica"/>
    <n v="230"/>
    <s v="LITROS"/>
    <n v="40"/>
    <n v="440000"/>
    <n v="110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AMIN SUGAR - 20 L"/>
    <s v="Agroveca"/>
    <s v="Guía de Despacho Electrónica"/>
    <n v="230"/>
    <s v="LITROS"/>
    <n v="20"/>
    <n v="100000"/>
    <n v="50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SILFORTE - 5 L"/>
    <s v="Agroveca"/>
    <s v="Guía de Despacho Electrónica"/>
    <n v="230"/>
    <s v="LITROS"/>
    <n v="5"/>
    <n v="57500"/>
    <n v="115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PLUS NUTRI MIX - 5 L"/>
    <s v="Agroveca"/>
    <s v="Guía de Despacho Electrónica"/>
    <n v="230"/>
    <s v="LITROS"/>
    <n v="10"/>
    <n v="70000"/>
    <n v="70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BIOVECA RAIZ - 500 GR"/>
    <s v="Agroveca"/>
    <s v="Guía de Despacho Electrónica"/>
    <n v="230"/>
    <s v="UNIDAD"/>
    <n v="40"/>
    <n v="1200000"/>
    <n v="30000"/>
    <s v="CLP"/>
    <s v="CHILE"/>
    <d v="2026-04-05T00:00:00"/>
    <s v="AV"/>
    <m/>
    <m/>
  </r>
  <r>
    <x v="2"/>
    <s v="78.189.158-4"/>
    <s v="AGRICOLA SAN PEDRO SPA"/>
    <s v="07/03/2026"/>
    <s v="SEXTA"/>
    <x v="0"/>
    <s v="AV15 40-20 - 20 L"/>
    <s v="Agroveca"/>
    <s v="Guía de Despacho Electrónica"/>
    <n v="231"/>
    <s v="LITROS"/>
    <n v="100"/>
    <n v="408100"/>
    <n v="4081"/>
    <s v="CLP"/>
    <s v="CHILE"/>
    <d v="2026-12-15T00:00:00"/>
    <s v="AV"/>
    <m/>
    <m/>
  </r>
  <r>
    <x v="2"/>
    <s v="76.210.444-K"/>
    <s v="SOCIEDAD AGRICOLA ALIAGA LTDA"/>
    <s v="07/03/2026"/>
    <s v="SEXTA"/>
    <x v="0"/>
    <s v="AV15 40-20 - 20 L"/>
    <s v="Agroveca"/>
    <s v="Guía de Despacho Electrónica"/>
    <n v="232"/>
    <s v="LITROS"/>
    <n v="40"/>
    <n v="163240"/>
    <n v="4081"/>
    <s v="CLP"/>
    <s v="CHILE"/>
    <d v="2026-12-15T00:00:00"/>
    <s v="AV"/>
    <m/>
    <m/>
  </r>
  <r>
    <x v="2"/>
    <s v="76.210.444-K"/>
    <s v="SOCIEDAD AGRICOLA ALIAGA LTDA"/>
    <s v="07/03/2026"/>
    <s v="SEXTA"/>
    <x v="0"/>
    <s v="AV15 40-20 - 5 L"/>
    <s v="Agroveca"/>
    <s v="Guía de Despacho Electrónica"/>
    <n v="232"/>
    <s v="LITROS"/>
    <n v="10"/>
    <n v="40810"/>
    <n v="4081"/>
    <s v="CLP"/>
    <s v="CHILE"/>
    <d v="2026-12-15T00:00:00"/>
    <s v="AV"/>
    <m/>
    <m/>
  </r>
  <r>
    <x v="2"/>
    <s v="77.504.909-K"/>
    <s v="AGRICOLA QUINQUILHUE SPA"/>
    <s v="11/03/2026"/>
    <s v="NOVENA"/>
    <x v="3"/>
    <s v="AV ALGAP 30 - 1 L"/>
    <s v="Agroveca"/>
    <s v="Factura Electrónica"/>
    <n v="552"/>
    <s v="LITROS"/>
    <n v="1"/>
    <n v="11430"/>
    <n v="11430"/>
    <s v="CLP"/>
    <s v="CHILE"/>
    <d v="2026-03-11T00:00:00"/>
    <s v="AV"/>
    <m/>
    <m/>
  </r>
  <r>
    <x v="2"/>
    <s v="77.504.909-K"/>
    <s v="AGRICOLA QUINQUILHUE SPA"/>
    <s v="11/03/2026"/>
    <s v="NOVENA"/>
    <x v="3"/>
    <s v="AV MOVE - 1 L"/>
    <s v="Agroveca"/>
    <s v="Factura Electrónica"/>
    <n v="552"/>
    <s v="LITROS"/>
    <n v="1"/>
    <n v="9600"/>
    <n v="9600"/>
    <s v="CLP"/>
    <s v="CHILE"/>
    <d v="2026-03-11T00:00:00"/>
    <s v="AV"/>
    <m/>
    <m/>
  </r>
  <r>
    <x v="2"/>
    <s v="77.504.909-K"/>
    <s v="AGRICOLA QUINQUILHUE SPA"/>
    <s v="11/03/2026"/>
    <s v="NOVENA"/>
    <x v="3"/>
    <s v="AV PLUS POTASIO - 1 L"/>
    <s v="Agroveca"/>
    <s v="Factura Electrónica"/>
    <n v="552"/>
    <s v="LITROS"/>
    <n v="1"/>
    <n v="7900"/>
    <n v="7900"/>
    <s v="CLP"/>
    <s v="CHILE"/>
    <d v="2026-03-11T00:00:00"/>
    <s v="AV"/>
    <m/>
    <m/>
  </r>
  <r>
    <x v="2"/>
    <s v="77.504.909-K"/>
    <s v="AGRICOLA QUINQUILHUE SPA"/>
    <s v="11/03/2026"/>
    <s v="NOVENA"/>
    <x v="3"/>
    <s v="AV15 40-20 - 1 L"/>
    <s v="Agroveca"/>
    <s v="Factura Electrónica"/>
    <n v="552"/>
    <s v="LITROS"/>
    <n v="1"/>
    <n v="11800"/>
    <n v="11800"/>
    <s v="CLP"/>
    <s v="CHILE"/>
    <d v="2026-03-11T00:00:00"/>
    <s v="AV"/>
    <m/>
    <m/>
  </r>
  <r>
    <x v="2"/>
    <s v="77.504.909-K"/>
    <s v="AGRICOLA QUINQUILHUE SPA"/>
    <s v="11/03/2026"/>
    <s v="NOVENA"/>
    <x v="3"/>
    <s v="AV BIOVECA RAIZ - 500 GR"/>
    <s v="Agroveca"/>
    <s v="Factura Electrónica"/>
    <n v="552"/>
    <s v="UNIDAD"/>
    <n v="1"/>
    <n v="38000"/>
    <n v="38000"/>
    <s v="CLP"/>
    <s v="CHILE"/>
    <d v="2026-03-11T00:00:00"/>
    <s v="AV"/>
    <m/>
    <m/>
  </r>
  <r>
    <x v="2"/>
    <s v="78.542.250-3"/>
    <s v="INVERSIONES ALFARO E INFANTE LTDA"/>
    <s v="11/03/2026"/>
    <s v="LOS RIOS "/>
    <x v="1"/>
    <s v="ANALSIS FOLIAR"/>
    <s v="Laboratorio"/>
    <s v="Factura Electrónica"/>
    <n v="554"/>
    <s v="UN"/>
    <n v="2"/>
    <n v="0"/>
    <n v="0"/>
    <s v="CLP"/>
    <s v="CHILE"/>
    <d v="2026-03-11T00:00:00"/>
    <s v="AV"/>
    <m/>
    <m/>
  </r>
  <r>
    <x v="2"/>
    <s v="77.941.544-9"/>
    <s v="BODEN SPA"/>
    <s v="11/03/2026"/>
    <s v="NOVENA"/>
    <x v="3"/>
    <s v="CRYOPHILE - 250 GR"/>
    <s v="Agrocomercial"/>
    <s v="Guía de Despacho Electrónica"/>
    <n v="58"/>
    <s v="UNIDAD"/>
    <n v="668"/>
    <n v="11356000"/>
    <n v="17000"/>
    <s v="CLP"/>
    <s v="CHILE"/>
    <d v="2026-09-11T00:00:00"/>
    <s v="AV"/>
    <m/>
    <m/>
  </r>
  <r>
    <x v="2"/>
    <s v="78.168.038-9"/>
    <s v="INSUMOS AGRICOLAS RAICES DEL CAMPO SPA"/>
    <s v="12/03/2026"/>
    <s v="METROPOLITANA"/>
    <x v="3"/>
    <s v="AV MAX FULVIC 45% - 20 L"/>
    <s v="Agrocomercial"/>
    <s v="Guía de Despacho Electrónica"/>
    <n v="234"/>
    <s v="LITROS"/>
    <n v="200"/>
    <n v="659779"/>
    <n v="3298.895"/>
    <s v="CLP"/>
    <s v="CHILE"/>
    <d v="2026-05-11T00:00:00"/>
    <s v="AV"/>
    <m/>
    <m/>
  </r>
  <r>
    <x v="2"/>
    <s v="76.044.123-6"/>
    <s v="AGRICOLA EL TOQUI LIMITADA"/>
    <s v="12/03/2026"/>
    <s v="SEXTA"/>
    <x v="4"/>
    <s v="AV BALANCE - 20 L"/>
    <s v="Agroveca"/>
    <s v="Guía de Despacho Electrónica"/>
    <n v="235"/>
    <s v="LITROS"/>
    <n v="40"/>
    <n v="540000"/>
    <n v="13500"/>
    <s v="CLP"/>
    <s v="CHILE"/>
    <d v="2026-09-30T00:00:00"/>
    <s v="AV"/>
    <m/>
    <m/>
  </r>
  <r>
    <x v="2"/>
    <s v="76.044.123-6"/>
    <s v="AGRICOLA EL TOQUI LIMITADA"/>
    <s v="12/03/2026"/>
    <s v="SEXTA"/>
    <x v="4"/>
    <s v="AV BALANCE - 5 L"/>
    <s v="Agroveca"/>
    <s v="Guía de Despacho Electrónica"/>
    <n v="235"/>
    <s v="LITROS"/>
    <n v="15"/>
    <n v="202500"/>
    <n v="13500"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20 L"/>
    <s v="Agroveca"/>
    <s v="Guía de Despacho Electrónica"/>
    <n v="235"/>
    <s v="LITROS"/>
    <n v="20"/>
    <n v="162000"/>
    <n v="8100"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5 L"/>
    <s v="Agroveca"/>
    <s v="Guía de Despacho Electrónica"/>
    <n v="235"/>
    <s v="LITROS"/>
    <n v="15"/>
    <n v="121500"/>
    <n v="8100"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1 L"/>
    <s v="Agroveca"/>
    <s v="Guía de Despacho Electrónica"/>
    <n v="235"/>
    <s v="LITROS"/>
    <n v="1"/>
    <n v="8100"/>
    <n v="8100"/>
    <s v="CLP"/>
    <s v="CHILE"/>
    <d v="2026-09-30T00:00:00"/>
    <s v="AV"/>
    <m/>
    <m/>
  </r>
  <r>
    <x v="2"/>
    <s v="76.044.123-6"/>
    <s v="AGRICOLA EL TOQUI LIMITADA"/>
    <s v="12/03/2026"/>
    <s v="SEXTA"/>
    <x v="4"/>
    <s v="AV SILFORTE - 20 L"/>
    <s v="Agroveca"/>
    <s v="Guía de Despacho Electrónica"/>
    <n v="235"/>
    <s v="LITROS"/>
    <n v="80"/>
    <n v="720000"/>
    <n v="9000"/>
    <s v="CLP"/>
    <s v="CHILE"/>
    <d v="2026-09-30T00:00:00"/>
    <s v="AV"/>
    <m/>
    <m/>
  </r>
  <r>
    <x v="2"/>
    <s v="76.044.123-6"/>
    <s v="AGRICOLA EL TOQUI LIMITADA"/>
    <s v="12/03/2026"/>
    <s v="SEXTA"/>
    <x v="4"/>
    <s v="AV SILFORTE - 5 L"/>
    <s v="Agroveca"/>
    <s v="Guía de Despacho Electrónica"/>
    <n v="235"/>
    <s v="LITROS"/>
    <n v="10"/>
    <n v="90000"/>
    <n v="9000"/>
    <s v="CLP"/>
    <s v="CHILE"/>
    <d v="2026-09-30T00:00:00"/>
    <s v="AV"/>
    <m/>
    <m/>
  </r>
  <r>
    <x v="2"/>
    <s v="76.036.193-3"/>
    <s v="AGRICOLA LUIS ANTONIO HERRERA AVENDANO E.I.R.L."/>
    <s v="13/03/2026"/>
    <s v="SEXTA"/>
    <x v="0"/>
    <s v="AV MOVE - 20 L"/>
    <s v="Agroveca"/>
    <s v="Factura Electrónica"/>
    <n v="555"/>
    <s v="LITROS"/>
    <n v="40"/>
    <n v="300000"/>
    <n v="7500"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20 L"/>
    <s v="Agroveca"/>
    <s v="Guía de Despacho Electrónica"/>
    <n v="54"/>
    <s v="LITROS"/>
    <n v="80"/>
    <n v="1014000"/>
    <n v="12675"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5 L"/>
    <s v="Agroveca"/>
    <s v="Guía de Despacho Electrónica"/>
    <n v="54"/>
    <s v="LITROS"/>
    <n v="100"/>
    <n v="1417500"/>
    <n v="14175"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1 L"/>
    <s v="Agroveca"/>
    <s v="Guía de Despacho Electrónica"/>
    <n v="54"/>
    <s v="LITROS"/>
    <n v="20"/>
    <n v="328500"/>
    <n v="16425"/>
    <s v="CLP"/>
    <s v="CHILE"/>
    <d v="2026-03-13T00:00:00"/>
    <s v="AV"/>
    <m/>
    <m/>
  </r>
  <r>
    <x v="2"/>
    <s v="5.786.817-1"/>
    <s v="MARIO FERNANDO MUÑOZ SILVA"/>
    <s v="13/03/2026"/>
    <s v="SEXTA"/>
    <x v="0"/>
    <s v="AV15 40-20 - 20 L"/>
    <s v="Agroveca"/>
    <s v="Guía de Despacho Electrónica"/>
    <n v="236"/>
    <s v="LITROS"/>
    <n v="80"/>
    <n v="480000"/>
    <n v="6000"/>
    <s v="CLP"/>
    <s v="CHILE"/>
    <d v="2026-05-31T00:00:00"/>
    <s v="AV"/>
    <m/>
    <m/>
  </r>
  <r>
    <x v="2"/>
    <s v="76.547.701-8"/>
    <s v="SOCIEDAD AGRICOLA BRUGNATO LIMITADA"/>
    <s v="13/03/2026"/>
    <s v="QUINTA"/>
    <x v="1"/>
    <s v="AV15 40-20 - 20 L"/>
    <s v="Agroveca"/>
    <s v="Guía de Despacho Electrónica"/>
    <n v="237"/>
    <s v="LITROS"/>
    <n v="20"/>
    <n v="83000"/>
    <n v="4150"/>
    <s v="CLP"/>
    <s v="CHILE"/>
    <d v="2026-05-13T00:00:00"/>
    <s v="AV"/>
    <m/>
    <m/>
  </r>
  <r>
    <x v="2"/>
    <s v="76.547.701-8"/>
    <s v="SOCIEDAD AGRICOLA BRUGNATO LIMITADA"/>
    <s v="13/03/2026"/>
    <s v="QUINTA"/>
    <x v="1"/>
    <s v="AV CYTO PRIME - 20 L"/>
    <s v="Agroveca"/>
    <s v="Guía de Despacho Electrónica"/>
    <n v="237"/>
    <s v="LITROS"/>
    <n v="40"/>
    <n v="680000"/>
    <n v="17000"/>
    <s v="CLP"/>
    <s v="CHILE"/>
    <d v="2026-05-13T00:00:00"/>
    <s v="AV"/>
    <m/>
    <m/>
  </r>
  <r>
    <x v="2"/>
    <s v="77.171.744-6"/>
    <s v="GANAFRUT SPA"/>
    <s v="13/03/2026"/>
    <s v="DECIMA"/>
    <x v="3"/>
    <s v="AV ROOT MAX - 20 L"/>
    <s v="Agroveca"/>
    <s v="Factura Electrónica"/>
    <n v="556"/>
    <s v="LITROS"/>
    <n v="240"/>
    <n v="2140800"/>
    <n v="8920"/>
    <s v="CLP"/>
    <s v="CHILE"/>
    <d v="2026-03-13T00:00:00"/>
    <s v="AV"/>
    <m/>
    <m/>
  </r>
  <r>
    <x v="2"/>
    <s v="77.171.744-6"/>
    <s v="GANAFRUT SPA"/>
    <s v="13/03/2026"/>
    <s v="DECIMA"/>
    <x v="3"/>
    <s v="AV PLUS POTASIO - 20 L"/>
    <s v="Agroveca"/>
    <s v="Factura Electrónica"/>
    <n v="556"/>
    <s v="LITROS"/>
    <n v="20"/>
    <n v="118000"/>
    <n v="5900"/>
    <s v="CLP"/>
    <s v="CHILE"/>
    <d v="2026-03-13T00:00:00"/>
    <s v="AV"/>
    <m/>
    <m/>
  </r>
  <r>
    <x v="2"/>
    <s v="10.831.211-4"/>
    <s v="BRIGITTE ELENA PARDO CONTRERAS"/>
    <s v="16/03/2026"/>
    <s v="METROPOLITANA"/>
    <x v="5"/>
    <s v="AV ROOT MAX - 1 L"/>
    <s v="Agrocomercial"/>
    <s v="Factura Electrónica"/>
    <n v="557"/>
    <s v="LITROS"/>
    <n v="36"/>
    <n v="0"/>
    <n v="0"/>
    <s v="CLP"/>
    <s v="CHILE"/>
    <d v="2026-03-30T00:00:00"/>
    <s v="AV"/>
    <s v="GUIA N 847"/>
    <d v="2025-11-21T00:00:00"/>
  </r>
  <r>
    <x v="2"/>
    <s v="10.831.211-4"/>
    <s v="BRIGITTE ELENA PARDO CONTRERAS"/>
    <s v="16/03/2026"/>
    <s v="METROPOLITANA"/>
    <x v="5"/>
    <s v="AV BALANCE - 1 L"/>
    <s v="Agrocomercial"/>
    <s v="Factura Electrónica"/>
    <n v="558"/>
    <s v="LITROS"/>
    <n v="24"/>
    <n v="0"/>
    <n v="0"/>
    <s v="CLP"/>
    <s v="CHILE"/>
    <d v="2026-03-30T00:00:00"/>
    <s v="AV"/>
    <s v="GUIA N 750"/>
    <d v="2025-10-10T00:00:00"/>
  </r>
  <r>
    <x v="2"/>
    <s v="10.831.211-4"/>
    <s v="BRIGITTE ELENA PARDO CONTRERAS"/>
    <s v="16/03/2026"/>
    <s v="METROPOLITANA"/>
    <x v="5"/>
    <s v="AV ROOT MAX - 1 L"/>
    <s v="Agrocomercial"/>
    <s v="Factura Electrónica"/>
    <n v="559"/>
    <s v="LITROS"/>
    <n v="36"/>
    <n v="0"/>
    <n v="0"/>
    <s v="CLP"/>
    <s v="CHILE"/>
    <d v="2026-03-30T00:00:00"/>
    <s v="AV"/>
    <s v="GUIA N 713"/>
    <d v="2025-09-30T00:00:00"/>
  </r>
  <r>
    <x v="2"/>
    <s v="13.126.772-K"/>
    <s v="DAVID DEL CARMEN SALINAS MORALES"/>
    <s v="16/03/2026"/>
    <s v="ÑUBLE "/>
    <x v="6"/>
    <s v="ANÁLSIS FOLIAR"/>
    <s v="Laboratorio"/>
    <s v="Factura Electrónica"/>
    <n v="560"/>
    <s v="UN"/>
    <n v="2"/>
    <n v="0"/>
    <n v="0"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SUELO EPS"/>
    <s v="Laboratorio"/>
    <s v="Factura Electrónica"/>
    <n v="560"/>
    <s v="UN"/>
    <n v="2"/>
    <n v="0"/>
    <n v="0"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SUELO BÁSICO"/>
    <s v="Laboratorio"/>
    <s v="Factura Electrónica"/>
    <n v="560"/>
    <s v="UN"/>
    <n v="2"/>
    <n v="0"/>
    <n v="0"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AGUA DE RIEGO"/>
    <s v="Laboratorio"/>
    <s v="Factura Electrónica"/>
    <n v="560"/>
    <s v="UN"/>
    <n v="1"/>
    <n v="0"/>
    <n v="0"/>
    <s v="CLP"/>
    <s v="CHILE"/>
    <d v="2026-03-16T00:00:00"/>
    <s v="AV"/>
    <m/>
    <m/>
  </r>
  <r>
    <x v="2"/>
    <s v="99.511.460-7"/>
    <s v="SOCIEDAD AGRICOLA SAN NICOLAS LIMITADA"/>
    <s v="17/03/2026"/>
    <s v="SEXTA"/>
    <x v="4"/>
    <s v="AV MOVE - 20 L"/>
    <s v="Agrocomercial"/>
    <s v="Factura Electrónica"/>
    <n v="561"/>
    <s v="LITROS"/>
    <n v="20"/>
    <n v="0"/>
    <n v="0"/>
    <s v="CLP"/>
    <s v="CHILE"/>
    <d v="2026-03-27T00:00:00"/>
    <s v="AV"/>
    <s v="GUIA N 174 "/>
    <d v="2026-01-26T00:00:00"/>
  </r>
  <r>
    <x v="2"/>
    <s v="76.428.021-0"/>
    <s v="SOCIEDAD AGRICOLA TIERRA DE BACO LIMITADA"/>
    <s v="17/03/2026"/>
    <s v="SEXTA"/>
    <x v="4"/>
    <s v="AV BIOVECA FOLIAR - 250 GR"/>
    <s v="Agroveca"/>
    <s v="Factura Electrónica"/>
    <n v="562"/>
    <s v="UNIDAD"/>
    <n v="20"/>
    <n v="700000"/>
    <n v="35000"/>
    <s v="CLP"/>
    <s v="CHILE"/>
    <d v="2026-06-15T00:00:00"/>
    <s v="AV"/>
    <m/>
    <m/>
  </r>
  <r>
    <x v="2"/>
    <s v="78.191.436-3"/>
    <s v="VIVERO DONA AURORA SPA"/>
    <s v="17/03/2026"/>
    <s v="SEPTIMA"/>
    <x v="2"/>
    <s v="BALANCE CONC. 200CC"/>
    <s v="Agrocomercial"/>
    <s v="Factura Electrónica"/>
    <n v="563"/>
    <s v="UNIDAD"/>
    <n v="1"/>
    <n v="0"/>
    <n v="0"/>
    <s v="CLP"/>
    <s v="CHILE"/>
    <d v="2026-03-17T00:00:00"/>
    <s v="AV"/>
    <m/>
    <m/>
  </r>
  <r>
    <x v="2"/>
    <s v="78.191.436-3"/>
    <s v="VIVERO DONA AURORA SPA"/>
    <s v="17/03/2026"/>
    <s v="SEPTIMA"/>
    <x v="2"/>
    <s v="BALANCE 500CC GATILLO"/>
    <s v="Agrocomercial"/>
    <s v="Factura Electrónica"/>
    <n v="563"/>
    <s v="UNIDAD"/>
    <n v="4"/>
    <n v="0"/>
    <n v="0"/>
    <s v="CLP"/>
    <s v="CHILE"/>
    <d v="2026-03-17T00:00:00"/>
    <s v="AV"/>
    <m/>
    <m/>
  </r>
  <r>
    <x v="2"/>
    <s v="81.669.200-8"/>
    <s v="PONTIFICIA UNIVERSIDAD CATOLICA DE VALPARAISO"/>
    <s v="17/03/2026"/>
    <s v="QUINTA "/>
    <x v="1"/>
    <s v="AV PLUS MICRO MIX - 5 L"/>
    <s v="Agroveca"/>
    <s v="Factura Electrónica"/>
    <n v="564"/>
    <s v="LITROS"/>
    <n v="10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ROOT MAX - 20 L"/>
    <s v="Agroveca"/>
    <s v="Factura Electrónica"/>
    <n v="564"/>
    <s v="LITROS"/>
    <n v="40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AMIN SUGAR - 20 L"/>
    <s v="Agroveca"/>
    <s v="Factura Electrónica"/>
    <n v="564"/>
    <s v="LITROS"/>
    <n v="20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 "/>
    <x v="1"/>
    <s v="AV SILFORTE - 5 L"/>
    <s v="Agroveca"/>
    <s v="Factura Electrónica"/>
    <n v="564"/>
    <s v="LITROS"/>
    <n v="5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PLUS NUTRI MIX - 5 L"/>
    <s v="Agroveca"/>
    <s v="Factura Electrónica"/>
    <n v="564"/>
    <s v="LITROS"/>
    <n v="10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BIOVECA RAIZ - 500 GR"/>
    <s v="Agroveca"/>
    <s v="Factura Electrónica"/>
    <n v="564"/>
    <s v="UNIDAD"/>
    <n v="40"/>
    <n v="0"/>
    <n v="0"/>
    <s v="CLP"/>
    <s v="CHILE"/>
    <d v="2026-04-16T00:00:00"/>
    <s v="AV"/>
    <s v="GUIA N 230"/>
    <d v="2026-04-16T00:00:00"/>
  </r>
  <r>
    <x v="2"/>
    <s v="14.284.877-5"/>
    <s v="CARLOS HUMBERTO CASTRO VALENZUELA"/>
    <s v="17/03/2026"/>
    <s v="SEXTA"/>
    <x v="0"/>
    <s v="AV MAX FULVIC 45% - 5 L"/>
    <s v="Agrocomercial"/>
    <s v="Factura Electrónica"/>
    <n v="565"/>
    <s v="LITROS"/>
    <n v="10"/>
    <n v="0"/>
    <n v="0"/>
    <s v="CLP"/>
    <s v="CHILE"/>
    <d v="2026-03-17T00:00:00"/>
    <s v="AV"/>
    <s v="GUIA N 155"/>
    <d v="2026-01-16T00:00:00"/>
  </r>
  <r>
    <x v="2"/>
    <s v="14.284.877-5"/>
    <s v="CARLOS HUMBERTO CASTRO VALENZUELA"/>
    <s v="17/03/2026"/>
    <s v="SEXTA"/>
    <x v="0"/>
    <s v="AV SILFORTE - 5 L"/>
    <s v="Agrocomercial"/>
    <s v="Factura Electrónica"/>
    <n v="565"/>
    <s v="LITROS"/>
    <n v="10"/>
    <n v="0"/>
    <n v="0"/>
    <s v="CLP"/>
    <s v="CHILE"/>
    <d v="2026-03-17T00:00:00"/>
    <s v="AV"/>
    <s v="GUIA N 155"/>
    <d v="2026-01-16T00:00:00"/>
  </r>
  <r>
    <x v="2"/>
    <s v="76.428.021-0"/>
    <s v="SOCIEDAD AGRICOLA TIERRA DE BACO LIMITADA"/>
    <s v="18/03/2026"/>
    <s v="SEXTA"/>
    <x v="4"/>
    <s v="AV BIOVECA FOLIAR - 250 GR"/>
    <s v="Agroveca"/>
    <s v="Factura Electrónica"/>
    <n v="566"/>
    <s v="UNIDAD"/>
    <n v="23"/>
    <n v="805000"/>
    <n v="35000"/>
    <s v="CLP"/>
    <s v="CHILE"/>
    <d v="2026-06-20T00:00:00"/>
    <s v="AV"/>
    <m/>
    <m/>
  </r>
  <r>
    <x v="2"/>
    <s v="6.847.048-K"/>
    <s v="FLORENCIO SEGUNDO ALAYAN BRICENO"/>
    <s v="18/03/2026"/>
    <s v="CUARTA"/>
    <x v="5"/>
    <s v="AV MOVE - 20 L AVCH-110"/>
    <s v="Agrocomercial"/>
    <s v="Factura Electrónica"/>
    <n v="567"/>
    <s v="LITROS"/>
    <n v="120"/>
    <n v="1008000"/>
    <n v="8400"/>
    <s v="CLP"/>
    <s v="CHILE"/>
    <d v="2026-04-17T00:00:00"/>
    <s v="AV"/>
    <m/>
    <m/>
  </r>
  <r>
    <x v="2"/>
    <s v="77.941.544-9"/>
    <s v="BODEN SPA"/>
    <s v="18/03/2026"/>
    <s v="DECIMA"/>
    <x v="3"/>
    <s v="SOLUFOS - 500 GR"/>
    <s v="Agroveca"/>
    <s v="Factura Electrónica"/>
    <n v="568"/>
    <s v="UN"/>
    <n v="200"/>
    <n v="0"/>
    <n v="0"/>
    <s v="CLP"/>
    <s v="CHILE"/>
    <d v="2026-03-18T00:00:00"/>
    <s v="AV"/>
    <s v="GUIA N 47 "/>
    <d v="2025-08-21T00:00:00"/>
  </r>
  <r>
    <x v="2"/>
    <s v="17.504.838-3"/>
    <s v="ALUDI ALEJANDRA REYES PEREZ"/>
    <s v="19/03/2026"/>
    <s v="SEXTA"/>
    <x v="4"/>
    <s v="AV SILFORTE - 20 L"/>
    <s v="Agroveca"/>
    <s v="Factura Electrónica"/>
    <n v="569"/>
    <s v="LITROS"/>
    <n v="20"/>
    <n v="214120"/>
    <n v="10706"/>
    <s v="CLP"/>
    <s v="CHILE"/>
    <d v="2026-03-19T00:00:00"/>
    <s v="AV"/>
    <m/>
    <m/>
  </r>
  <r>
    <x v="2"/>
    <s v="17.504.838-3"/>
    <s v="ALUDI ALEJANDRA REYES PEREZ"/>
    <s v="19/03/2026"/>
    <s v="SEXTA"/>
    <x v="4"/>
    <s v="AV PLUS CALCIO - 20 L"/>
    <s v="Agroveca"/>
    <s v="Factura Electrónica"/>
    <n v="569"/>
    <s v="LITROS"/>
    <n v="20"/>
    <n v="80000"/>
    <n v="4000"/>
    <s v="CLP"/>
    <s v="CHILE"/>
    <d v="2026-03-19T00:00:00"/>
    <s v="AV"/>
    <m/>
    <m/>
  </r>
  <r>
    <x v="2"/>
    <s v="76.442.085-3"/>
    <s v="AGRICOLA TUNICHE LIMITADA"/>
    <s v="19/03/2026"/>
    <s v="SEXTA"/>
    <x v="4"/>
    <s v="AV PLUS MAGNESIO - 20 L"/>
    <s v="Agrocomercial"/>
    <s v="Factura Electrónica"/>
    <n v="570"/>
    <s v="LITROS"/>
    <n v="20"/>
    <n v="0"/>
    <n v="0"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 PLUS MAGNESIO - 1 L"/>
    <s v="Agrocomercial"/>
    <s v="Factura Electrónica"/>
    <n v="570"/>
    <s v="LITROS"/>
    <n v="4"/>
    <n v="0"/>
    <n v="0"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 PLUS POTASIO - 20 L"/>
    <s v="Agrocomercial"/>
    <s v="Factura Electrónica"/>
    <n v="570"/>
    <s v="LITROS"/>
    <n v="40"/>
    <n v="0"/>
    <n v="0"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15 40-20 - 20 L"/>
    <s v="Agroveca"/>
    <s v="Factura Electrónica"/>
    <n v="571"/>
    <s v="LITROS"/>
    <n v="20"/>
    <n v="0"/>
    <n v="0"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15 40-20 - 5 L"/>
    <s v="Agroveca"/>
    <s v="Factura Electrónica"/>
    <n v="571"/>
    <s v="LITROS"/>
    <n v="10"/>
    <n v="0"/>
    <n v="0"/>
    <s v="CLP"/>
    <s v="CHILE"/>
    <d v="2026-04-13T00:00:00"/>
    <s v="AV"/>
    <s v="GUIA N 202"/>
    <d v="2026-02-12T00:00:00"/>
  </r>
  <r>
    <x v="2"/>
    <s v="76.442.085-3"/>
    <s v="AGRICOLA TUNICHE LIMITADA"/>
    <s v="19/03/2026"/>
    <s v="SEXTA"/>
    <x v="4"/>
    <s v="AV PLUS POTASIO - 20 L"/>
    <s v="Agroveca"/>
    <s v="Factura Electrónica"/>
    <n v="571"/>
    <s v="LITROS"/>
    <n v="60"/>
    <n v="0"/>
    <n v="0"/>
    <s v="CLP"/>
    <s v="CHILE"/>
    <d v="2026-04-13T00:00:00"/>
    <s v="AV"/>
    <s v="GUIA N 203"/>
    <d v="2026-02-12T00:00:00"/>
  </r>
  <r>
    <x v="2"/>
    <s v="76.442.085-3"/>
    <s v="AGRICOLA TUNICHE LIMITADA"/>
    <s v="19/03/2026"/>
    <s v="SEXTA"/>
    <x v="4"/>
    <s v="AV PLUS MAGNESIO - 20 L"/>
    <s v="Agroveca"/>
    <s v="Factura Electrónica"/>
    <n v="571"/>
    <s v="LITROS"/>
    <n v="40"/>
    <n v="0"/>
    <n v="0"/>
    <s v="CLP"/>
    <s v="CHILE"/>
    <d v="2026-04-13T00:00:00"/>
    <s v="AV"/>
    <s v="GUIA N 204"/>
    <d v="2026-02-12T00:00:00"/>
  </r>
  <r>
    <x v="2"/>
    <s v="76.044.123-6"/>
    <s v="AGRICOLA EL TOQUI LIMITADA"/>
    <s v="20/03/2026"/>
    <s v="SEXTA"/>
    <x v="4"/>
    <s v="AV MOVE - 20 L"/>
    <s v="Agroveca"/>
    <s v="Factura Electrónica"/>
    <n v="572"/>
    <s v="LITROS"/>
    <n v="140"/>
    <n v="0"/>
    <n v="0"/>
    <s v="CLP"/>
    <s v="CHILE"/>
    <d v="2026-05-30T00:00:00"/>
    <s v="AV"/>
    <s v="GUIA N 166"/>
    <d v="2026-01-23T00:00:00"/>
  </r>
  <r>
    <x v="2"/>
    <s v="76.044.123-6"/>
    <s v="AGRICOLA EL TOQUI LIMITADA"/>
    <s v="20/03/2026"/>
    <s v="SEXTA"/>
    <x v="4"/>
    <s v="AV MOVE - 5 L"/>
    <s v="Agroveca"/>
    <s v="Factura Electrónica"/>
    <n v="572"/>
    <s v="LITROS"/>
    <n v="10"/>
    <n v="0"/>
    <n v="0"/>
    <s v="CLP"/>
    <s v="CHILE"/>
    <d v="2026-05-30T00:00:00"/>
    <s v="AV"/>
    <s v="GUIA N 166"/>
    <d v="2026-01-23T00:00:00"/>
  </r>
  <r>
    <x v="2"/>
    <s v="76.044.123-6"/>
    <s v="AGRICOLA EL TOQUI LIMITADA"/>
    <s v="20/03/2026"/>
    <s v="SEXTA"/>
    <x v="4"/>
    <s v="AV BALANCE - 20 L"/>
    <s v="Agroveca"/>
    <s v="Factura Electrónica"/>
    <n v="573"/>
    <s v="LITROS"/>
    <n v="40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BALANCE - 5 L"/>
    <s v="Agroveca"/>
    <s v="Factura Electrónica"/>
    <n v="573"/>
    <s v="LITROS"/>
    <n v="15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20 L"/>
    <s v="Agroveca"/>
    <s v="Factura Electrónica"/>
    <n v="573"/>
    <s v="LITROS"/>
    <n v="20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5 L"/>
    <s v="Agroveca"/>
    <s v="Factura Electrónica"/>
    <n v="573"/>
    <s v="LITROS"/>
    <n v="15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1 L"/>
    <s v="Agroveca"/>
    <s v="Factura Electrónica"/>
    <n v="573"/>
    <s v="LITROS"/>
    <n v="1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SILFORTE - 20 L"/>
    <s v="Agroveca"/>
    <s v="Factura Electrónica"/>
    <n v="573"/>
    <s v="LITROS"/>
    <n v="80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SILFORTE - 5 L"/>
    <s v="Agroveca"/>
    <s v="Factura Electrónica"/>
    <n v="573"/>
    <s v="LITROS"/>
    <n v="10"/>
    <n v="0"/>
    <n v="0"/>
    <s v="CLP"/>
    <s v="CHILE"/>
    <d v="2026-09-30T00:00:00"/>
    <s v="AV"/>
    <s v="GUIA N 235"/>
    <d v="2026-03-12T00:00:00"/>
  </r>
  <r>
    <x v="2"/>
    <s v="76.210.444-K"/>
    <s v="SOCIEDAD AGRICOLA ALIAGA LTDA"/>
    <s v="20/03/2026"/>
    <s v="SEXTA"/>
    <x v="0"/>
    <s v="AV BIOVECA INVERNAL - 250 GR"/>
    <s v="Agroveca"/>
    <s v="Guía de Despacho Electrónica"/>
    <n v="239"/>
    <s v="UNIDAD"/>
    <n v="5"/>
    <n v="165000"/>
    <n v="33000"/>
    <s v="CLP"/>
    <s v="CHILE"/>
    <d v="2026-12-20T00:00:00"/>
    <s v="AV"/>
    <m/>
    <m/>
  </r>
  <r>
    <x v="2"/>
    <s v="78.189.158-4"/>
    <s v="AGRICOLA SAN PEDRO SPA"/>
    <s v="20/03/2026"/>
    <s v="SEXTA"/>
    <x v="0"/>
    <s v="AV BIOVECA INVERNAL - 250 GR"/>
    <s v="Agroveca"/>
    <s v="Guía de Despacho Electrónica"/>
    <n v="240"/>
    <s v="UNIDAD"/>
    <n v="11"/>
    <n v="363000"/>
    <n v="33000"/>
    <s v="CLP"/>
    <s v="CHILE"/>
    <d v="2026-12-20T00:00:00"/>
    <s v="AV"/>
    <m/>
    <m/>
  </r>
  <r>
    <x v="2"/>
    <s v="77.185.037-5"/>
    <s v="SOCIEDAD AGRICOLA LA ESPERANZA SPA"/>
    <s v="20/03/2026"/>
    <s v="SEXTA"/>
    <x v="0"/>
    <s v="AV BIOVECA INVERNAL - 250 GR"/>
    <s v="Agroveca"/>
    <s v="Guía de Despacho Electrónica"/>
    <n v="241"/>
    <s v="UNIDAD"/>
    <n v="6"/>
    <n v="198000"/>
    <n v="33000"/>
    <s v="CLP"/>
    <s v="CHILE"/>
    <d v="2026-12-20T00:00:00"/>
    <s v="AV"/>
    <m/>
    <m/>
  </r>
  <r>
    <x v="2"/>
    <s v="77.941.544-9"/>
    <s v="BODEN SPA"/>
    <s v="20/03/2026"/>
    <s v="DECIMA"/>
    <x v="3"/>
    <s v="PROTECT PRADERAS - 250 G"/>
    <s v="Agrocomercial"/>
    <s v="Guía de Despacho Electrónica"/>
    <n v="243"/>
    <s v="KILOS"/>
    <n v="600"/>
    <n v="10800000"/>
    <n v="18000"/>
    <s v="CLP"/>
    <s v="CHILE"/>
    <d v="2026-03-20T00:00:00"/>
    <s v="AV"/>
    <m/>
    <m/>
  </r>
  <r>
    <x v="2"/>
    <s v="96.661.820-5"/>
    <s v="COMERCIAL COPELEC SA"/>
    <s v="23/03/2026"/>
    <s v="ÑUBLE "/>
    <x v="2"/>
    <s v="AV PLUS NUTRI MIX - 1 L"/>
    <s v="Agroveca"/>
    <s v="Factura Electrónica"/>
    <n v="574"/>
    <s v="LITROS"/>
    <n v="12"/>
    <n v="73308"/>
    <n v="6109"/>
    <s v="CLP"/>
    <s v="CHILE"/>
    <d v="2026-04-20T00:00:00"/>
    <s v="AV"/>
    <m/>
    <m/>
  </r>
  <r>
    <x v="2"/>
    <s v="96.661.820-5"/>
    <s v="COMERCIAL COPELEC SA"/>
    <s v="23/03/2026"/>
    <s v="ÑUBLE "/>
    <x v="2"/>
    <s v="AV PLUS CALCIO BORO - 1 L"/>
    <s v="Agroveca"/>
    <s v="Factura Electrónica"/>
    <n v="574"/>
    <s v="LITROS"/>
    <n v="24"/>
    <n v="162840"/>
    <n v="6785"/>
    <s v="CLP"/>
    <s v="CHILE"/>
    <d v="2026-04-20T00:00:00"/>
    <s v="AV"/>
    <m/>
    <m/>
  </r>
  <r>
    <x v="2"/>
    <s v="96.661.820-5"/>
    <s v="COMERCIAL COPELEC SA"/>
    <s v="23/03/2026"/>
    <s v="ÑUBLE "/>
    <x v="2"/>
    <s v="AV PLUS NP MIX - 1 L"/>
    <s v="Agroveca"/>
    <s v="Factura Electrónica"/>
    <n v="574"/>
    <s v="LITROS"/>
    <n v="24"/>
    <n v="172200"/>
    <n v="7175"/>
    <s v="CLP"/>
    <s v="CHILE"/>
    <d v="2026-04-20T00:00:00"/>
    <s v="AV"/>
    <m/>
    <m/>
  </r>
  <r>
    <x v="2"/>
    <s v="96.661.820-5"/>
    <s v="COMERCIAL COPELEC SA"/>
    <s v="23/03/2026"/>
    <s v="ÑUBLE "/>
    <x v="2"/>
    <s v="AV PLUS POTASIO - 1 L"/>
    <s v="Agroveca"/>
    <s v="Factura Electrónica"/>
    <n v="574"/>
    <s v="LITROS"/>
    <n v="12"/>
    <n v="74100"/>
    <n v="6175"/>
    <s v="CLP"/>
    <s v="CHILE"/>
    <d v="2026-04-20T00:00:00"/>
    <s v="AV"/>
    <m/>
    <m/>
  </r>
  <r>
    <x v="2"/>
    <s v="96.661.820-5"/>
    <s v="COMERCIAL COPELEC SA"/>
    <s v="23/03/2026"/>
    <s v="ÑUBLE "/>
    <x v="2"/>
    <s v="AV ROOT MAX - 1 L"/>
    <s v="Agroveca"/>
    <s v="Factura Electrónica"/>
    <n v="574"/>
    <s v="LITROS"/>
    <n v="12"/>
    <n v="152280"/>
    <n v="12690"/>
    <s v="CLP"/>
    <s v="CHILE"/>
    <d v="2026-04-20T00:00:00"/>
    <s v="AV"/>
    <m/>
    <m/>
  </r>
  <r>
    <x v="2"/>
    <s v="13.304.290-3"/>
    <s v="ANITA ANDREA SALGADO MUNOZ"/>
    <s v="23/03/2026"/>
    <s v="SEXTA"/>
    <x v="0"/>
    <s v="AV BIOVECA NEMA OFF - 500 GR"/>
    <s v="Agroveca"/>
    <s v="Guía de Despacho Electrónica"/>
    <n v="244"/>
    <s v="UNIDAD"/>
    <n v="3"/>
    <n v="111000"/>
    <n v="37000"/>
    <s v="CLP"/>
    <s v="CHILE"/>
    <d v="2026-05-29T00:00:00"/>
    <s v="AV"/>
    <m/>
    <m/>
  </r>
  <r>
    <x v="2"/>
    <s v="76.146.000-5"/>
    <s v="SOC AGRICOLA LA ISLA LIMITADA"/>
    <s v="24/03/2026"/>
    <s v="SEXTA"/>
    <x v="4"/>
    <s v="AV BIOVECA INVERNAL - 250 GR"/>
    <s v="Agroveca"/>
    <s v="Guía de Despacho Electrónica"/>
    <n v="245"/>
    <s v="UNIDAD"/>
    <n v="10"/>
    <n v="350000"/>
    <n v="35000"/>
    <s v="CLP"/>
    <s v="CHILE"/>
    <d v="2026-08-20T00:00:00"/>
    <s v="AV"/>
    <m/>
    <m/>
  </r>
  <r>
    <x v="2"/>
    <s v="76.146.000-5"/>
    <s v="SOC AGRICOLA LA ISLA LIMITADA"/>
    <s v="24/03/2026"/>
    <s v="SEXTA"/>
    <x v="4"/>
    <s v="AV PLUS MICRO MIX - 20 L"/>
    <s v="Agroveca"/>
    <s v="Guía de Despacho Electrónica"/>
    <n v="245"/>
    <s v="LITROS"/>
    <n v="100"/>
    <n v="916000"/>
    <n v="9160"/>
    <s v="CLP"/>
    <s v="CHILE"/>
    <d v="2026-08-20T00:00:00"/>
    <s v="AV"/>
    <m/>
    <m/>
  </r>
  <r>
    <x v="2"/>
    <s v="76.180.961-K"/>
    <s v="AGRICOLA SAN ANTONIO LIMITADA"/>
    <s v="24/03/2026"/>
    <s v="CUARTA"/>
    <x v="5"/>
    <s v="AV MOVE - 20 L"/>
    <s v="Agrocomercial"/>
    <s v="Guía de Despacho Electrónica"/>
    <n v="246"/>
    <s v="LITROS"/>
    <n v="80"/>
    <n v="672000"/>
    <n v="8400"/>
    <s v="CLP"/>
    <s v="CHILE"/>
    <d v="2026-05-20T00:00:00"/>
    <s v="AV"/>
    <m/>
    <m/>
  </r>
  <r>
    <x v="2"/>
    <s v="77.787.364-4"/>
    <s v="INVERSIONES COSTA DE ALGARROBO SPA."/>
    <s v="25/03/2026"/>
    <s v="METROPOLITANA"/>
    <x v="0"/>
    <s v="AV PLUS MAGNESIO - 20 L"/>
    <s v="Agroveca"/>
    <s v="Factura Electrónica"/>
    <n v="575"/>
    <s v="LITROS"/>
    <n v="20"/>
    <n v="60000"/>
    <n v="30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PLUS MAGNESIO - 5 L"/>
    <s v="Agroveca"/>
    <s v="Factura Electrónica"/>
    <n v="575"/>
    <s v="LITROS"/>
    <n v="10"/>
    <n v="30000"/>
    <n v="30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SILFORTE - 20 L"/>
    <s v="Agroveca"/>
    <s v="Factura Electrónica"/>
    <n v="575"/>
    <s v="LITROS"/>
    <n v="20"/>
    <n v="140000"/>
    <n v="70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ROOT MAX - 20 L"/>
    <s v="Agroveca"/>
    <s v="Factura Electrónica"/>
    <n v="575"/>
    <s v="LITROS"/>
    <n v="20"/>
    <n v="120000"/>
    <n v="60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MAX FULVIC 45% - 20 L"/>
    <s v="Agroveca"/>
    <s v="Factura Electrónica"/>
    <n v="576"/>
    <s v="LITROS"/>
    <n v="20"/>
    <n v="116000"/>
    <n v="58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HUMIC ROOT - 20 L"/>
    <s v="Agroveca"/>
    <s v="Factura Electrónica"/>
    <n v="576"/>
    <s v="LITROS"/>
    <n v="40"/>
    <n v="232000"/>
    <n v="58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ROOT MAX - 20 L"/>
    <s v="Agroveca"/>
    <s v="Factura Electrónica"/>
    <n v="576"/>
    <s v="LITROS"/>
    <n v="20"/>
    <n v="196000"/>
    <n v="9800"/>
    <s v="CLP"/>
    <s v="CHILE"/>
    <d v="2026-04-20T00:00:00"/>
    <s v="AV"/>
    <m/>
    <m/>
  </r>
  <r>
    <x v="2"/>
    <s v="76.238.110-9"/>
    <s v="AGRICOLA FRANCISCA MONTES E.I.R.L"/>
    <s v="25/03/2026"/>
    <s v="SEXTA"/>
    <x v="0"/>
    <s v="AV MOVE - 20 L"/>
    <s v="Agrocomercial"/>
    <s v="Factura Electrónica"/>
    <n v="577"/>
    <s v="LITROS"/>
    <n v="120"/>
    <n v="1056000"/>
    <n v="8800"/>
    <s v="CLP"/>
    <s v="CHILE"/>
    <d v="2026-04-24T00:00:00"/>
    <s v="AV"/>
    <m/>
    <m/>
  </r>
  <r>
    <x v="2"/>
    <s v="76.238.110-9"/>
    <s v="AGRICOLA FRANCISCA MONTES E.I.R.L"/>
    <s v="25/03/2026"/>
    <s v="SEXTA"/>
    <x v="0"/>
    <s v="AV MOVE - 5 L"/>
    <s v="Agrocomercial"/>
    <s v="Factura Electrónica"/>
    <n v="577"/>
    <s v="LITROS"/>
    <n v="10"/>
    <n v="88000"/>
    <n v="8800"/>
    <s v="CLP"/>
    <s v="CHILE"/>
    <d v="2026-04-24T00:00:00"/>
    <s v="AV"/>
    <m/>
    <m/>
  </r>
  <r>
    <x v="2"/>
    <s v="76.238.110-9"/>
    <s v="AGRICOLA FRANCISCA MONTES E.I.R.L"/>
    <s v="25/03/2026"/>
    <s v="SEXTA"/>
    <x v="0"/>
    <s v="ANALISIS FOLIAR"/>
    <s v="Laboratorio"/>
    <s v="Factura Electrónica"/>
    <n v="578"/>
    <s v="UN"/>
    <n v="2"/>
    <n v="0"/>
    <n v="0"/>
    <s v="CLP"/>
    <s v="CHILE"/>
    <d v="2026-03-25T00:00:00"/>
    <s v="AV"/>
    <m/>
    <m/>
  </r>
  <r>
    <x v="2"/>
    <s v="77.758.114-7"/>
    <s v="SOCIEDAD AGRÍCOLA COMERCIAL SIEMBRA SPA"/>
    <s v="26/03/2026"/>
    <s v="SEXTA"/>
    <x v="4"/>
    <s v="AV BIOVECA INVERNAL - 250 GR"/>
    <s v="Agroveca"/>
    <s v="Guía de Despacho Electrónica"/>
    <n v="249"/>
    <s v="UN"/>
    <n v="12"/>
    <n v="286560"/>
    <n v="23880"/>
    <s v="CLP"/>
    <s v="CHILE"/>
    <d v="2026-07-20T00:00:00"/>
    <s v="AV"/>
    <m/>
    <m/>
  </r>
  <r>
    <x v="2"/>
    <s v="78.220.721-0"/>
    <s v="AGRICOLA Y COMERCIALIZADORA ALDO ROBERTO ARRIETA AHUMADA E.I.R.L."/>
    <s v="27/03/2026"/>
    <s v="QUINTA"/>
    <x v="1"/>
    <s v="AV BLOOM - 20 L"/>
    <s v="Agrocomercial"/>
    <s v="Factura Electrónica"/>
    <n v="579"/>
    <s v="LITROS"/>
    <n v="20"/>
    <n v="0"/>
    <n v="0"/>
    <s v="CLP"/>
    <s v="CHILE"/>
    <d v="2026-03-23T00:00:00"/>
    <s v="AV"/>
    <s v="GUIA N 219"/>
    <d v="2026-02-26T00:00:00"/>
  </r>
  <r>
    <x v="2"/>
    <s v="76.678.184-5"/>
    <s v="COMERCIALIZADORA S &amp; M SPA"/>
    <s v="27/03/2026"/>
    <s v="SEXTA"/>
    <x v="0"/>
    <s v="AV BIOVECA INVERNAL - 250 GR"/>
    <s v="Agrocomercial"/>
    <s v="Guía de Despacho Electrónica"/>
    <n v="251"/>
    <s v="UNIDAD"/>
    <n v="3"/>
    <n v="99000"/>
    <n v="33000"/>
    <s v="CLP"/>
    <s v="CHILE"/>
    <d v="2026-05-20T00:00:00"/>
    <s v="AV"/>
    <m/>
    <m/>
  </r>
  <r>
    <x v="2"/>
    <s v="77.317.590-K"/>
    <s v="SOCIEDAD AGRICOLA SAN FRANCISCO LTDA"/>
    <s v="28/03/2026"/>
    <s v="SEXTA"/>
    <x v="4"/>
    <s v="AV AMIN SUGAR - 5 L"/>
    <s v="Agrocomercial"/>
    <s v="Factura Electrónica"/>
    <n v="580"/>
    <s v="LITROS"/>
    <n v="15"/>
    <n v="105195"/>
    <n v="7013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AMIN SUGAR - 20 L"/>
    <s v="Agrocomercial"/>
    <s v="Factura Electrónica"/>
    <n v="580"/>
    <s v="LITROS"/>
    <n v="40"/>
    <n v="220000"/>
    <n v="5500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CALCIO - 1 L"/>
    <s v="Agrocomercial"/>
    <s v="Factura Electrónica"/>
    <n v="580"/>
    <s v="LITROS"/>
    <n v="1"/>
    <n v="6225"/>
    <n v="6225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POTASIO - 1 L"/>
    <s v="Agrocomercial"/>
    <s v="Factura Electrónica"/>
    <n v="580"/>
    <s v="LITROS"/>
    <n v="1"/>
    <n v="6225"/>
    <n v="6225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POTASIO - 20 L"/>
    <s v="Agrocomercial"/>
    <s v="Factura Electrónica"/>
    <n v="580"/>
    <s v="LITROS"/>
    <n v="20"/>
    <n v="88500"/>
    <n v="4425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CALCIO BORO - 1 L"/>
    <s v="Agrocomercial"/>
    <s v="Factura Electrónica"/>
    <n v="580"/>
    <s v="LITROS"/>
    <n v="1"/>
    <n v="6880"/>
    <n v="6880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BORO - 1 L"/>
    <s v="Agrocomercial"/>
    <s v="Factura Electrónica"/>
    <n v="580"/>
    <s v="LITROS"/>
    <n v="2"/>
    <n v="13280"/>
    <n v="6640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15 40-20 - 5 L"/>
    <s v="Agrocomercial"/>
    <s v="Factura Electrónica"/>
    <n v="580"/>
    <s v="LITROS"/>
    <n v="5"/>
    <n v="33750"/>
    <n v="6750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MAGNESIO - 5 L"/>
    <s v="Agrocomercial"/>
    <s v="Factura Electrónica"/>
    <n v="580"/>
    <s v="LITROS"/>
    <n v="5"/>
    <n v="23625"/>
    <n v="4725"/>
    <s v="CLP"/>
    <s v="CHILE"/>
    <d v="2026-06-08T00:00:00"/>
    <s v="AV"/>
    <m/>
    <m/>
  </r>
  <r>
    <x v="2"/>
    <s v="14.109.149-2"/>
    <s v="EDUARDO MILTON IBACACHE ORTIZ"/>
    <s v="31/03/2026"/>
    <s v="CUARTA"/>
    <x v="0"/>
    <s v="AV BIOVECA PRADERAS - 250 GR"/>
    <s v="Agroveca"/>
    <s v="Factura Electrónica"/>
    <n v="581"/>
    <s v="UNIDAD"/>
    <n v="1"/>
    <n v="35000"/>
    <n v="35000"/>
    <s v="CLP"/>
    <s v="CHILE"/>
    <d v="2026-03-31T00:00:00"/>
    <s v="AV"/>
    <m/>
    <m/>
  </r>
  <r>
    <x v="2"/>
    <s v="76.149.388-4"/>
    <s v="AGRICOLA GOMEZ SPA"/>
    <s v="31/03/2026"/>
    <s v="QUINTA "/>
    <x v="1"/>
    <s v="AV15 40-20 - 20 L"/>
    <s v="Agroveca"/>
    <s v="Guía de Despacho Electrónica"/>
    <n v="252"/>
    <s v="LITROS"/>
    <n v="200"/>
    <n v="1000000"/>
    <n v="5000"/>
    <s v="CLP"/>
    <s v="CHILE"/>
    <d v="2026-06-20T00:00:00"/>
    <s v="AV"/>
    <m/>
    <m/>
  </r>
  <r>
    <x v="2"/>
    <s v="96.813.740-9"/>
    <s v="AGRICOLA EL CANELILLO S A"/>
    <s v="31/03/2026"/>
    <s v="QUINTA"/>
    <x v="1"/>
    <s v="AV CYTO PRIME - 20 L"/>
    <s v="Agroveca"/>
    <s v="Guía de Despacho Electrónica"/>
    <n v="253"/>
    <s v="LITROS"/>
    <n v="40"/>
    <n v="640000"/>
    <n v="16000"/>
    <s v="CLP"/>
    <s v="CHILE"/>
    <d v="2026-05-05T00:00:00"/>
    <s v="AV"/>
    <m/>
    <m/>
  </r>
  <r>
    <x v="2"/>
    <s v="11.937.873-7"/>
    <s v="MARITZA DEL PILAR DUBO ORDENES"/>
    <s v="31/03/2026"/>
    <s v="CUARTA"/>
    <x v="0"/>
    <s v="AV CYTO PRIME - 20 L"/>
    <s v="Agroveca"/>
    <s v="Guía de Despacho Electrónica"/>
    <n v="255"/>
    <s v="LITROS"/>
    <n v="20"/>
    <n v="376000"/>
    <n v="18800"/>
    <s v="CLP"/>
    <s v="CHILE"/>
    <d v="2026-05-05T00:00:00"/>
    <s v="AV"/>
    <m/>
    <m/>
  </r>
  <r>
    <x v="2"/>
    <s v="76.532.516-1"/>
    <s v="AGROINVEST SPA"/>
    <s v="31/03/2026"/>
    <s v="SEXTA"/>
    <x v="2"/>
    <s v="AV15 40-20 - 20 L"/>
    <s v="Agroveca"/>
    <s v="Factura Electrónica"/>
    <n v="582"/>
    <s v="LITROS"/>
    <n v="160"/>
    <n v="640000"/>
    <n v="4000"/>
    <s v="CLP"/>
    <s v="CHILE"/>
    <d v="2026-05-05T00:00:00"/>
    <s v="AV"/>
    <m/>
    <m/>
  </r>
  <r>
    <x v="3"/>
    <s v="76.867.632-1"/>
    <s v="GOYASERVICE SPA"/>
    <s v="01/04/2026"/>
    <s v="SEPTIMA"/>
    <x v="3"/>
    <s v="FOLIBAC BIO INVIERNO - 250 G"/>
    <s v="Agrocomercial"/>
    <s v="Factura Electrónica"/>
    <n v="583"/>
    <s v="UNIDAD"/>
    <n v="151"/>
    <n v="4001500"/>
    <n v="26500"/>
    <s v="CLP"/>
    <s v="CHILE"/>
    <d v="2026-07-30T00:00:00"/>
    <s v="AV"/>
    <m/>
    <m/>
  </r>
  <r>
    <x v="3"/>
    <s v="96.813.740-9"/>
    <s v="AGRICOLA EL CANELILLO S A"/>
    <s v="01/04/2026"/>
    <s v="QUINTA"/>
    <x v="1"/>
    <s v="AV CYTO PRIME - 20 L"/>
    <s v="Agroveca"/>
    <s v="Factura Electrónica"/>
    <n v="584"/>
    <s v="LITROS"/>
    <n v="40"/>
    <n v="0"/>
    <n v="0"/>
    <s v="CLP"/>
    <s v="CHILE"/>
    <d v="2026-04-01T00:00:00"/>
    <s v="AV"/>
    <s v="GUIA N 253"/>
    <d v="2026-03-31T00:00:00"/>
  </r>
  <r>
    <x v="3"/>
    <s v="77.941.544-9"/>
    <s v="BODEN SPA"/>
    <s v="01/04/2026"/>
    <s v="LOS LAGOS"/>
    <x v="3"/>
    <s v="CRYOPHILE - 250 GR"/>
    <s v="Agrocomercial"/>
    <s v="Factura Electrónica"/>
    <n v="586"/>
    <s v="UN"/>
    <n v="668"/>
    <n v="0"/>
    <n v="0"/>
    <s v="CLP"/>
    <s v="CHILE"/>
    <d v="2026-08-01T00:00:00"/>
    <s v="AV"/>
    <s v="GUIA N 58"/>
    <d v="2025-09-24T00:00:00"/>
  </r>
  <r>
    <x v="3"/>
    <s v="76.867.632-1"/>
    <s v="GOYASERVICE SPA"/>
    <s v="01/04/2026"/>
    <s v="SEPTIMA"/>
    <x v="3"/>
    <s v="FOLIBAC BIO INVIERNO - 250 G"/>
    <s v="Agrocomercial"/>
    <s v="Guía de Despacho Electrónica"/>
    <n v="257"/>
    <s v="UNIDAD"/>
    <n v="149"/>
    <n v="3948500"/>
    <n v="26500"/>
    <s v="CLP"/>
    <s v="CHILE"/>
    <d v="2026-08-05T00:00:00"/>
    <s v="AV"/>
    <m/>
    <m/>
  </r>
  <r>
    <x v="3"/>
    <s v="76.146.000-5"/>
    <s v="SOC AGRICOLA LA ISLA LIMITADA"/>
    <s v="02/04/2026"/>
    <s v="SEXTA"/>
    <x v="4"/>
    <s v="AV BIOVECA INVERNAL - 250 GR"/>
    <s v="Agroveca"/>
    <s v="Factura Electrónica"/>
    <n v="587"/>
    <s v="UNIDAD"/>
    <n v="10"/>
    <n v="0"/>
    <n v="0"/>
    <s v="CLP"/>
    <s v="CHILE"/>
    <d v="2026-08-20T00:00:00"/>
    <s v="AV"/>
    <s v="GUIA N 245"/>
    <d v="2026-03-24T00:00:00"/>
  </r>
  <r>
    <x v="3"/>
    <s v="76.146.000-5"/>
    <s v="SOC AGRICOLA LA ISLA LIMITADA"/>
    <s v="02/04/2026"/>
    <s v="SEXTA"/>
    <x v="4"/>
    <s v="AV PLUS MICRO MIX - 20 L"/>
    <s v="Agroveca"/>
    <s v="Factura Electrónica"/>
    <n v="587"/>
    <s v="LITROS"/>
    <n v="100"/>
    <n v="0"/>
    <n v="0"/>
    <s v="CLP"/>
    <s v="CHILE"/>
    <d v="2026-08-20T00:00:00"/>
    <s v="AV"/>
    <s v="GUIA N 245"/>
    <d v="2026-03-24T00:00:00"/>
  </r>
  <r>
    <x v="3"/>
    <s v="78.542.250-3"/>
    <s v="INVERSIONES ALFARO E INFANTE LTDA"/>
    <s v="05/04/2026"/>
    <s v="QUINTA "/>
    <x v="1"/>
    <s v="AV CYTO PRIME - 20 L"/>
    <s v="Agroveca"/>
    <s v="Factura Electrónica"/>
    <n v="588"/>
    <s v="LITROS"/>
    <n v="20"/>
    <n v="320000"/>
    <n v="16000"/>
    <s v="CLP"/>
    <s v="CHILE"/>
    <d v="2026-04-05T00:00:00"/>
    <s v="AV"/>
    <m/>
    <m/>
  </r>
  <r>
    <x v="3"/>
    <s v="78.542.250-3"/>
    <s v="INVERSIONES ALFARO E INFANTE LTDA"/>
    <s v="05/04/2026"/>
    <s v="QUINTA "/>
    <x v="1"/>
    <s v="AV ALGAP 30 - 20 L"/>
    <s v="Agroveca"/>
    <s v="Factura Electrónica"/>
    <n v="588"/>
    <s v="LITROS"/>
    <n v="40"/>
    <n v="200000"/>
    <n v="5000"/>
    <s v="CLP"/>
    <s v="CHILE"/>
    <d v="2026-04-05T00:00:00"/>
    <s v="AV"/>
    <m/>
    <m/>
  </r>
  <r>
    <x v="3"/>
    <s v="6.363.035-7"/>
    <s v="EDWIN LEONARDO GOYKOVIC CORTES"/>
    <s v="05/04/2026"/>
    <s v="QUINTA"/>
    <x v="1"/>
    <s v="AV CYTO PRIME - 5 L"/>
    <s v="Agroveca"/>
    <s v="Factura Electrónica"/>
    <n v="589"/>
    <s v="LITROS"/>
    <n v="10"/>
    <n v="170000"/>
    <n v="17000"/>
    <s v="CLP"/>
    <s v="CHILE"/>
    <d v="2026-04-05T00:00:00"/>
    <s v="AV"/>
    <m/>
    <m/>
  </r>
  <r>
    <x v="3"/>
    <s v="6.363.035-7"/>
    <s v="EDWIN LEONARDO GOYKOVIC CORTES"/>
    <s v="05/04/2026"/>
    <s v="QUINTA"/>
    <x v="1"/>
    <s v="AV BLOOM - 20 L"/>
    <s v="Agroveca"/>
    <s v="Factura Electrónica"/>
    <n v="589"/>
    <s v="LITROS"/>
    <n v="20"/>
    <n v="200000"/>
    <n v="10000"/>
    <s v="CLP"/>
    <s v="CHILE"/>
    <d v="2026-04-05T00:00:00"/>
    <s v="AV"/>
    <m/>
    <m/>
  </r>
  <r>
    <x v="3"/>
    <s v="76.149.388-4"/>
    <s v="AGRICOLA GOMEZ SPA"/>
    <s v="06/04/2026"/>
    <m/>
    <x v="1"/>
    <s v="AV15 40-20 - 20 L"/>
    <s v="Agroveca"/>
    <s v="Factura Electrónica"/>
    <n v="590"/>
    <s v="LITROS"/>
    <n v="200"/>
    <n v="0"/>
    <n v="0"/>
    <s v="CLP"/>
    <s v="CHILE"/>
    <d v="2026-07-05T00:00:00"/>
    <s v="AV"/>
    <s v="GUIA N 252"/>
    <d v="2026-03-31T00:00:00"/>
  </r>
  <r>
    <x v="3"/>
    <s v="6.725.491-0"/>
    <s v="JOSE CRISTOBAL GONZALEZ CORREA"/>
    <s v="08/04/2026"/>
    <s v="SEXTA"/>
    <x v="4"/>
    <s v="AV PLUS ZINC MANGANESO - 20 L"/>
    <s v="Agroveca"/>
    <s v="Factura Electrónica"/>
    <n v="591"/>
    <s v="LITROS"/>
    <n v="160"/>
    <n v="427840"/>
    <n v="2674"/>
    <s v="CLP"/>
    <s v="CHILE"/>
    <d v="2027-02-05T00:00:00"/>
    <s v="AV"/>
    <m/>
    <m/>
  </r>
  <r>
    <x v="3"/>
    <s v="6.725.491-0"/>
    <s v="JOSE CRISTOBAL GONZALEZ CORREA"/>
    <s v="08/04/2026"/>
    <s v="SEXTA"/>
    <x v="4"/>
    <s v="AV PLUS BORO - 20 L"/>
    <s v="Agroveca"/>
    <s v="Factura Electrónica"/>
    <n v="591"/>
    <s v="LITROS"/>
    <n v="80"/>
    <n v="213920"/>
    <n v="2674"/>
    <s v="CLP"/>
    <s v="CHILE"/>
    <d v="2027-02-05T00:00:00"/>
    <s v="AV"/>
    <m/>
    <m/>
  </r>
  <r>
    <x v="3"/>
    <s v="10.302.140-5"/>
    <s v="ALEJANDRA INES LEIGHTON NARANJO"/>
    <s v="08/04/2026"/>
    <m/>
    <x v="3"/>
    <s v="AV BIOVECA PRADERAS - 250 GR"/>
    <s v="Agroveca"/>
    <s v="Factura Electrónica"/>
    <n v="592"/>
    <s v="UNIDAD"/>
    <n v="3"/>
    <n v="102408"/>
    <n v="34136"/>
    <s v="CLP"/>
    <s v="CHILE"/>
    <d v="2025-04-08T00:00:00"/>
    <s v="AV"/>
    <m/>
    <m/>
  </r>
  <r>
    <x v="3"/>
    <s v="76.593.447-8"/>
    <s v="AGRICOLA EDITH MARGARITA VASQUEZ OROZCO SPA"/>
    <s v="08/04/2026"/>
    <s v="SEXTA"/>
    <x v="3"/>
    <s v="AV MAX FULVIC 45% - 20 L"/>
    <s v="Agroveca"/>
    <s v="Guía de Despacho Electrónica"/>
    <n v="258"/>
    <s v="LITROS"/>
    <n v="100"/>
    <n v="354100"/>
    <n v="3541"/>
    <s v="CLP"/>
    <s v="CHILE"/>
    <d v="2026-06-05T00:00:00"/>
    <s v="AV"/>
    <m/>
    <m/>
  </r>
  <r>
    <x v="3"/>
    <s v="78.168.038-9"/>
    <s v="INSUMOS AGRICOLAS RAICES DEL CAMPO SPA"/>
    <s v="08/04/2026"/>
    <m/>
    <x v="3"/>
    <s v="AV MOVE - 5 L"/>
    <s v="Agroveca"/>
    <s v="Guía de Despacho Electrónica"/>
    <n v="260"/>
    <s v="LITROS"/>
    <n v="25"/>
    <n v="230650"/>
    <n v="9226"/>
    <s v="CLP"/>
    <s v="CHILE"/>
    <d v="2026-06-05T00:00:00"/>
    <s v="AV"/>
    <m/>
    <m/>
  </r>
  <r>
    <x v="3"/>
    <s v="78.168.038-9"/>
    <s v="INSUMOS AGRICOLAS RAICES DEL CAMPO SPA"/>
    <s v="08/04/2026"/>
    <m/>
    <x v="3"/>
    <s v="AV AMIN SUGAR - 5 L"/>
    <s v="Agroveca"/>
    <s v="Guía de Despacho Electrónica"/>
    <n v="260"/>
    <s v="LITROS"/>
    <n v="25"/>
    <n v="253725"/>
    <n v="10149"/>
    <s v="CLP"/>
    <s v="CHILE"/>
    <d v="2026-06-05T00:00:00"/>
    <s v="AV"/>
    <m/>
    <m/>
  </r>
  <r>
    <x v="3"/>
    <s v="78.168.038-9"/>
    <s v="INSUMOS AGRICOLAS RAICES DEL CAMPO SPA"/>
    <s v="08/04/2026"/>
    <m/>
    <x v="3"/>
    <s v="AV BIOVECA RAIZ - 500 GR"/>
    <s v="Agroveca"/>
    <s v="Guía de Despacho Electrónica"/>
    <n v="260"/>
    <s v="UNIDAD"/>
    <n v="20"/>
    <n v="830340"/>
    <n v="41517"/>
    <s v="CLP"/>
    <s v="CHILE"/>
    <d v="2026-06-05T00:00:00"/>
    <s v="AV"/>
    <m/>
    <m/>
  </r>
  <r>
    <x v="3"/>
    <s v="15.755.762-9"/>
    <s v="GONZALO ALEJANDRO CORRALES CORREA"/>
    <s v="08/04/2026"/>
    <m/>
    <x v="3"/>
    <s v="AV BIOVECA INVERNAL - 250 GR"/>
    <s v="Agroveca"/>
    <s v="Factura Electrónica"/>
    <n v="63"/>
    <s v="UNIDAD"/>
    <n v="1"/>
    <n v="35000"/>
    <n v="35000"/>
    <s v="CLP"/>
    <s v="CHILE"/>
    <m/>
    <s v="AV"/>
    <m/>
    <m/>
  </r>
  <r>
    <x v="3"/>
    <s v="78.168.038-9"/>
    <s v="INSUMOS AGRICOLAS RAICES DEL CAMPO SPA"/>
    <s v="09/04/2026"/>
    <m/>
    <x v="3"/>
    <s v="AV BIOVECA NEMA OFF - 500 GR"/>
    <s v="Agroveca"/>
    <s v="Guía de Despacho Electrónica"/>
    <n v="262"/>
    <s v="UNIDAD"/>
    <n v="10"/>
    <n v="415170"/>
    <n v="41517"/>
    <s v="CLP"/>
    <s v="CHILE"/>
    <d v="2026-06-05T00:00:00"/>
    <s v="AV"/>
    <m/>
    <m/>
  </r>
  <r>
    <x v="3"/>
    <s v="76.210.444-K"/>
    <s v="SOCIEDAD AGRICOLA ALIAGA LTDA"/>
    <s v="09/04/2026"/>
    <s v="SEXTA"/>
    <x v="0"/>
    <s v="AV AMIN SUGAR - 20 L"/>
    <s v="Agroveca"/>
    <s v="Guía de Despacho Electrónica"/>
    <n v="263"/>
    <s v="LITROS"/>
    <n v="40"/>
    <n v="311440"/>
    <n v="7786"/>
    <s v="CLP"/>
    <s v="CHILE"/>
    <d v="2026-12-20T00:00:00"/>
    <s v="AV"/>
    <m/>
    <m/>
  </r>
  <r>
    <x v="3"/>
    <s v="76.210.444-K"/>
    <s v="SOCIEDAD AGRICOLA ALIAGA LTDA"/>
    <s v="09/04/2026"/>
    <s v="SEXTA"/>
    <x v="0"/>
    <s v="AV PLUS ZINC MANGANESO - 20 L"/>
    <s v="Agroveca"/>
    <s v="Guía de Despacho Electrónica"/>
    <n v="263"/>
    <s v="LITROS"/>
    <n v="40"/>
    <n v="164880"/>
    <n v="4122"/>
    <s v="CLP"/>
    <s v="CHILE"/>
    <d v="2026-12-20T00:00:00"/>
    <s v="AV"/>
    <m/>
    <m/>
  </r>
  <r>
    <x v="3"/>
    <s v="76.210.444-K"/>
    <s v="SOCIEDAD AGRICOLA ALIAGA LTDA"/>
    <s v="09/04/2026"/>
    <s v="SEXTA"/>
    <x v="0"/>
    <s v="AV PLUS POTASIO - 20 L"/>
    <s v="Agroveca"/>
    <s v="Guía de Despacho Electrónica"/>
    <n v="263"/>
    <s v="LITROS"/>
    <n v="40"/>
    <n v="164880"/>
    <n v="4122"/>
    <s v="CLP"/>
    <s v="CHILE"/>
    <d v="2026-12-20T00:00:00"/>
    <s v="AV"/>
    <m/>
    <m/>
  </r>
  <r>
    <x v="3"/>
    <s v="78.189.158-4"/>
    <s v="AGRICOLA SAN PEDRO SPA"/>
    <s v="09/04/2026"/>
    <s v="SEXTA"/>
    <x v="0"/>
    <s v="AV AMIN SUGAR - 20 L"/>
    <s v="Agroveca"/>
    <s v="Guía de Despacho Electrónica"/>
    <n v="264"/>
    <s v="LITROS"/>
    <n v="20"/>
    <n v="155720"/>
    <n v="7786"/>
    <s v="CLP"/>
    <s v="CHILE"/>
    <d v="2026-12-20T00:00:00"/>
    <s v="AV"/>
    <m/>
    <m/>
  </r>
  <r>
    <x v="3"/>
    <s v="78.189.158-4"/>
    <s v="AGRICOLA SAN PEDRO SPA"/>
    <s v="09/04/2026"/>
    <s v="SEXTA"/>
    <x v="0"/>
    <s v="AV AMIN SUGAR - 5 L"/>
    <s v="Agroveca"/>
    <s v="Guía de Despacho Electrónica"/>
    <n v="264"/>
    <s v="LITROS"/>
    <n v="10"/>
    <n v="83000"/>
    <n v="8300"/>
    <s v="CLP"/>
    <s v="CHILE"/>
    <d v="2026-12-20T00:00:00"/>
    <s v="AV"/>
    <m/>
    <m/>
  </r>
  <r>
    <x v="3"/>
    <s v="78.189.158-4"/>
    <s v="AGRICOLA SAN PEDRO SPA"/>
    <s v="09/04/2026"/>
    <s v="SEXTA"/>
    <x v="0"/>
    <s v="AV PLUS POTASIO - 20 L"/>
    <s v="Agroveca"/>
    <s v="Guía de Despacho Electrónica"/>
    <n v="264"/>
    <s v="LITROS"/>
    <n v="20"/>
    <n v="82440"/>
    <n v="4122"/>
    <s v="CLP"/>
    <s v="CHILE"/>
    <d v="2026-12-20T00:00:00"/>
    <s v="AV"/>
    <m/>
    <m/>
  </r>
  <r>
    <x v="3"/>
    <s v="78.189.158-4"/>
    <s v="AGRICOLA SAN PEDRO SPA"/>
    <s v="09/04/2026"/>
    <s v="SEXTA"/>
    <x v="0"/>
    <s v="AV PLUS POTASIO - 5 L"/>
    <s v="Agroveca"/>
    <s v="Guía de Despacho Electrónica"/>
    <n v="264"/>
    <s v="LITROS"/>
    <n v="10"/>
    <n v="46000"/>
    <n v="4600"/>
    <s v="CLP"/>
    <s v="CHILE"/>
    <d v="2026-12-20T00:00:00"/>
    <s v="AV"/>
    <m/>
    <m/>
  </r>
  <r>
    <x v="3"/>
    <s v="78.189.158-4"/>
    <s v="AGRICOLA SAN PEDRO SPA"/>
    <s v="09/04/2026"/>
    <s v="SEXTA"/>
    <x v="0"/>
    <s v="AV PLUS ZINC MANGANESO - 20 L"/>
    <s v="Agroveca"/>
    <s v="Guía de Despacho Electrónica"/>
    <n v="264"/>
    <s v="LITROS"/>
    <n v="20"/>
    <n v="82440"/>
    <n v="4122"/>
    <s v="CLP"/>
    <s v="CHILE"/>
    <d v="2026-12-20T00:00:00"/>
    <s v="AV"/>
    <m/>
    <m/>
  </r>
  <r>
    <x v="3"/>
    <s v="78.189.158-4"/>
    <s v="AGRICOLA SAN PEDRO SPA"/>
    <s v="09/04/2026"/>
    <s v="SEXTA"/>
    <x v="0"/>
    <s v="AV PLUS ZINC MANGANESO - 5 L"/>
    <s v="Agroveca"/>
    <s v="Guía de Despacho Electrónica"/>
    <n v="264"/>
    <s v="LITROS"/>
    <n v="10"/>
    <n v="46000"/>
    <n v="4600"/>
    <s v="CLP"/>
    <s v="CHILE"/>
    <d v="2026-12-20T00:00:00"/>
    <s v="AV"/>
    <m/>
    <m/>
  </r>
  <r>
    <x v="3"/>
    <s v="17.504.838-3"/>
    <s v="ALUDI ALEJANDRA REYES PEREZ"/>
    <s v="10/04/2026"/>
    <s v="SEXTA"/>
    <x v="4"/>
    <s v="AV MOVE - 20 L"/>
    <s v="Agroveca"/>
    <s v="Factura Electrónica"/>
    <n v="593"/>
    <s v="LITROS"/>
    <n v="20"/>
    <n v="161340"/>
    <n v="8067"/>
    <s v="CLP"/>
    <s v="CHILE"/>
    <d v="2026-04-30T00:00:00"/>
    <s v="AV"/>
    <m/>
    <m/>
  </r>
  <r>
    <x v="3"/>
    <s v="77.773.872-0"/>
    <s v="GREENBRO SPA"/>
    <s v="10/04/2026"/>
    <s v="SEXTA"/>
    <x v="0"/>
    <s v="AV ROOT MAX - 20 L"/>
    <s v="Agroveca"/>
    <s v="Factura Electrónica"/>
    <n v="594"/>
    <s v="LITROS"/>
    <n v="20"/>
    <n v="178400"/>
    <n v="8920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AMIN - 20 L"/>
    <s v="Agroveca"/>
    <s v="Factura Electrónica"/>
    <n v="594"/>
    <s v="LITROS"/>
    <n v="20"/>
    <n v="104800"/>
    <n v="5240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PLUS CALCIO BORO - 5 L"/>
    <s v="Agroveca"/>
    <s v="Factura Electrónica"/>
    <n v="594"/>
    <s v="LITROS"/>
    <n v="5"/>
    <n v="28895"/>
    <n v="5779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BIOVECA RAIZ - 500 GR"/>
    <s v="Agroveca"/>
    <s v="Factura Electrónica"/>
    <n v="594"/>
    <s v="UNIDAD"/>
    <n v="3"/>
    <n v="114000"/>
    <n v="38000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BIOVECA FOLIAR - 250 GR"/>
    <s v="Agroveca"/>
    <s v="Factura Electrónica"/>
    <n v="594"/>
    <s v="UNIDAD"/>
    <n v="1"/>
    <n v="28000"/>
    <n v="28000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BIOVECA PRADERAS - 250 GR"/>
    <s v="Agroveca"/>
    <s v="Factura Electrónica"/>
    <n v="594"/>
    <s v="UNIDAD"/>
    <n v="1"/>
    <n v="28000"/>
    <n v="28000"/>
    <s v="CLP"/>
    <s v="CHILE"/>
    <d v="2026-05-10T00:00:00"/>
    <s v="AV"/>
    <s v="GUIA N 195"/>
    <d v="2026-02-06T00:00:00"/>
  </r>
  <r>
    <x v="3"/>
    <s v="14.284.877-5"/>
    <s v="CARLOS HUMBERTO CASTRO VALENZUELA"/>
    <s v="10/04/2026"/>
    <s v="SEXTA"/>
    <x v="0"/>
    <s v="AV MOVE - 5 L"/>
    <s v="Agroveca"/>
    <s v="Factura Electrónica"/>
    <n v="595"/>
    <s v="LITROS"/>
    <n v="10"/>
    <n v="82000"/>
    <n v="8200"/>
    <s v="CLP"/>
    <s v="CHILE"/>
    <d v="2026-04-10T00:00:00"/>
    <s v="AV"/>
    <m/>
    <m/>
  </r>
  <r>
    <x v="3"/>
    <s v="77.157.056-9"/>
    <s v="CRR SERVICIOS SPA"/>
    <s v="10/04/2026"/>
    <s v="METROPOLITANA"/>
    <x v="7"/>
    <s v="AV BIOVECA RAIZ - 500 GR"/>
    <s v="Agroveca"/>
    <s v="Factura Electrónica"/>
    <n v="596"/>
    <s v="UNIDAD"/>
    <n v="1"/>
    <n v="39826"/>
    <n v="39826"/>
    <s v="CLP"/>
    <s v="CHILE"/>
    <d v="2026-04-10T00:00:00"/>
    <s v="AV"/>
    <m/>
    <m/>
  </r>
  <r>
    <x v="3"/>
    <s v="6.931.829-0"/>
    <s v="SERGIO ELADIO YANEZ YANEZ"/>
    <s v="12/04/2026"/>
    <s v="SEXTA"/>
    <x v="4"/>
    <s v="AV SOLARIS 1LT"/>
    <s v="Agroveca"/>
    <s v="Factura Electrónica"/>
    <n v="597"/>
    <s v="UN"/>
    <n v="10"/>
    <n v="0"/>
    <n v="0"/>
    <s v="CLP"/>
    <s v="CHILE"/>
    <d v="2026-04-01T00:00:00"/>
    <s v="AV"/>
    <s v="GUIA N 83"/>
    <d v="2025-12-01T00:00:00"/>
  </r>
  <r>
    <x v="3"/>
    <s v="6.931.829-0"/>
    <s v="SERGIO ELADIO YANEZ YANEZ"/>
    <s v="12/04/2026"/>
    <s v="SEXTA"/>
    <x v="4"/>
    <s v="VECASIL FORTE 20LT"/>
    <s v="Agroveca"/>
    <s v="Factura Electrónica"/>
    <n v="597"/>
    <s v="UN"/>
    <n v="20"/>
    <n v="0"/>
    <n v="0"/>
    <s v="CLP"/>
    <s v="CHILE"/>
    <d v="2026-04-01T00:00:00"/>
    <s v="AV"/>
    <s v="GUIA N 83"/>
    <d v="2025-12-01T00:00:00"/>
  </r>
  <r>
    <x v="3"/>
    <s v="6.931.829-0"/>
    <s v="SERGIO ELADIO YANEZ YANEZ"/>
    <s v="12/04/2026"/>
    <s v="SEXTA"/>
    <x v="4"/>
    <s v="VECA PLUS CALCIO 20LT"/>
    <s v="Agroveca"/>
    <s v="Factura Electrónica"/>
    <n v="597"/>
    <s v="UN"/>
    <n v="20"/>
    <n v="0"/>
    <n v="0"/>
    <s v="CLP"/>
    <s v="CHILE"/>
    <d v="2026-04-01T00:00:00"/>
    <s v="AV"/>
    <s v="GUIA N 83"/>
    <d v="2025-12-01T00:00:00"/>
  </r>
  <r>
    <x v="3"/>
    <s v="76.412.827-3"/>
    <s v="FRUTICOLA RIO BLANCO SPA"/>
    <s v="12/04/2026"/>
    <s v="METROPOLITANA"/>
    <x v="0"/>
    <s v="VECA MOVE - 20 L"/>
    <s v="Agroveca"/>
    <s v="Factura Electrónica"/>
    <n v="598"/>
    <s v="LTS"/>
    <n v="100"/>
    <n v="0"/>
    <n v="0"/>
    <s v="CLP"/>
    <s v="CHILE"/>
    <d v="2026-04-30T00:00:00"/>
    <s v="AV"/>
    <s v="GUIA N 85"/>
    <d v="2025-12-02T00:00:00"/>
  </r>
  <r>
    <x v="3"/>
    <s v="76.412.827-3"/>
    <s v="FRUTICOLA RIO BLANCO SPA"/>
    <s v="12/04/2026"/>
    <s v="METROPOLITANA"/>
    <x v="0"/>
    <s v="VECA MOVE - 20 L"/>
    <s v="Agroveca"/>
    <s v="Factura Electrónica"/>
    <n v="599"/>
    <s v="LTS"/>
    <n v="80"/>
    <n v="0"/>
    <n v="0"/>
    <s v="CLP"/>
    <s v="CHILE"/>
    <d v="2026-04-30T00:00:00"/>
    <s v="AV"/>
    <s v="GUIA N 84"/>
    <d v="2025-12-02T00:00:00"/>
  </r>
  <r>
    <x v="3"/>
    <s v="77.870.899-K"/>
    <s v="CULTIAGRO SPA"/>
    <s v="12/04/2026"/>
    <s v="SEXTA"/>
    <x v="4"/>
    <s v="VECA BALANCE 1LT"/>
    <s v="Agroveca"/>
    <s v="Factura Electrónica"/>
    <n v="600"/>
    <s v="UN"/>
    <n v="24"/>
    <n v="0"/>
    <n v="0"/>
    <s v="CLP"/>
    <s v="CHILE"/>
    <d v="2026-03-30T00:00:00"/>
    <s v="AV"/>
    <s v="GUIA N 80"/>
    <d v="2025-12-28T00:00:00"/>
  </r>
  <r>
    <x v="3"/>
    <s v="77.870.899-K"/>
    <s v="CULTIAGRO SPA"/>
    <s v="12/04/2026"/>
    <s v="SEXTA"/>
    <x v="4"/>
    <s v="VECA BLOOM 1LT"/>
    <s v="Agroveca"/>
    <s v="Factura Electrónica"/>
    <n v="600"/>
    <s v="UN"/>
    <n v="12"/>
    <n v="0"/>
    <n v="0"/>
    <s v="CLP"/>
    <s v="CHILE"/>
    <d v="2026-03-30T00:00:00"/>
    <s v="AV"/>
    <s v="GUIA N 80"/>
    <d v="2025-12-28T00:00:00"/>
  </r>
  <r>
    <x v="3"/>
    <s v="77.870.899-K"/>
    <s v="CULTIAGRO SPA"/>
    <s v="12/04/2026"/>
    <s v="SEXTA"/>
    <x v="4"/>
    <s v="AV SOLARIS 1LT"/>
    <s v="Agroveca"/>
    <s v="Factura Electrónica"/>
    <n v="600"/>
    <s v="UN"/>
    <n v="24"/>
    <n v="0"/>
    <n v="0"/>
    <s v="CLP"/>
    <s v="CHILE"/>
    <d v="2026-03-30T00:00:00"/>
    <s v="AV"/>
    <s v="GUIA N 80"/>
    <d v="2025-12-28T00:00:00"/>
  </r>
  <r>
    <x v="3"/>
    <s v="77.870.899-K"/>
    <s v="CULTIAGRO SPA"/>
    <s v="12/04/2026"/>
    <s v="SEXTA"/>
    <x v="4"/>
    <s v="VECA AMIN X 20LT"/>
    <s v="Agroveca"/>
    <s v="Factura Electrónica"/>
    <n v="601"/>
    <s v="UN"/>
    <n v="20"/>
    <n v="0"/>
    <n v="0"/>
    <s v="CLP"/>
    <s v="CHILE"/>
    <d v="2026-03-30T00:00:00"/>
    <s v="AV"/>
    <s v="GUIA N 87"/>
    <d v="2025-12-04T00:00:00"/>
  </r>
  <r>
    <x v="3"/>
    <s v="9.501.614-6"/>
    <s v="JUAN ENRIQUE VARGAS ALZAMORA"/>
    <s v="12/04/2026"/>
    <s v="QUINTA"/>
    <x v="1"/>
    <s v="AV AMIN SUGAR - 200 L"/>
    <s v="Agroveca"/>
    <s v="Factura Electrónica"/>
    <n v="602"/>
    <s v="LITROS"/>
    <n v="200"/>
    <n v="0"/>
    <n v="0"/>
    <s v="CLP"/>
    <s v="CHILE"/>
    <d v="2026-04-11T00:00:00"/>
    <s v="AV"/>
    <s v="GUIA N 142"/>
    <d v="2026-01-12T00:00:00"/>
  </r>
  <r>
    <x v="3"/>
    <s v="6.725.491-0"/>
    <s v="JOSE CRISTOBAL GONZALEZ CORREA"/>
    <s v="13/04/2026"/>
    <s v="METROPOLITANA"/>
    <x v="4"/>
    <s v="AV MOVE - 20 L"/>
    <s v="Agroveca"/>
    <s v="Factura Electrónica"/>
    <n v="603"/>
    <s v="LITROS"/>
    <n v="80"/>
    <n v="576720"/>
    <n v="7209"/>
    <s v="CLP"/>
    <s v="CHILE"/>
    <d v="2026-02-05T00:00:00"/>
    <s v="AV"/>
    <m/>
    <m/>
  </r>
  <r>
    <x v="3"/>
    <s v="76.593.447-8"/>
    <s v="AGRICOLA EDITH MARGARITA VASQUEZ OROZCO SPA"/>
    <s v="13/04/2026"/>
    <s v="METROPOLITANA"/>
    <x v="8"/>
    <s v="AV MAX FULVIC 45% - 20 L"/>
    <s v="Agroveca"/>
    <s v="Factura Electrónica"/>
    <n v="604"/>
    <s v="LITROS"/>
    <n v="100"/>
    <n v="0"/>
    <n v="0"/>
    <s v="CLP"/>
    <s v="CHILE"/>
    <d v="2026-06-05T00:00:00"/>
    <s v="AV"/>
    <s v="GUIA N 258"/>
    <d v="2026-04-08T00:00:00"/>
  </r>
  <r>
    <x v="3"/>
    <s v="76.776.128-7"/>
    <s v="AGRICOLA SANTA SABINA LIMITADA"/>
    <s v="13/04/2026"/>
    <s v="METROPOLITANA"/>
    <x v="1"/>
    <s v="AV MOVE - 20 L"/>
    <s v="Agroveca"/>
    <s v="Factura Electrónica"/>
    <n v="605"/>
    <s v="LITROS"/>
    <n v="20"/>
    <n v="190000"/>
    <n v="9500"/>
    <s v="CLP"/>
    <s v="CHILE"/>
    <d v="2026-04-13T00:00:00"/>
    <s v="AV"/>
    <m/>
    <m/>
  </r>
  <r>
    <x v="3"/>
    <s v="11.110.621-5"/>
    <s v="HECTOR HERNAN ROMERO NAVARRO"/>
    <s v="14/04/2026"/>
    <s v="SEPTIMA"/>
    <x v="1"/>
    <s v="AV BIOVECA INVERNAL - 250 GR"/>
    <s v="Agroveca"/>
    <s v="Factura Electrónica"/>
    <n v="607"/>
    <s v="UNIDAD"/>
    <n v="10"/>
    <n v="305000"/>
    <n v="30500"/>
    <s v="CLP"/>
    <s v="CHILE"/>
    <d v="2026-04-14T00:00:00"/>
    <s v="AV"/>
    <m/>
    <m/>
  </r>
  <r>
    <x v="3"/>
    <s v="79.673.320-9"/>
    <s v="SOC AGRICOLA PALO ALTO LIMITADA"/>
    <s v="15/04/2026"/>
    <s v="SEXTA"/>
    <x v="0"/>
    <s v="VECA BALANCE - 20 L"/>
    <s v="Agroveca"/>
    <s v="Factura Electrónica"/>
    <n v="608"/>
    <s v="LTS"/>
    <n v="60"/>
    <n v="0"/>
    <n v="0"/>
    <s v="CLP"/>
    <s v="CHILE"/>
    <d v="2026-04-30T00:00:00"/>
    <s v="AV"/>
    <s v="GUIA N 117"/>
    <d v="2025-12-23T00:00:00"/>
  </r>
  <r>
    <x v="3"/>
    <s v="76.044.123-6"/>
    <s v="AGRICOLA EL TOQUI LIMITADA"/>
    <s v="15/04/2026"/>
    <s v="SEXTA"/>
    <x v="4"/>
    <s v="VECASIL FORTE 20 LT"/>
    <s v="Agroveca"/>
    <s v="Factura Electrónica"/>
    <n v="610"/>
    <s v="LTS"/>
    <n v="140"/>
    <n v="0"/>
    <n v="0"/>
    <s v="CLP"/>
    <s v="CHILE"/>
    <d v="2026-05-30T00:00:00"/>
    <s v="AV"/>
    <s v="GUIA N 93"/>
    <d v="2025-12-05T00:00:00"/>
  </r>
  <r>
    <x v="3"/>
    <s v="76.044.123-6"/>
    <s v="AGRICOLA EL TOQUI LIMITADA"/>
    <s v="15/04/2026"/>
    <s v="SEXTA"/>
    <x v="4"/>
    <s v="AV SOLARIS 20 LT"/>
    <s v="Agroveca"/>
    <s v="Factura Electrónica"/>
    <n v="610"/>
    <s v="LTS"/>
    <n v="100"/>
    <n v="0"/>
    <n v="0"/>
    <s v="CLP"/>
    <s v="CHILE"/>
    <d v="2026-05-30T00:00:00"/>
    <s v="AV"/>
    <s v="GUIA N 93"/>
    <d v="2025-12-05T00:00:00"/>
  </r>
  <r>
    <x v="3"/>
    <s v="76.044.123-6"/>
    <s v="AGRICOLA EL TOQUI LIMITADA"/>
    <s v="15/04/2026"/>
    <s v="SEXTA"/>
    <x v="4"/>
    <s v="VECA MOVE x 20LT"/>
    <s v="Agroveca"/>
    <s v="Factura Electrónica"/>
    <n v="611"/>
    <s v="LTS"/>
    <n v="140"/>
    <n v="0"/>
    <n v="0"/>
    <s v="CLP"/>
    <s v="CHILE"/>
    <d v="2026-05-30T00:00:00"/>
    <s v="AV"/>
    <s v="GUIA  N 124"/>
    <d v="2025-12-29T00:00:00"/>
  </r>
  <r>
    <x v="3"/>
    <s v="6.725.491-0"/>
    <s v="JOSE CRISTOBAL GONZALEZ CORREA"/>
    <s v="17/04/2026"/>
    <s v="SEXTA"/>
    <x v="4"/>
    <s v="AV PLUS BORO - 20 L"/>
    <s v="Agroveca"/>
    <s v="Factura Electrónica"/>
    <n v="612"/>
    <s v="LITROS"/>
    <n v="40"/>
    <n v="106960"/>
    <n v="2674"/>
    <s v="CLP"/>
    <s v="CHILE"/>
    <d v="2027-02-05T00:00:00"/>
    <s v="AV"/>
    <m/>
    <m/>
  </r>
  <r>
    <x v="3"/>
    <s v="13.304.290-3"/>
    <s v="ANITA ANDREA SALGADO MUNOZ"/>
    <s v="21/04/2026"/>
    <s v="SEXTA"/>
    <x v="0"/>
    <s v="AV MOVE - 20 L"/>
    <s v="Agroveca"/>
    <s v="Guía de Despacho Electrónica"/>
    <n v="268"/>
    <s v="LITROS"/>
    <n v="20"/>
    <n v="172000"/>
    <n v="8600"/>
    <s v="CLP"/>
    <s v="CHILE"/>
    <d v="2026-05-21T00:00:00"/>
    <s v="AV"/>
    <m/>
    <m/>
  </r>
  <r>
    <x v="3"/>
    <s v="9.055.122-1"/>
    <s v="JORGE PATRICIO RUZ GONZALEZ"/>
    <s v="21/04/2026"/>
    <s v="SEPTIMA"/>
    <x v="1"/>
    <s v="AV BIOVECA INVERNAL - 250 GR"/>
    <s v="Agroveca"/>
    <s v="Factura Electrónica"/>
    <n v="613"/>
    <s v="UNIDAD"/>
    <n v="12"/>
    <n v="384000"/>
    <n v="32000"/>
    <s v="CLP"/>
    <s v="CHILE"/>
    <d v="2026-04-22T00:00:00"/>
    <s v="AV"/>
    <m/>
    <m/>
  </r>
  <r>
    <x v="3"/>
    <s v="16.247.441-3"/>
    <s v="ROMINA DEL PILAR MACKENNA RIOS"/>
    <s v="22/04/2026"/>
    <s v="EL ÑUBLE "/>
    <x v="2"/>
    <s v="GREEN PLANT 500CC GATILLO"/>
    <s v="Agrocomercial"/>
    <s v="Factura Electrónica"/>
    <n v="614"/>
    <s v="UNIDAD"/>
    <n v="3"/>
    <n v="0"/>
    <n v="0"/>
    <s v="CLP"/>
    <s v="CHILE"/>
    <d v="2026-04-21T00:00:00"/>
    <s v="AV"/>
    <m/>
    <m/>
  </r>
  <r>
    <x v="3"/>
    <s v="16.247.441-3"/>
    <s v="ROMINA DEL PILAR MACKENNA RIOS"/>
    <s v="22/04/2026"/>
    <s v="EL ÑUBLE "/>
    <x v="2"/>
    <s v="BIOPOTASICO 500CC GATILLO"/>
    <s v="Agrocomercial"/>
    <s v="Factura Electrónica"/>
    <n v="614"/>
    <s v="UNIDAD"/>
    <n v="3"/>
    <n v="0"/>
    <n v="0"/>
    <s v="CLP"/>
    <s v="CHILE"/>
    <d v="2026-04-22T00:00:00"/>
    <s v="AV"/>
    <m/>
    <m/>
  </r>
  <r>
    <x v="3"/>
    <s v="16.247.441-3"/>
    <s v="ROMINA DEL PILAR MACKENNA RIOS"/>
    <s v="22/04/2026"/>
    <s v="EL ÑUBLE "/>
    <x v="2"/>
    <s v="NUTRAMIX 500CC GATILLO"/>
    <s v="Agrocomercial"/>
    <s v="Factura Electrónica"/>
    <n v="614"/>
    <s v="UNIDAD"/>
    <n v="3"/>
    <n v="0"/>
    <n v="0"/>
    <s v="CLP"/>
    <s v="CHILE"/>
    <d v="2026-04-22T00:00:00"/>
    <s v="AV"/>
    <m/>
    <m/>
  </r>
  <r>
    <x v="3"/>
    <s v="16.247.441-3"/>
    <s v="ROMINA DEL PILAR MACKENNA RIOS"/>
    <s v="22/04/2026"/>
    <s v="EL ÑUBLE "/>
    <x v="2"/>
    <s v="BALANCE CONC. 200CC"/>
    <s v="Agrocomercial"/>
    <s v="Factura Electrónica"/>
    <n v="614"/>
    <s v="UNIDAD"/>
    <n v="2"/>
    <n v="0"/>
    <n v="0"/>
    <s v="CLP"/>
    <s v="CHILE"/>
    <d v="2026-04-22T00:00:00"/>
    <s v="AV"/>
    <m/>
    <m/>
  </r>
  <r>
    <x v="3"/>
    <s v="16.247.441-3"/>
    <s v="ROMINA DEL PILAR MACKENNA RIOS"/>
    <s v="22/04/2026"/>
    <s v="EL ÑUBLE "/>
    <x v="2"/>
    <s v="NUTRAMIX CONC. 200CC"/>
    <s v="Agrocomercial"/>
    <s v="Factura Electrónica"/>
    <n v="614"/>
    <s v="UNIDAD"/>
    <n v="3"/>
    <n v="0"/>
    <n v="0"/>
    <s v="CLP"/>
    <s v="CHILE"/>
    <d v="2026-04-22T00:00:00"/>
    <s v="AV"/>
    <m/>
    <m/>
  </r>
  <r>
    <x v="3"/>
    <s v="16.247.441-3"/>
    <s v="ROMINA DEL PILAR MACKENNA RIOS"/>
    <s v="22/04/2026"/>
    <s v="EL ÑUBLE "/>
    <x v="2"/>
    <s v="TERRAPULSE CONC. 200 CC"/>
    <s v="Agrocomercial"/>
    <s v="Factura Electrónica"/>
    <n v="614"/>
    <s v="UNIDAD"/>
    <n v="2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PLUS CALCIO - 20 L"/>
    <s v="Agroveca"/>
    <s v="Factura Electrónica"/>
    <n v="615"/>
    <s v="LITROS"/>
    <n v="10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PLUS BORO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PLUS POTASIO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AMIN SUGAR - 20 L"/>
    <s v="Agroveca"/>
    <s v="Factura Electrónica"/>
    <n v="615"/>
    <s v="LITROS"/>
    <n v="28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CYTO PRIME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ROOT MAX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PLUS MAGNESIO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BALANCE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SILFORTE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PLUS NP MIX - 20 L"/>
    <s v="Agroveca"/>
    <s v="Factura Electrónica"/>
    <n v="615"/>
    <s v="LITROS"/>
    <n v="60"/>
    <n v="0"/>
    <n v="0"/>
    <s v="CLP"/>
    <s v="CHILE"/>
    <d v="2026-04-22T00:00:00"/>
    <s v="AV"/>
    <m/>
    <m/>
  </r>
  <r>
    <x v="3"/>
    <s v="77.135.740-7"/>
    <s v="RAUL JOFRE Y COMPAQIA LIMITADA"/>
    <s v="23/04/2026"/>
    <s v="SEXTA"/>
    <x v="4"/>
    <s v="AV PLUS POTASIO - 1 L"/>
    <s v="Agroveca"/>
    <s v="Factura Electrónica"/>
    <n v="616"/>
    <s v="LITROS"/>
    <n v="9"/>
    <n v="50301"/>
    <n v="5589"/>
    <s v="CLP"/>
    <s v="CHILE"/>
    <d v="2026-06-30T00:00:00"/>
    <s v="AV"/>
    <m/>
    <m/>
  </r>
  <r>
    <x v="3"/>
    <s v="77.135.740-7"/>
    <s v="RAUL JOFRE Y COMPAQIA LIMITADA"/>
    <s v="23/04/2026"/>
    <s v="SEXTA"/>
    <x v="4"/>
    <s v="AV PLUS POTASIO - 5 L"/>
    <s v="Agroveca"/>
    <s v="Factura Electrónica"/>
    <n v="616"/>
    <s v="LITROS"/>
    <n v="10"/>
    <n v="41920"/>
    <n v="4192"/>
    <s v="CLP"/>
    <s v="CHILE"/>
    <d v="2026-06-30T00:00:00"/>
    <s v="AV"/>
    <m/>
    <m/>
  </r>
  <r>
    <x v="3"/>
    <s v="77.135.740-7"/>
    <s v="RAUL JOFRE Y COMPAQIA LIMITADA"/>
    <s v="23/04/2026"/>
    <s v="SEXTA"/>
    <x v="4"/>
    <s v="AV PLUS MAGNESIO - 1 L"/>
    <s v="Agroveca"/>
    <s v="Factura Electrónica"/>
    <n v="616"/>
    <s v="LITROS"/>
    <n v="6"/>
    <n v="33534"/>
    <n v="5589"/>
    <s v="CLP"/>
    <s v="CHILE"/>
    <d v="2026-06-30T00:00:00"/>
    <s v="AV"/>
    <m/>
    <m/>
  </r>
  <r>
    <x v="3"/>
    <s v="77.135.740-7"/>
    <s v="RAUL JOFRE Y COMPAQIA LIMITADA"/>
    <s v="23/04/2026"/>
    <s v="SEXTA"/>
    <x v="4"/>
    <s v="AV PLUS CALCIO - 1 L"/>
    <s v="Agroveca"/>
    <s v="Factura Electrónica"/>
    <n v="616"/>
    <s v="LITROS"/>
    <n v="1"/>
    <n v="5589"/>
    <n v="5589"/>
    <s v="CLP"/>
    <s v="CHILE"/>
    <d v="2026-06-30T00:00:00"/>
    <s v="AV"/>
    <m/>
    <m/>
  </r>
  <r>
    <x v="3"/>
    <s v="77.135.740-7"/>
    <s v="RAUL JOFRE Y COMPAQIA LIMITADA"/>
    <s v="23/04/2026"/>
    <s v="SEXTA"/>
    <x v="4"/>
    <s v="AV PLUS CALCIO - 5 L"/>
    <s v="Agroveca"/>
    <s v="Factura Electrónica"/>
    <n v="616"/>
    <s v="LITROS"/>
    <n v="15"/>
    <n v="62880"/>
    <n v="4192"/>
    <s v="CLP"/>
    <s v="CHILE"/>
    <d v="2026-06-30T00:00:00"/>
    <s v="AV"/>
    <m/>
    <m/>
  </r>
  <r>
    <x v="3"/>
    <s v="77.135.740-7"/>
    <s v="RAUL JOFRE Y COMPAQIA LIMITADA"/>
    <s v="23/04/2026"/>
    <s v="SEXTA"/>
    <x v="4"/>
    <s v="AV PLUS ZINC - 1 L"/>
    <s v="Agroveca"/>
    <s v="Factura Electrónica"/>
    <n v="616"/>
    <s v="LITROS"/>
    <n v="1"/>
    <n v="7453"/>
    <n v="7453"/>
    <s v="CLP"/>
    <s v="CHILE"/>
    <d v="2026-06-30T00:00:00"/>
    <s v="AV"/>
    <m/>
    <m/>
  </r>
  <r>
    <x v="3"/>
    <s v="77.655.889-3"/>
    <s v="AGRICOLA AGUSTINA SPA"/>
    <s v="23/04/2026"/>
    <s v="CUARTA"/>
    <x v="0"/>
    <s v="AV ALGAP 30 - 20 L"/>
    <s v="Agroveca"/>
    <s v="Factura Electrónica"/>
    <n v="617"/>
    <s v="LITROS"/>
    <n v="20"/>
    <n v="136000"/>
    <n v="6800"/>
    <s v="CLP"/>
    <s v="CHILE"/>
    <d v="2026-04-23T00:00:00"/>
    <s v="AV"/>
    <m/>
    <m/>
  </r>
  <r>
    <x v="3"/>
    <s v="12.785.502-1"/>
    <s v="MANUEL REINALDO JARA ALCAINO"/>
    <s v="24/04/2026"/>
    <s v="SEPTIMA"/>
    <x v="1"/>
    <s v="AV BIOVECA INVERNAL - 250 GR"/>
    <s v="Agroveca"/>
    <s v="Factura Electrónica"/>
    <n v="618"/>
    <s v="UNIDAD"/>
    <n v="8"/>
    <n v="256000"/>
    <n v="32000"/>
    <s v="CLP"/>
    <s v="CHILE"/>
    <d v="2026-04-24T00:00:00"/>
    <s v="AV"/>
    <m/>
    <m/>
  </r>
  <r>
    <x v="3"/>
    <s v="76.826.270-5"/>
    <s v="INVERSIONES DON FORTUNATO LTDA"/>
    <s v="24/04/2026"/>
    <s v="SEXTA"/>
    <x v="1"/>
    <s v="AV BIOVECA INVERNAL - 250 GR"/>
    <s v="Agroveca"/>
    <s v="Factura Electrónica"/>
    <n v="619"/>
    <s v="UNIDAD"/>
    <n v="10"/>
    <n v="320000"/>
    <n v="32000"/>
    <s v="CLP"/>
    <s v="CHILE"/>
    <d v="2026-04-24T00:00:00"/>
    <s v="AV"/>
    <m/>
    <m/>
  </r>
  <r>
    <x v="3"/>
    <s v="14.325.607-3"/>
    <s v="LUIS FERNANDO JARA ALCAINO"/>
    <s v="24/04/2026"/>
    <s v="SEPTIMA"/>
    <x v="1"/>
    <s v="AV BIOVECA INVERNAL - 250 GR"/>
    <s v="Agroveca"/>
    <s v="Factura Electrónica"/>
    <n v="620"/>
    <s v="UNIDAD"/>
    <n v="24"/>
    <n v="768000"/>
    <n v="32000"/>
    <s v="CLP"/>
    <s v="CHILE"/>
    <d v="2026-04-24T00:00:00"/>
    <s v="AV"/>
    <m/>
    <m/>
  </r>
  <r>
    <x v="3"/>
    <s v="78.430.420-5"/>
    <s v="SOC AGRICOLA Y DE SERVICIOS DOBLE R LIMITADA"/>
    <s v="27/04/2026"/>
    <m/>
    <x v="0"/>
    <s v="AV BIOVECA INVERNAL - 250 GR"/>
    <s v="Agroveca"/>
    <s v="Guía de Despacho Electrónica"/>
    <n v="272"/>
    <s v="UNIDAD"/>
    <n v="72"/>
    <n v="2196000"/>
    <n v="30500"/>
    <s v="CLP"/>
    <s v="CHILE"/>
    <d v="2026-10-15T00:00:00"/>
    <s v="AV"/>
    <m/>
    <m/>
  </r>
  <r>
    <x v="3"/>
    <s v="78.304.686-5"/>
    <s v="DISTRIBUIDORA AGRO DEL MONTE SPA"/>
    <s v="27/04/2026"/>
    <m/>
    <x v="4"/>
    <s v="AV MOVE - 5 L"/>
    <s v="Agroveca"/>
    <s v="Guía de Despacho Electrónica"/>
    <n v="273"/>
    <s v="LITROS"/>
    <n v="10"/>
    <n v="74700"/>
    <n v="7470"/>
    <s v="CLP"/>
    <s v="CHILE"/>
    <d v="2026-06-05T00:00:00"/>
    <s v="AV"/>
    <m/>
    <m/>
  </r>
  <r>
    <x v="3"/>
    <s v="99.594.530-4"/>
    <s v="AGRICOLA LAS CRUZADAS SPA"/>
    <s v="27/04/2026"/>
    <m/>
    <x v="0"/>
    <s v="AV SILFORTE - 20 L"/>
    <s v="Agroveca"/>
    <s v="Guía de Despacho Electrónica"/>
    <n v="275"/>
    <s v="LITROS"/>
    <n v="80"/>
    <n v="1000000"/>
    <n v="12500"/>
    <s v="CLP"/>
    <s v="CHILE"/>
    <d v="2026-07-05T00:00:00"/>
    <s v="AV"/>
    <m/>
    <m/>
  </r>
  <r>
    <x v="3"/>
    <s v="99.594.530-4"/>
    <s v="AGRICOLA LAS CRUZADAS SPA"/>
    <s v="27/04/2026"/>
    <m/>
    <x v="0"/>
    <s v="AV SILFORTE - 5 L"/>
    <s v="Agroveca"/>
    <s v="Guía de Despacho Electrónica"/>
    <n v="275"/>
    <s v="LITROS"/>
    <n v="10"/>
    <n v="125000"/>
    <n v="12500"/>
    <s v="CLP"/>
    <s v="CHILE"/>
    <d v="2026-07-05T00:00:00"/>
    <s v="AV"/>
    <m/>
    <m/>
  </r>
  <r>
    <x v="3"/>
    <s v="99.594.530-4"/>
    <s v="AGRICOLA LAS CRUZADAS SPA"/>
    <s v="27/04/2026"/>
    <m/>
    <x v="0"/>
    <s v="AV MOVE - 20 L"/>
    <s v="Agroveca"/>
    <s v="Guía de Despacho Electrónica"/>
    <n v="275"/>
    <s v="LITROS"/>
    <n v="300"/>
    <n v="1620000"/>
    <n v="5400"/>
    <s v="CLP"/>
    <s v="CHILE"/>
    <d v="2026-07-05T00:00:00"/>
    <s v="AV"/>
    <m/>
    <m/>
  </r>
  <r>
    <x v="3"/>
    <s v="77.654.430-2"/>
    <s v="AGRICOLA LA LOICA SPA"/>
    <s v="29/04/2026"/>
    <m/>
    <x v="0"/>
    <s v="AV MAX FULVIC 45% - 200 L"/>
    <s v="Agroveca"/>
    <s v="Guía de Despacho Electrónica"/>
    <n v="276"/>
    <s v="LITROS"/>
    <n v="400"/>
    <n v="1160000"/>
    <n v="2900"/>
    <s v="CLP"/>
    <s v="CHILE"/>
    <d v="2026-07-20T00:00:00"/>
    <s v="AV"/>
    <m/>
    <m/>
  </r>
  <r>
    <x v="3"/>
    <s v="78.234.981-3"/>
    <s v="HIJO DEL SOL ISIDORA SPA"/>
    <s v="29/04/2026"/>
    <m/>
    <x v="0"/>
    <s v="AV SILFORTE - 5 L"/>
    <s v="Agroveca"/>
    <s v="Guía de Despacho Electrónica"/>
    <n v="278"/>
    <s v="LITROS"/>
    <n v="10"/>
    <n v="142500"/>
    <n v="14250"/>
    <s v="CLP"/>
    <s v="CHILE"/>
    <d v="2026-06-05T00:00:00"/>
    <s v="AV"/>
    <m/>
    <m/>
  </r>
  <r>
    <x v="3"/>
    <s v="78.234.981-3"/>
    <s v="HIJO DEL SOL ISIDORA SPA"/>
    <s v="29/04/2026"/>
    <m/>
    <x v="0"/>
    <s v="AV ROOT MAX - 5 L"/>
    <s v="Agroveca"/>
    <s v="Guía de Despacho Electrónica"/>
    <n v="278"/>
    <s v="LITROS"/>
    <n v="5"/>
    <n v="52250"/>
    <n v="10450"/>
    <s v="CLP"/>
    <s v="CHILE"/>
    <d v="2026-06-05T00:00:00"/>
    <s v="AV"/>
    <m/>
    <m/>
  </r>
  <r>
    <x v="4"/>
    <m/>
    <m/>
    <m/>
    <m/>
    <x v="9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F13" firstHeaderRow="1" firstDataRow="2" firstDataCol="1"/>
  <pivotFields count="20">
    <pivotField axis="axisCol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axis="axisRow" showAll="0">
      <items count="14">
        <item x="8"/>
        <item x="1"/>
        <item x="5"/>
        <item m="1" x="12"/>
        <item x="3"/>
        <item x="6"/>
        <item m="1" x="11"/>
        <item m="1" x="10"/>
        <item x="0"/>
        <item x="7"/>
        <item x="4"/>
        <item x="2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4"/>
    </i>
    <i>
      <x v="5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3"/>
    </i>
    <i>
      <x v="4"/>
    </i>
    <i t="grand">
      <x/>
    </i>
  </colItems>
  <dataFields count="1">
    <dataField name="Suma de Total" fld="12" baseField="0" baseItem="0" numFmtId="3"/>
  </dataFields>
  <formats count="3">
    <format dxfId="66">
      <pivotArea outline="0" collapsedLevelsAreSubtotals="1" fieldPosition="0"/>
    </format>
    <format dxfId="65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6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G17:J22" totalsRowShown="0" headerRowDxfId="63" tableBorderDxfId="62">
  <autoFilter ref="G17:J22" xr:uid="{00000000-0009-0000-0100-000001000000}"/>
  <tableColumns count="4">
    <tableColumn id="1" xr3:uid="{00000000-0010-0000-0000-000001000000}" name="Mes"/>
    <tableColumn id="2" xr3:uid="{00000000-0010-0000-0000-000002000000}" name="Presupuesto ($)" dataDxfId="61"/>
    <tableColumn id="3" xr3:uid="{00000000-0010-0000-0000-000003000000}" name="Venta ($)" dataDxfId="60"/>
    <tableColumn id="4" xr3:uid="{00000000-0010-0000-0000-000004000000}" name="Cumplimiento (%)" dataDxfId="59">
      <calculatedColumnFormula>Tabla1[[#This Row],[Venta ($)]]*100/Tabla1[[#This Row],[Presupuesto ($)]]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4" displayName="Tabla4" ref="A2:J9" totalsRowCount="1" headerRowDxfId="58">
  <autoFilter ref="A2:J8" xr:uid="{00000000-0009-0000-0100-000004000000}"/>
  <tableColumns count="10">
    <tableColumn id="1" xr3:uid="{00000000-0010-0000-0100-000001000000}" name="Vendedor" dataDxfId="57" totalsRowDxfId="56"/>
    <tableColumn id="2" xr3:uid="{00000000-0010-0000-0100-000002000000}" name="Ppto Enero ($)" totalsRowFunction="custom" dataDxfId="55" totalsRowDxfId="54">
      <totalsRowFormula>SUM(B3:B8)</totalsRowFormula>
    </tableColumn>
    <tableColumn id="3" xr3:uid="{00000000-0010-0000-0100-000003000000}" name="Venta Enero ($)" totalsRowFunction="custom" dataDxfId="53" totalsRowDxfId="52">
      <totalsRowFormula>SUM(C3:C8)</totalsRowFormula>
    </tableColumn>
    <tableColumn id="4" xr3:uid="{00000000-0010-0000-0100-000004000000}" name="Cumplimiento (%)" totalsRowFunction="custom" dataDxfId="51" totalsRowDxfId="50">
      <totalsRowFormula>Tabla4[[#Totals],[Venta Enero ($)]]*100/Tabla4[[#Totals],[Ppto Enero ($)]]</totalsRowFormula>
    </tableColumn>
    <tableColumn id="5" xr3:uid="{00000000-0010-0000-0100-000005000000}" name="Ppto Febrero ($)" totalsRowFunction="custom" dataDxfId="49" totalsRowDxfId="48">
      <totalsRowFormula>SUM(E3:E8)</totalsRowFormula>
    </tableColumn>
    <tableColumn id="6" xr3:uid="{00000000-0010-0000-0100-000006000000}" name="Venta Febrero ($)" totalsRowFunction="custom" dataDxfId="47" totalsRowDxfId="46">
      <totalsRowFormula>SUM(F3:F8)</totalsRowFormula>
    </tableColumn>
    <tableColumn id="7" xr3:uid="{00000000-0010-0000-0100-000007000000}" name="Cumplimiento (%)2" totalsRowFunction="custom" dataDxfId="45" totalsRowDxfId="44">
      <totalsRowFormula>Tabla4[[#Totals],[Venta Febrero ($)]]*100/Tabla4[[#Totals],[Ppto Febrero ($)]]</totalsRowFormula>
    </tableColumn>
    <tableColumn id="8" xr3:uid="{00000000-0010-0000-0100-000008000000}" name="Ppto Marzo ($)" totalsRowFunction="custom" dataDxfId="43" totalsRowDxfId="42">
      <totalsRowFormula>SUM(H3:H8)</totalsRowFormula>
    </tableColumn>
    <tableColumn id="9" xr3:uid="{00000000-0010-0000-0100-000009000000}" name="Venta Marzo ($)" totalsRowFunction="custom" dataDxfId="41" totalsRowDxfId="40">
      <calculatedColumnFormula>GETPIVOTDATA("Total",RESUMEN!$A$2,"MES","MARZO","Vendedor","FRANCISCO VELASQUEZ")</calculatedColumnFormula>
      <totalsRowFormula>SUM(I3:I8)</totalsRowFormula>
    </tableColumn>
    <tableColumn id="10" xr3:uid="{00000000-0010-0000-0100-00000A000000}" name="Cumplimiento (%)3" totalsRowFunction="custom" dataDxfId="39" totalsRowDxfId="38">
      <calculatedColumnFormula>Tabla4[[#This Row],[Venta Marzo ($)]]*100/Tabla4[[#This Row],[Ppto Marzo ($)]]</calculatedColumnFormula>
      <totalsRowFormula>Tabla4[[#Totals],[Venta Marzo ($)]]*100/Tabla4[[#Totals],[Ppto Marzo ($)]]</totalsRow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5" displayName="Tabla5" ref="A25:D32" totalsRowCount="1" headerRowDxfId="37" headerRowBorderDxfId="36" tableBorderDxfId="35">
  <autoFilter ref="A25:D31" xr:uid="{00000000-0009-0000-0100-000005000000}"/>
  <tableColumns count="4">
    <tableColumn id="1" xr3:uid="{00000000-0010-0000-0200-000001000000}" name="Vendedor" dataDxfId="34" totalsRowDxfId="33"/>
    <tableColumn id="2" xr3:uid="{00000000-0010-0000-0200-000002000000}" name="Ppto" totalsRowFunction="custom" dataDxfId="32" totalsRowDxfId="31">
      <totalsRowFormula>SUM(B26:B31)</totalsRowFormula>
    </tableColumn>
    <tableColumn id="3" xr3:uid="{00000000-0010-0000-0200-000003000000}" name="Venta" totalsRowFunction="custom" dataDxfId="30" totalsRowDxfId="29">
      <calculatedColumnFormula>C3+F3</calculatedColumnFormula>
      <totalsRowFormula>SUM(C26:C31)</totalsRowFormula>
    </tableColumn>
    <tableColumn id="4" xr3:uid="{00000000-0010-0000-0200-000004000000}" name="%" totalsRowFunction="custom" dataDxfId="28" totalsRowDxfId="27">
      <totalsRowFormula>Tabla5[[#Totals],[Venta]]*100/Tabla5[[#Totals],[Ppto]]</totalsRow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a43" displayName="Tabla43" ref="A13:J20" totalsRowCount="1" headerRowDxfId="26">
  <autoFilter ref="A13:J19" xr:uid="{00000000-0009-0000-0100-000002000000}"/>
  <tableColumns count="10">
    <tableColumn id="1" xr3:uid="{00000000-0010-0000-0300-000001000000}" name="Vendedor" dataDxfId="25" totalsRowDxfId="24"/>
    <tableColumn id="2" xr3:uid="{00000000-0010-0000-0300-000002000000}" name="Ppto Abril ($)" totalsRowFunction="custom" dataDxfId="23" totalsRowDxfId="22">
      <totalsRowFormula>SUM(B14:B19)</totalsRowFormula>
    </tableColumn>
    <tableColumn id="3" xr3:uid="{00000000-0010-0000-0300-000003000000}" name="Venta Abril ($)" totalsRowFunction="custom" dataDxfId="21" totalsRowDxfId="20">
      <calculatedColumnFormula>GETPIVOTDATA("Total",RESUMEN!$A$2,"MES","ABRIL","Vendedor","FRANCISCO VELASQUEZ")</calculatedColumnFormula>
      <totalsRowFormula>SUM(C14:C19)</totalsRowFormula>
    </tableColumn>
    <tableColumn id="4" xr3:uid="{00000000-0010-0000-0300-000004000000}" name="Cumplimiento (%)" totalsRowFunction="custom" dataDxfId="19" totalsRowDxfId="18">
      <totalsRowFormula>Tabla43[[#Totals],[Venta Abril ($)]]*100/Tabla43[[#Totals],[Ppto Abril ($)]]</totalsRowFormula>
    </tableColumn>
    <tableColumn id="5" xr3:uid="{00000000-0010-0000-0300-000005000000}" name="Ppto Mayo ($)" totalsRowFunction="custom" dataDxfId="17" totalsRowDxfId="16">
      <totalsRowFormula>SUM(E14:E19)</totalsRowFormula>
    </tableColumn>
    <tableColumn id="6" xr3:uid="{00000000-0010-0000-0300-000006000000}" name="Venta Mayo ($)" totalsRowFunction="custom" dataDxfId="15" totalsRowDxfId="14">
      <totalsRowFormula>SUM(F14:F19)</totalsRowFormula>
    </tableColumn>
    <tableColumn id="7" xr3:uid="{00000000-0010-0000-0300-000007000000}" name="Cumplimiento (%)2" totalsRowFunction="custom" dataDxfId="13" totalsRowDxfId="12">
      <totalsRowFormula>Tabla43[[#Totals],[Venta Mayo ($)]]*100/Tabla43[[#Totals],[Ppto Mayo ($)]]</totalsRowFormula>
    </tableColumn>
    <tableColumn id="8" xr3:uid="{00000000-0010-0000-0300-000008000000}" name="Ppto Junio ($)" totalsRowFunction="custom" dataDxfId="11" totalsRowDxfId="10">
      <totalsRowFormula>SUM(H14:H19)</totalsRowFormula>
    </tableColumn>
    <tableColumn id="9" xr3:uid="{00000000-0010-0000-0300-000009000000}" name="Venta Junio ($)" totalsRowFunction="custom" dataDxfId="9" totalsRowDxfId="8">
      <totalsRowFormula>SUM(I14:I19)</totalsRowFormula>
    </tableColumn>
    <tableColumn id="10" xr3:uid="{00000000-0010-0000-0300-00000A000000}" name="Cumplimiento (%)3" totalsRowFunction="custom" dataDxfId="7" totalsRowDxfId="6">
      <calculatedColumnFormula>Tabla43[[#This Row],[Venta Junio ($)]]*100/Tabla43[[#This Row],[Ppto Junio ($)]]</calculatedColumnFormula>
      <totalsRowFormula>Tabla43[[#Totals],[Venta Junio ($)]]*100/Tabla43[[#Totals],[Ppto Junio ($)]]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9"/>
  <sheetViews>
    <sheetView workbookViewId="0">
      <selection activeCell="E17" sqref="E17"/>
    </sheetView>
  </sheetViews>
  <sheetFormatPr baseColWidth="10" defaultRowHeight="14.4" x14ac:dyDescent="0.3"/>
  <cols>
    <col min="1" max="1" width="20.5546875" bestFit="1" customWidth="1"/>
    <col min="2" max="2" width="21.44140625" bestFit="1" customWidth="1"/>
    <col min="3" max="3" width="10.109375" bestFit="1" customWidth="1"/>
    <col min="4" max="5" width="10.109375" customWidth="1"/>
    <col min="6" max="6" width="11.88671875" customWidth="1"/>
    <col min="7" max="7" width="20.44140625" customWidth="1"/>
    <col min="8" max="8" width="15.5546875" customWidth="1"/>
    <col min="9" max="9" width="14.88671875" customWidth="1"/>
    <col min="10" max="10" width="17.6640625" customWidth="1"/>
  </cols>
  <sheetData>
    <row r="2" spans="1:10" x14ac:dyDescent="0.3">
      <c r="A2" s="3" t="s">
        <v>568</v>
      </c>
      <c r="B2" s="3" t="s">
        <v>799</v>
      </c>
    </row>
    <row r="3" spans="1:10" x14ac:dyDescent="0.3">
      <c r="A3" s="3" t="s">
        <v>800</v>
      </c>
      <c r="B3" s="13" t="s">
        <v>19</v>
      </c>
      <c r="C3" s="13" t="s">
        <v>469</v>
      </c>
      <c r="D3" t="s">
        <v>611</v>
      </c>
      <c r="E3" t="s">
        <v>756</v>
      </c>
      <c r="F3" s="13" t="s">
        <v>567</v>
      </c>
    </row>
    <row r="4" spans="1:10" x14ac:dyDescent="0.3">
      <c r="A4" s="2" t="s">
        <v>789</v>
      </c>
      <c r="B4" s="1"/>
      <c r="C4" s="1"/>
      <c r="D4" s="1"/>
      <c r="E4" s="1">
        <v>0</v>
      </c>
      <c r="F4" s="1">
        <v>0</v>
      </c>
    </row>
    <row r="5" spans="1:10" x14ac:dyDescent="0.3">
      <c r="A5" s="2" t="s">
        <v>36</v>
      </c>
      <c r="B5" s="1">
        <v>14491000</v>
      </c>
      <c r="C5" s="1">
        <v>9912000</v>
      </c>
      <c r="D5" s="1">
        <v>5196500</v>
      </c>
      <c r="E5" s="1">
        <v>3113000</v>
      </c>
      <c r="F5" s="1">
        <v>32712500</v>
      </c>
    </row>
    <row r="6" spans="1:10" x14ac:dyDescent="0.3">
      <c r="A6" s="2" t="s">
        <v>89</v>
      </c>
      <c r="B6" s="1">
        <v>6186000</v>
      </c>
      <c r="C6" s="1">
        <v>944000</v>
      </c>
      <c r="D6" s="1">
        <v>1680000</v>
      </c>
      <c r="E6" s="1"/>
      <c r="F6" s="1">
        <v>8810000</v>
      </c>
    </row>
    <row r="7" spans="1:10" ht="18" customHeight="1" x14ac:dyDescent="0.3">
      <c r="A7" s="2" t="s">
        <v>54</v>
      </c>
      <c r="B7" s="1">
        <v>14820273</v>
      </c>
      <c r="C7" s="1">
        <v>6389076</v>
      </c>
      <c r="D7" s="1">
        <v>31913309</v>
      </c>
      <c r="E7" s="1">
        <v>10171393</v>
      </c>
      <c r="F7" s="1">
        <v>63294051</v>
      </c>
    </row>
    <row r="8" spans="1:10" x14ac:dyDescent="0.3">
      <c r="A8" s="2" t="s">
        <v>217</v>
      </c>
      <c r="B8" s="1">
        <v>0</v>
      </c>
      <c r="C8" s="1"/>
      <c r="D8" s="1">
        <v>0</v>
      </c>
      <c r="E8" s="1"/>
      <c r="F8" s="1">
        <v>0</v>
      </c>
    </row>
    <row r="9" spans="1:10" ht="18.600000000000001" customHeight="1" x14ac:dyDescent="0.3">
      <c r="A9" s="2" t="s">
        <v>24</v>
      </c>
      <c r="B9" s="1">
        <v>37027580</v>
      </c>
      <c r="C9" s="1">
        <v>10378585</v>
      </c>
      <c r="D9" s="1">
        <v>5487150</v>
      </c>
      <c r="E9" s="1">
        <v>8304645</v>
      </c>
      <c r="F9" s="1">
        <v>61197960</v>
      </c>
    </row>
    <row r="10" spans="1:10" x14ac:dyDescent="0.3">
      <c r="A10" s="2" t="s">
        <v>482</v>
      </c>
      <c r="B10" s="1"/>
      <c r="C10" s="1">
        <v>0</v>
      </c>
      <c r="D10" s="1">
        <v>0</v>
      </c>
      <c r="E10" s="1">
        <v>39826</v>
      </c>
      <c r="F10" s="1">
        <v>39826</v>
      </c>
    </row>
    <row r="11" spans="1:10" x14ac:dyDescent="0.3">
      <c r="A11" s="2" t="s">
        <v>58</v>
      </c>
      <c r="B11" s="1">
        <v>13510783</v>
      </c>
      <c r="C11" s="1">
        <v>7262717</v>
      </c>
      <c r="D11" s="1">
        <v>6819022</v>
      </c>
      <c r="E11" s="1">
        <v>1763157</v>
      </c>
      <c r="F11" s="1">
        <v>29355679</v>
      </c>
    </row>
    <row r="12" spans="1:10" x14ac:dyDescent="0.3">
      <c r="A12" s="2" t="s">
        <v>48</v>
      </c>
      <c r="B12" s="1">
        <v>2195728</v>
      </c>
      <c r="C12" s="1">
        <v>765600</v>
      </c>
      <c r="D12" s="1">
        <v>1274728</v>
      </c>
      <c r="E12" s="1">
        <v>0</v>
      </c>
      <c r="F12" s="1">
        <v>4236056</v>
      </c>
    </row>
    <row r="13" spans="1:10" x14ac:dyDescent="0.3">
      <c r="A13" s="2" t="s">
        <v>567</v>
      </c>
      <c r="B13" s="1">
        <v>88231364</v>
      </c>
      <c r="C13" s="1">
        <v>35651978</v>
      </c>
      <c r="D13" s="1">
        <v>52370709</v>
      </c>
      <c r="E13" s="1">
        <v>23392021</v>
      </c>
      <c r="F13" s="1">
        <v>199646072</v>
      </c>
    </row>
    <row r="15" spans="1:10" x14ac:dyDescent="0.3">
      <c r="G15" s="7" t="s">
        <v>574</v>
      </c>
    </row>
    <row r="16" spans="1:10" x14ac:dyDescent="0.3">
      <c r="G16" s="15"/>
      <c r="H16" s="26" t="s">
        <v>610</v>
      </c>
      <c r="I16" s="27"/>
      <c r="J16" s="27"/>
    </row>
    <row r="17" spans="4:10" x14ac:dyDescent="0.3">
      <c r="G17" s="11" t="s">
        <v>604</v>
      </c>
      <c r="H17" s="11" t="s">
        <v>575</v>
      </c>
      <c r="I17" s="11" t="s">
        <v>576</v>
      </c>
      <c r="J17" s="11" t="s">
        <v>577</v>
      </c>
    </row>
    <row r="18" spans="4:10" ht="17.399999999999999" customHeight="1" x14ac:dyDescent="0.3">
      <c r="G18" s="9" t="s">
        <v>578</v>
      </c>
      <c r="H18" s="8">
        <f>H30</f>
        <v>83558032</v>
      </c>
      <c r="I18" s="8">
        <f>H31</f>
        <v>88231364</v>
      </c>
      <c r="J18" s="10">
        <f>Tabla1[[#This Row],[Venta ($)]]*100/Tabla1[[#This Row],[Presupuesto ($)]]</f>
        <v>105.59291774607617</v>
      </c>
    </row>
    <row r="19" spans="4:10" x14ac:dyDescent="0.3">
      <c r="G19" s="9" t="s">
        <v>579</v>
      </c>
      <c r="H19" s="8">
        <f>H32</f>
        <v>41601950</v>
      </c>
      <c r="I19" s="8">
        <f>H33</f>
        <v>35651978</v>
      </c>
      <c r="J19" s="10">
        <f>Tabla1[[#This Row],[Venta ($)]]*100/Tabla1[[#This Row],[Presupuesto ($)]]</f>
        <v>85.697853105443372</v>
      </c>
    </row>
    <row r="20" spans="4:10" x14ac:dyDescent="0.3">
      <c r="G20" s="9" t="s">
        <v>615</v>
      </c>
      <c r="H20" s="8">
        <f>H34</f>
        <v>42000000</v>
      </c>
      <c r="I20" s="8">
        <f>H35</f>
        <v>52370709</v>
      </c>
      <c r="J20" s="10">
        <f>Tabla1[[#This Row],[Venta ($)]]*100/Tabla1[[#This Row],[Presupuesto ($)]]</f>
        <v>124.69216428571428</v>
      </c>
    </row>
    <row r="21" spans="4:10" x14ac:dyDescent="0.3">
      <c r="G21" s="9" t="s">
        <v>755</v>
      </c>
      <c r="H21" s="8">
        <f>H36</f>
        <v>46431368</v>
      </c>
      <c r="I21" s="8">
        <f>H37</f>
        <v>23392021</v>
      </c>
      <c r="J21" s="10">
        <f>Tabla1[[#This Row],[Venta ($)]]*100/Tabla1[[#This Row],[Presupuesto ($)]]</f>
        <v>50.379779893627081</v>
      </c>
    </row>
    <row r="22" spans="4:10" x14ac:dyDescent="0.3">
      <c r="G22" s="12" t="s">
        <v>580</v>
      </c>
      <c r="H22" s="8">
        <f>H18+H19+H20+H21</f>
        <v>213591350</v>
      </c>
      <c r="I22" s="8">
        <f>I18+I19+I20+I21</f>
        <v>199646072</v>
      </c>
      <c r="J22" s="10">
        <f>Tabla1[[#This Row],[Venta ($)]]*100/Tabla1[[#This Row],[Presupuesto ($)]]</f>
        <v>93.471047399625505</v>
      </c>
    </row>
    <row r="24" spans="4:10" x14ac:dyDescent="0.3">
      <c r="H24" s="1"/>
    </row>
    <row r="25" spans="4:10" x14ac:dyDescent="0.3">
      <c r="D25" s="1"/>
    </row>
    <row r="26" spans="4:10" x14ac:dyDescent="0.3">
      <c r="D26" s="1"/>
    </row>
    <row r="27" spans="4:10" x14ac:dyDescent="0.3">
      <c r="D27" s="1"/>
    </row>
    <row r="28" spans="4:10" x14ac:dyDescent="0.3">
      <c r="G28" s="4" t="s">
        <v>745</v>
      </c>
      <c r="H28" s="5"/>
    </row>
    <row r="29" spans="4:10" x14ac:dyDescent="0.3">
      <c r="I29" s="23" t="s">
        <v>569</v>
      </c>
    </row>
    <row r="30" spans="4:10" x14ac:dyDescent="0.3">
      <c r="G30" s="4" t="s">
        <v>570</v>
      </c>
      <c r="H30" s="6">
        <v>83558032</v>
      </c>
      <c r="I30" s="30">
        <f>H31*100/H30</f>
        <v>105.59291774607617</v>
      </c>
    </row>
    <row r="31" spans="4:10" x14ac:dyDescent="0.3">
      <c r="G31" s="4" t="s">
        <v>571</v>
      </c>
      <c r="H31" s="6">
        <f>GETPIVOTDATA("Total",$A$2,"MES","ENERO")</f>
        <v>88231364</v>
      </c>
      <c r="I31" s="29"/>
    </row>
    <row r="32" spans="4:10" x14ac:dyDescent="0.3">
      <c r="G32" s="4" t="s">
        <v>572</v>
      </c>
      <c r="H32" s="6">
        <v>41601950</v>
      </c>
      <c r="I32" s="30">
        <f>H33*100/H32</f>
        <v>85.697853105443372</v>
      </c>
    </row>
    <row r="33" spans="7:9" x14ac:dyDescent="0.3">
      <c r="G33" s="4" t="s">
        <v>618</v>
      </c>
      <c r="H33" s="6">
        <f>GETPIVOTDATA("Total",$A$2,"MES","FEBRERO")</f>
        <v>35651978</v>
      </c>
      <c r="I33" s="29"/>
    </row>
    <row r="34" spans="7:9" x14ac:dyDescent="0.3">
      <c r="G34" s="4" t="s">
        <v>616</v>
      </c>
      <c r="H34" s="6">
        <v>42000000</v>
      </c>
      <c r="I34" s="28">
        <f>J20</f>
        <v>124.69216428571428</v>
      </c>
    </row>
    <row r="35" spans="7:9" x14ac:dyDescent="0.3">
      <c r="G35" s="4" t="s">
        <v>617</v>
      </c>
      <c r="H35" s="6">
        <f>GETPIVOTDATA("Total",$A$2,"MES","MARZO")</f>
        <v>52370709</v>
      </c>
      <c r="I35" s="29"/>
    </row>
    <row r="36" spans="7:9" x14ac:dyDescent="0.3">
      <c r="G36" s="4" t="s">
        <v>753</v>
      </c>
      <c r="H36" s="6">
        <v>46431368</v>
      </c>
      <c r="I36" s="24">
        <f>J21</f>
        <v>50.379779893627081</v>
      </c>
    </row>
    <row r="37" spans="7:9" x14ac:dyDescent="0.3">
      <c r="G37" s="4" t="s">
        <v>754</v>
      </c>
      <c r="H37" s="6">
        <f>GETPIVOTDATA("Total",$A$2,"MES","ABRIL")</f>
        <v>23392021</v>
      </c>
      <c r="I37" s="25"/>
    </row>
    <row r="38" spans="7:9" x14ac:dyDescent="0.3">
      <c r="H38" s="22"/>
    </row>
    <row r="39" spans="7:9" x14ac:dyDescent="0.3">
      <c r="G39" s="4" t="s">
        <v>573</v>
      </c>
      <c r="H39" s="6">
        <f>GETPIVOTDATA("Total",$A$2)</f>
        <v>199646072</v>
      </c>
    </row>
  </sheetData>
  <mergeCells count="5">
    <mergeCell ref="I36:I37"/>
    <mergeCell ref="H16:J16"/>
    <mergeCell ref="I34:I35"/>
    <mergeCell ref="I32:I33"/>
    <mergeCell ref="I30:I31"/>
  </mergeCell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62"/>
  <sheetViews>
    <sheetView topLeftCell="A830" zoomScale="60" zoomScaleNormal="60" workbookViewId="0">
      <selection activeCell="G883" sqref="G883"/>
    </sheetView>
  </sheetViews>
  <sheetFormatPr baseColWidth="10" defaultRowHeight="14.4" x14ac:dyDescent="0.3"/>
  <cols>
    <col min="2" max="2" width="14" customWidth="1"/>
    <col min="3" max="3" width="45.44140625" customWidth="1"/>
    <col min="4" max="4" width="12.6640625" bestFit="1" customWidth="1"/>
    <col min="5" max="5" width="17.88671875" bestFit="1" customWidth="1"/>
    <col min="6" max="6" width="25.6640625" customWidth="1"/>
    <col min="7" max="7" width="38.6640625" bestFit="1" customWidth="1"/>
    <col min="9" max="9" width="12.88671875" customWidth="1"/>
    <col min="13" max="13" width="15" customWidth="1"/>
    <col min="17" max="17" width="20.44140625" customWidth="1"/>
    <col min="19" max="19" width="21.44140625" customWidth="1"/>
    <col min="20" max="20" width="16.5546875" customWidth="1"/>
  </cols>
  <sheetData>
    <row r="1" spans="1:20" ht="15.6" x14ac:dyDescent="0.3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0" ht="16.2" customHeight="1" x14ac:dyDescent="0.3">
      <c r="A2" s="39" t="s">
        <v>0</v>
      </c>
      <c r="B2" s="39" t="s">
        <v>1</v>
      </c>
      <c r="C2" s="39" t="s">
        <v>2</v>
      </c>
      <c r="D2" s="40" t="s">
        <v>3</v>
      </c>
      <c r="E2" s="39" t="s">
        <v>4</v>
      </c>
      <c r="F2" s="39" t="s">
        <v>5</v>
      </c>
      <c r="G2" s="39" t="s">
        <v>6</v>
      </c>
      <c r="H2" s="39" t="s">
        <v>7</v>
      </c>
      <c r="I2" s="39" t="s">
        <v>8</v>
      </c>
      <c r="J2" s="39" t="s">
        <v>9</v>
      </c>
      <c r="K2" s="39" t="s">
        <v>10</v>
      </c>
      <c r="L2" s="39" t="s">
        <v>11</v>
      </c>
      <c r="M2" s="39" t="s">
        <v>12</v>
      </c>
      <c r="N2" s="39" t="s">
        <v>559</v>
      </c>
      <c r="O2" s="39" t="s">
        <v>13</v>
      </c>
      <c r="P2" s="39" t="s">
        <v>14</v>
      </c>
      <c r="Q2" s="39" t="s">
        <v>15</v>
      </c>
      <c r="R2" s="39" t="s">
        <v>16</v>
      </c>
      <c r="S2" s="34" t="s">
        <v>17</v>
      </c>
      <c r="T2" s="34" t="s">
        <v>18</v>
      </c>
    </row>
    <row r="3" spans="1:20" ht="15.6" x14ac:dyDescent="0.3">
      <c r="A3" s="35" t="s">
        <v>19</v>
      </c>
      <c r="B3" s="41" t="s">
        <v>20</v>
      </c>
      <c r="C3" s="41" t="s">
        <v>21</v>
      </c>
      <c r="D3" s="41" t="s">
        <v>22</v>
      </c>
      <c r="E3" s="41" t="s">
        <v>23</v>
      </c>
      <c r="F3" s="41" t="s">
        <v>24</v>
      </c>
      <c r="G3" s="41" t="s">
        <v>25</v>
      </c>
      <c r="H3" s="41" t="s">
        <v>26</v>
      </c>
      <c r="I3" s="41" t="s">
        <v>27</v>
      </c>
      <c r="J3" s="41">
        <v>395</v>
      </c>
      <c r="K3" s="41" t="s">
        <v>28</v>
      </c>
      <c r="L3" s="41">
        <v>200</v>
      </c>
      <c r="M3" s="38">
        <v>1300000</v>
      </c>
      <c r="N3" s="38">
        <f>M3/L3</f>
        <v>6500</v>
      </c>
      <c r="O3" s="35" t="s">
        <v>29</v>
      </c>
      <c r="P3" s="35" t="s">
        <v>30</v>
      </c>
      <c r="Q3" s="36">
        <v>46142</v>
      </c>
      <c r="R3" s="35" t="s">
        <v>31</v>
      </c>
      <c r="S3" s="35"/>
      <c r="T3" s="35"/>
    </row>
    <row r="4" spans="1:20" ht="15.6" x14ac:dyDescent="0.3">
      <c r="A4" s="35" t="s">
        <v>19</v>
      </c>
      <c r="B4" s="35" t="s">
        <v>622</v>
      </c>
      <c r="C4" s="35" t="s">
        <v>623</v>
      </c>
      <c r="D4" s="41" t="s">
        <v>22</v>
      </c>
      <c r="E4" s="41" t="s">
        <v>47</v>
      </c>
      <c r="F4" s="41" t="s">
        <v>24</v>
      </c>
      <c r="G4" s="35" t="s">
        <v>44</v>
      </c>
      <c r="H4" s="41" t="s">
        <v>26</v>
      </c>
      <c r="I4" s="41" t="s">
        <v>64</v>
      </c>
      <c r="J4" s="35">
        <v>128</v>
      </c>
      <c r="K4" s="41" t="s">
        <v>28</v>
      </c>
      <c r="L4" s="35">
        <v>60</v>
      </c>
      <c r="M4" s="37">
        <v>630000</v>
      </c>
      <c r="N4" s="38">
        <f t="shared" ref="N4:N12" si="0">M4/L4</f>
        <v>10500</v>
      </c>
      <c r="O4" s="35" t="s">
        <v>29</v>
      </c>
      <c r="P4" s="35" t="s">
        <v>30</v>
      </c>
      <c r="Q4" s="36">
        <v>46173</v>
      </c>
      <c r="R4" s="35" t="s">
        <v>31</v>
      </c>
      <c r="S4" s="35" t="s">
        <v>627</v>
      </c>
      <c r="T4" s="35"/>
    </row>
    <row r="5" spans="1:20" ht="15.6" x14ac:dyDescent="0.3">
      <c r="A5" s="35" t="s">
        <v>19</v>
      </c>
      <c r="B5" s="35" t="s">
        <v>622</v>
      </c>
      <c r="C5" s="35" t="s">
        <v>623</v>
      </c>
      <c r="D5" s="41" t="s">
        <v>22</v>
      </c>
      <c r="E5" s="41" t="s">
        <v>47</v>
      </c>
      <c r="F5" s="41" t="s">
        <v>24</v>
      </c>
      <c r="G5" s="35" t="s">
        <v>153</v>
      </c>
      <c r="H5" s="41" t="s">
        <v>26</v>
      </c>
      <c r="I5" s="41" t="s">
        <v>64</v>
      </c>
      <c r="J5" s="35">
        <v>128</v>
      </c>
      <c r="K5" s="41" t="s">
        <v>28</v>
      </c>
      <c r="L5" s="35">
        <v>80</v>
      </c>
      <c r="M5" s="37">
        <v>1008000</v>
      </c>
      <c r="N5" s="38">
        <f t="shared" si="0"/>
        <v>12600</v>
      </c>
      <c r="O5" s="35" t="s">
        <v>29</v>
      </c>
      <c r="P5" s="35" t="s">
        <v>30</v>
      </c>
      <c r="Q5" s="36">
        <v>46173</v>
      </c>
      <c r="R5" s="35" t="s">
        <v>31</v>
      </c>
      <c r="S5" s="35" t="s">
        <v>628</v>
      </c>
      <c r="T5" s="35"/>
    </row>
    <row r="6" spans="1:20" ht="15.6" x14ac:dyDescent="0.3">
      <c r="A6" s="35" t="s">
        <v>19</v>
      </c>
      <c r="B6" s="35" t="s">
        <v>622</v>
      </c>
      <c r="C6" s="35" t="s">
        <v>623</v>
      </c>
      <c r="D6" s="41" t="s">
        <v>22</v>
      </c>
      <c r="E6" s="41" t="s">
        <v>47</v>
      </c>
      <c r="F6" s="41" t="s">
        <v>24</v>
      </c>
      <c r="G6" s="35" t="s">
        <v>624</v>
      </c>
      <c r="H6" s="41" t="s">
        <v>26</v>
      </c>
      <c r="I6" s="41" t="s">
        <v>64</v>
      </c>
      <c r="J6" s="35">
        <v>128</v>
      </c>
      <c r="K6" s="41" t="s">
        <v>28</v>
      </c>
      <c r="L6" s="35">
        <v>220</v>
      </c>
      <c r="M6" s="37">
        <v>990000</v>
      </c>
      <c r="N6" s="38">
        <f t="shared" si="0"/>
        <v>4500</v>
      </c>
      <c r="O6" s="35" t="s">
        <v>29</v>
      </c>
      <c r="P6" s="35" t="s">
        <v>30</v>
      </c>
      <c r="Q6" s="36">
        <v>46173</v>
      </c>
      <c r="R6" s="35" t="s">
        <v>31</v>
      </c>
      <c r="S6" s="35" t="s">
        <v>629</v>
      </c>
      <c r="T6" s="35"/>
    </row>
    <row r="7" spans="1:20" ht="15.6" x14ac:dyDescent="0.3">
      <c r="A7" s="35" t="s">
        <v>19</v>
      </c>
      <c r="B7" s="35" t="s">
        <v>622</v>
      </c>
      <c r="C7" s="35" t="s">
        <v>623</v>
      </c>
      <c r="D7" s="41" t="s">
        <v>22</v>
      </c>
      <c r="E7" s="41" t="s">
        <v>47</v>
      </c>
      <c r="F7" s="41" t="s">
        <v>24</v>
      </c>
      <c r="G7" s="35" t="s">
        <v>625</v>
      </c>
      <c r="H7" s="41" t="s">
        <v>26</v>
      </c>
      <c r="I7" s="41" t="s">
        <v>64</v>
      </c>
      <c r="J7" s="35">
        <v>128</v>
      </c>
      <c r="K7" s="41" t="s">
        <v>28</v>
      </c>
      <c r="L7" s="35">
        <v>11</v>
      </c>
      <c r="M7" s="37">
        <v>209000</v>
      </c>
      <c r="N7" s="38">
        <f t="shared" si="0"/>
        <v>19000</v>
      </c>
      <c r="O7" s="35" t="s">
        <v>29</v>
      </c>
      <c r="P7" s="35" t="s">
        <v>30</v>
      </c>
      <c r="Q7" s="36">
        <v>46173</v>
      </c>
      <c r="R7" s="35" t="s">
        <v>31</v>
      </c>
      <c r="S7" s="35" t="s">
        <v>630</v>
      </c>
      <c r="T7" s="35"/>
    </row>
    <row r="8" spans="1:20" ht="15.6" x14ac:dyDescent="0.3">
      <c r="A8" s="35" t="s">
        <v>19</v>
      </c>
      <c r="B8" s="35" t="s">
        <v>622</v>
      </c>
      <c r="C8" s="35" t="s">
        <v>623</v>
      </c>
      <c r="D8" s="41" t="s">
        <v>22</v>
      </c>
      <c r="E8" s="41" t="s">
        <v>47</v>
      </c>
      <c r="F8" s="41" t="s">
        <v>24</v>
      </c>
      <c r="G8" s="35" t="s">
        <v>99</v>
      </c>
      <c r="H8" s="41" t="s">
        <v>26</v>
      </c>
      <c r="I8" s="41" t="s">
        <v>64</v>
      </c>
      <c r="J8" s="35">
        <v>128</v>
      </c>
      <c r="K8" s="41" t="s">
        <v>28</v>
      </c>
      <c r="L8" s="35">
        <v>80</v>
      </c>
      <c r="M8" s="37">
        <v>408000</v>
      </c>
      <c r="N8" s="38">
        <f t="shared" si="0"/>
        <v>5100</v>
      </c>
      <c r="O8" s="35" t="s">
        <v>29</v>
      </c>
      <c r="P8" s="35" t="s">
        <v>30</v>
      </c>
      <c r="Q8" s="36">
        <v>46173</v>
      </c>
      <c r="R8" s="35" t="s">
        <v>31</v>
      </c>
      <c r="S8" s="35" t="s">
        <v>631</v>
      </c>
      <c r="T8" s="35"/>
    </row>
    <row r="9" spans="1:20" ht="15.6" x14ac:dyDescent="0.3">
      <c r="A9" s="35" t="s">
        <v>19</v>
      </c>
      <c r="B9" s="35" t="s">
        <v>622</v>
      </c>
      <c r="C9" s="35" t="s">
        <v>623</v>
      </c>
      <c r="D9" s="41" t="s">
        <v>22</v>
      </c>
      <c r="E9" s="41" t="s">
        <v>47</v>
      </c>
      <c r="F9" s="41" t="s">
        <v>24</v>
      </c>
      <c r="G9" s="35" t="s">
        <v>101</v>
      </c>
      <c r="H9" s="41" t="s">
        <v>26</v>
      </c>
      <c r="I9" s="41" t="s">
        <v>64</v>
      </c>
      <c r="J9" s="35">
        <v>128</v>
      </c>
      <c r="K9" s="41" t="s">
        <v>28</v>
      </c>
      <c r="L9" s="35">
        <v>100</v>
      </c>
      <c r="M9" s="37">
        <v>510000</v>
      </c>
      <c r="N9" s="38">
        <f t="shared" si="0"/>
        <v>5100</v>
      </c>
      <c r="O9" s="35" t="s">
        <v>29</v>
      </c>
      <c r="P9" s="35" t="s">
        <v>30</v>
      </c>
      <c r="Q9" s="36">
        <v>46173</v>
      </c>
      <c r="R9" s="35" t="s">
        <v>31</v>
      </c>
      <c r="S9" s="35" t="s">
        <v>632</v>
      </c>
      <c r="T9" s="35"/>
    </row>
    <row r="10" spans="1:20" ht="15.6" x14ac:dyDescent="0.3">
      <c r="A10" s="35" t="s">
        <v>19</v>
      </c>
      <c r="B10" s="35" t="s">
        <v>622</v>
      </c>
      <c r="C10" s="35" t="s">
        <v>623</v>
      </c>
      <c r="D10" s="41" t="s">
        <v>22</v>
      </c>
      <c r="E10" s="41" t="s">
        <v>47</v>
      </c>
      <c r="F10" s="41" t="s">
        <v>24</v>
      </c>
      <c r="G10" s="35" t="s">
        <v>626</v>
      </c>
      <c r="H10" s="41" t="s">
        <v>26</v>
      </c>
      <c r="I10" s="41" t="s">
        <v>64</v>
      </c>
      <c r="J10" s="35">
        <v>128</v>
      </c>
      <c r="K10" s="41" t="s">
        <v>28</v>
      </c>
      <c r="L10" s="35">
        <v>80</v>
      </c>
      <c r="M10" s="37">
        <v>440000</v>
      </c>
      <c r="N10" s="38">
        <f t="shared" si="0"/>
        <v>5500</v>
      </c>
      <c r="O10" s="35" t="s">
        <v>29</v>
      </c>
      <c r="P10" s="35" t="s">
        <v>30</v>
      </c>
      <c r="Q10" s="36">
        <v>46173</v>
      </c>
      <c r="R10" s="35" t="s">
        <v>31</v>
      </c>
      <c r="S10" s="35" t="s">
        <v>633</v>
      </c>
      <c r="T10" s="35"/>
    </row>
    <row r="11" spans="1:20" ht="15.6" x14ac:dyDescent="0.3">
      <c r="A11" s="35" t="s">
        <v>19</v>
      </c>
      <c r="B11" s="35" t="s">
        <v>622</v>
      </c>
      <c r="C11" s="35" t="s">
        <v>623</v>
      </c>
      <c r="D11" s="41" t="s">
        <v>22</v>
      </c>
      <c r="E11" s="41" t="s">
        <v>47</v>
      </c>
      <c r="F11" s="41" t="s">
        <v>24</v>
      </c>
      <c r="G11" s="35" t="s">
        <v>158</v>
      </c>
      <c r="H11" s="41" t="s">
        <v>26</v>
      </c>
      <c r="I11" s="41" t="s">
        <v>64</v>
      </c>
      <c r="J11" s="35">
        <v>128</v>
      </c>
      <c r="K11" s="41" t="s">
        <v>28</v>
      </c>
      <c r="L11" s="35">
        <v>80</v>
      </c>
      <c r="M11" s="37">
        <v>544000</v>
      </c>
      <c r="N11" s="38">
        <f t="shared" si="0"/>
        <v>6800</v>
      </c>
      <c r="O11" s="35" t="s">
        <v>29</v>
      </c>
      <c r="P11" s="35" t="s">
        <v>30</v>
      </c>
      <c r="Q11" s="36">
        <v>46173</v>
      </c>
      <c r="R11" s="35" t="s">
        <v>31</v>
      </c>
      <c r="S11" s="35" t="s">
        <v>634</v>
      </c>
      <c r="T11" s="35"/>
    </row>
    <row r="12" spans="1:20" ht="15.6" x14ac:dyDescent="0.3">
      <c r="A12" s="35" t="s">
        <v>19</v>
      </c>
      <c r="B12" s="35" t="s">
        <v>622</v>
      </c>
      <c r="C12" s="35" t="s">
        <v>623</v>
      </c>
      <c r="D12" s="41" t="s">
        <v>22</v>
      </c>
      <c r="E12" s="41" t="s">
        <v>47</v>
      </c>
      <c r="F12" s="41" t="s">
        <v>24</v>
      </c>
      <c r="G12" s="35" t="s">
        <v>25</v>
      </c>
      <c r="H12" s="41" t="s">
        <v>26</v>
      </c>
      <c r="I12" s="41" t="s">
        <v>64</v>
      </c>
      <c r="J12" s="35">
        <v>128</v>
      </c>
      <c r="K12" s="41" t="s">
        <v>28</v>
      </c>
      <c r="L12" s="35">
        <v>140</v>
      </c>
      <c r="M12" s="37">
        <v>1204000</v>
      </c>
      <c r="N12" s="38">
        <f t="shared" si="0"/>
        <v>8600</v>
      </c>
      <c r="O12" s="35" t="s">
        <v>29</v>
      </c>
      <c r="P12" s="35" t="s">
        <v>30</v>
      </c>
      <c r="Q12" s="36">
        <v>46173</v>
      </c>
      <c r="R12" s="35" t="s">
        <v>31</v>
      </c>
      <c r="S12" s="35" t="s">
        <v>635</v>
      </c>
      <c r="T12" s="35"/>
    </row>
    <row r="13" spans="1:20" ht="15.6" x14ac:dyDescent="0.3">
      <c r="A13" s="35" t="s">
        <v>19</v>
      </c>
      <c r="B13" s="41" t="s">
        <v>32</v>
      </c>
      <c r="C13" s="41" t="s">
        <v>33</v>
      </c>
      <c r="D13" s="41" t="s">
        <v>34</v>
      </c>
      <c r="E13" s="41" t="s">
        <v>35</v>
      </c>
      <c r="F13" s="41" t="s">
        <v>36</v>
      </c>
      <c r="G13" s="41" t="s">
        <v>37</v>
      </c>
      <c r="H13" s="41" t="s">
        <v>26</v>
      </c>
      <c r="I13" s="41" t="s">
        <v>27</v>
      </c>
      <c r="J13" s="41">
        <v>396</v>
      </c>
      <c r="K13" s="41" t="s">
        <v>7</v>
      </c>
      <c r="L13" s="41">
        <v>1</v>
      </c>
      <c r="M13" s="38">
        <v>35000</v>
      </c>
      <c r="N13" s="38">
        <f t="shared" ref="N13:N76" si="1">M13/L13</f>
        <v>35000</v>
      </c>
      <c r="O13" s="35" t="s">
        <v>29</v>
      </c>
      <c r="P13" s="35" t="s">
        <v>30</v>
      </c>
      <c r="Q13" s="36">
        <v>46027</v>
      </c>
      <c r="R13" s="35" t="s">
        <v>31</v>
      </c>
      <c r="S13" s="35"/>
      <c r="T13" s="35"/>
    </row>
    <row r="14" spans="1:20" ht="15.6" x14ac:dyDescent="0.3">
      <c r="A14" s="35" t="s">
        <v>19</v>
      </c>
      <c r="B14" s="41" t="s">
        <v>38</v>
      </c>
      <c r="C14" s="41" t="s">
        <v>39</v>
      </c>
      <c r="D14" s="41" t="s">
        <v>34</v>
      </c>
      <c r="E14" s="41" t="s">
        <v>40</v>
      </c>
      <c r="F14" s="41" t="s">
        <v>36</v>
      </c>
      <c r="G14" s="41" t="s">
        <v>41</v>
      </c>
      <c r="H14" s="41" t="s">
        <v>26</v>
      </c>
      <c r="I14" s="41" t="s">
        <v>27</v>
      </c>
      <c r="J14" s="41">
        <v>397</v>
      </c>
      <c r="K14" s="35" t="s">
        <v>123</v>
      </c>
      <c r="L14" s="41">
        <v>500</v>
      </c>
      <c r="M14" s="38">
        <v>1250000</v>
      </c>
      <c r="N14" s="38">
        <f t="shared" si="1"/>
        <v>2500</v>
      </c>
      <c r="O14" s="35" t="s">
        <v>29</v>
      </c>
      <c r="P14" s="35" t="s">
        <v>30</v>
      </c>
      <c r="Q14" s="36">
        <v>46027</v>
      </c>
      <c r="R14" s="35" t="s">
        <v>31</v>
      </c>
      <c r="S14" s="35"/>
      <c r="T14" s="35"/>
    </row>
    <row r="15" spans="1:20" ht="15.6" x14ac:dyDescent="0.3">
      <c r="A15" s="35" t="s">
        <v>19</v>
      </c>
      <c r="B15" s="41" t="s">
        <v>42</v>
      </c>
      <c r="C15" s="41" t="s">
        <v>43</v>
      </c>
      <c r="D15" s="41" t="s">
        <v>34</v>
      </c>
      <c r="E15" s="41" t="s">
        <v>40</v>
      </c>
      <c r="F15" s="41" t="s">
        <v>36</v>
      </c>
      <c r="G15" s="41" t="s">
        <v>44</v>
      </c>
      <c r="H15" s="41" t="s">
        <v>26</v>
      </c>
      <c r="I15" s="41" t="s">
        <v>27</v>
      </c>
      <c r="J15" s="41">
        <v>398</v>
      </c>
      <c r="K15" s="41" t="s">
        <v>28</v>
      </c>
      <c r="L15" s="41">
        <v>20</v>
      </c>
      <c r="M15" s="38">
        <v>160000</v>
      </c>
      <c r="N15" s="38">
        <f t="shared" si="1"/>
        <v>8000</v>
      </c>
      <c r="O15" s="35" t="s">
        <v>29</v>
      </c>
      <c r="P15" s="35" t="s">
        <v>30</v>
      </c>
      <c r="Q15" s="36">
        <v>46027</v>
      </c>
      <c r="R15" s="35" t="s">
        <v>31</v>
      </c>
      <c r="S15" s="35"/>
      <c r="T15" s="35"/>
    </row>
    <row r="16" spans="1:20" ht="15.6" x14ac:dyDescent="0.3">
      <c r="A16" s="35" t="s">
        <v>19</v>
      </c>
      <c r="B16" s="41" t="s">
        <v>45</v>
      </c>
      <c r="C16" s="41" t="s">
        <v>46</v>
      </c>
      <c r="D16" s="41" t="s">
        <v>34</v>
      </c>
      <c r="E16" s="41" t="s">
        <v>47</v>
      </c>
      <c r="F16" s="41" t="s">
        <v>48</v>
      </c>
      <c r="G16" s="41" t="s">
        <v>49</v>
      </c>
      <c r="H16" s="41" t="s">
        <v>26</v>
      </c>
      <c r="I16" s="41" t="s">
        <v>27</v>
      </c>
      <c r="J16" s="41">
        <v>399</v>
      </c>
      <c r="K16" s="41" t="s">
        <v>28</v>
      </c>
      <c r="L16" s="41">
        <v>140</v>
      </c>
      <c r="M16" s="38">
        <v>560000</v>
      </c>
      <c r="N16" s="38">
        <f t="shared" si="1"/>
        <v>4000</v>
      </c>
      <c r="O16" s="35" t="s">
        <v>29</v>
      </c>
      <c r="P16" s="35" t="s">
        <v>30</v>
      </c>
      <c r="Q16" s="36">
        <v>46097</v>
      </c>
      <c r="R16" s="35" t="s">
        <v>31</v>
      </c>
      <c r="S16" s="35"/>
      <c r="T16" s="35"/>
    </row>
    <row r="17" spans="1:20" ht="15.6" x14ac:dyDescent="0.3">
      <c r="A17" s="35" t="s">
        <v>19</v>
      </c>
      <c r="B17" s="41" t="s">
        <v>45</v>
      </c>
      <c r="C17" s="41" t="s">
        <v>46</v>
      </c>
      <c r="D17" s="41" t="s">
        <v>34</v>
      </c>
      <c r="E17" s="41" t="s">
        <v>47</v>
      </c>
      <c r="F17" s="41" t="s">
        <v>48</v>
      </c>
      <c r="G17" s="41" t="s">
        <v>50</v>
      </c>
      <c r="H17" s="41" t="s">
        <v>26</v>
      </c>
      <c r="I17" s="41" t="s">
        <v>27</v>
      </c>
      <c r="J17" s="41">
        <v>399</v>
      </c>
      <c r="K17" s="41" t="s">
        <v>28</v>
      </c>
      <c r="L17" s="41">
        <v>10</v>
      </c>
      <c r="M17" s="38">
        <v>40000</v>
      </c>
      <c r="N17" s="38">
        <f t="shared" si="1"/>
        <v>4000</v>
      </c>
      <c r="O17" s="35" t="s">
        <v>29</v>
      </c>
      <c r="P17" s="35" t="s">
        <v>30</v>
      </c>
      <c r="Q17" s="36">
        <v>46097</v>
      </c>
      <c r="R17" s="35" t="s">
        <v>31</v>
      </c>
      <c r="S17" s="35"/>
      <c r="T17" s="35"/>
    </row>
    <row r="18" spans="1:20" ht="15.6" x14ac:dyDescent="0.3">
      <c r="A18" s="35" t="s">
        <v>19</v>
      </c>
      <c r="B18" s="35" t="s">
        <v>51</v>
      </c>
      <c r="C18" s="35" t="s">
        <v>52</v>
      </c>
      <c r="D18" s="35" t="s">
        <v>34</v>
      </c>
      <c r="E18" s="41" t="s">
        <v>53</v>
      </c>
      <c r="F18" s="35" t="s">
        <v>54</v>
      </c>
      <c r="G18" s="35" t="s">
        <v>55</v>
      </c>
      <c r="H18" s="35" t="s">
        <v>56</v>
      </c>
      <c r="I18" s="35" t="s">
        <v>27</v>
      </c>
      <c r="J18" s="35">
        <v>439</v>
      </c>
      <c r="K18" s="35" t="s">
        <v>7</v>
      </c>
      <c r="L18" s="35">
        <v>70</v>
      </c>
      <c r="M18" s="37">
        <v>0</v>
      </c>
      <c r="N18" s="38">
        <f t="shared" si="1"/>
        <v>0</v>
      </c>
      <c r="O18" s="35" t="s">
        <v>29</v>
      </c>
      <c r="P18" s="35" t="s">
        <v>30</v>
      </c>
      <c r="Q18" s="36">
        <v>46098</v>
      </c>
      <c r="R18" s="35" t="s">
        <v>31</v>
      </c>
      <c r="S18" s="35" t="s">
        <v>57</v>
      </c>
      <c r="T18" s="36">
        <v>46008</v>
      </c>
    </row>
    <row r="19" spans="1:20" ht="15.6" x14ac:dyDescent="0.3">
      <c r="A19" s="35" t="s">
        <v>19</v>
      </c>
      <c r="B19" s="35" t="s">
        <v>51</v>
      </c>
      <c r="C19" s="35" t="s">
        <v>52</v>
      </c>
      <c r="D19" s="35" t="s">
        <v>34</v>
      </c>
      <c r="E19" s="41" t="s">
        <v>47</v>
      </c>
      <c r="F19" s="35" t="s">
        <v>58</v>
      </c>
      <c r="G19" s="35" t="s">
        <v>59</v>
      </c>
      <c r="H19" s="35" t="s">
        <v>26</v>
      </c>
      <c r="I19" s="35" t="s">
        <v>27</v>
      </c>
      <c r="J19" s="35">
        <v>440</v>
      </c>
      <c r="K19" s="35" t="s">
        <v>7</v>
      </c>
      <c r="L19" s="35">
        <v>65</v>
      </c>
      <c r="M19" s="37">
        <v>0</v>
      </c>
      <c r="N19" s="38">
        <f t="shared" si="1"/>
        <v>0</v>
      </c>
      <c r="O19" s="35" t="s">
        <v>29</v>
      </c>
      <c r="P19" s="35" t="s">
        <v>30</v>
      </c>
      <c r="Q19" s="36">
        <v>46110</v>
      </c>
      <c r="R19" s="35" t="s">
        <v>31</v>
      </c>
      <c r="S19" s="35" t="s">
        <v>60</v>
      </c>
      <c r="T19" s="36">
        <v>46020</v>
      </c>
    </row>
    <row r="20" spans="1:20" ht="15.6" x14ac:dyDescent="0.3">
      <c r="A20" s="35" t="s">
        <v>19</v>
      </c>
      <c r="B20" s="41" t="s">
        <v>61</v>
      </c>
      <c r="C20" s="41" t="s">
        <v>62</v>
      </c>
      <c r="D20" s="41" t="s">
        <v>34</v>
      </c>
      <c r="E20" s="41" t="s">
        <v>47</v>
      </c>
      <c r="F20" s="41" t="s">
        <v>24</v>
      </c>
      <c r="G20" s="41" t="s">
        <v>63</v>
      </c>
      <c r="H20" s="41" t="s">
        <v>26</v>
      </c>
      <c r="I20" s="41" t="s">
        <v>64</v>
      </c>
      <c r="J20" s="41">
        <v>129</v>
      </c>
      <c r="K20" s="41" t="s">
        <v>28</v>
      </c>
      <c r="L20" s="41">
        <v>40</v>
      </c>
      <c r="M20" s="38">
        <v>512000</v>
      </c>
      <c r="N20" s="38">
        <f t="shared" si="1"/>
        <v>12800</v>
      </c>
      <c r="O20" s="35" t="s">
        <v>29</v>
      </c>
      <c r="P20" s="35" t="s">
        <v>30</v>
      </c>
      <c r="Q20" s="36">
        <v>46188</v>
      </c>
      <c r="R20" s="35" t="s">
        <v>31</v>
      </c>
      <c r="S20" s="35"/>
      <c r="T20" s="35"/>
    </row>
    <row r="21" spans="1:20" ht="15.6" x14ac:dyDescent="0.3">
      <c r="A21" s="35" t="s">
        <v>19</v>
      </c>
      <c r="B21" s="41" t="s">
        <v>61</v>
      </c>
      <c r="C21" s="41" t="s">
        <v>62</v>
      </c>
      <c r="D21" s="41" t="s">
        <v>34</v>
      </c>
      <c r="E21" s="41" t="s">
        <v>47</v>
      </c>
      <c r="F21" s="41" t="s">
        <v>24</v>
      </c>
      <c r="G21" s="41" t="s">
        <v>65</v>
      </c>
      <c r="H21" s="41" t="s">
        <v>26</v>
      </c>
      <c r="I21" s="41" t="s">
        <v>64</v>
      </c>
      <c r="J21" s="41">
        <v>129</v>
      </c>
      <c r="K21" s="41" t="s">
        <v>28</v>
      </c>
      <c r="L21" s="41">
        <v>5</v>
      </c>
      <c r="M21" s="38">
        <v>64000</v>
      </c>
      <c r="N21" s="38">
        <f t="shared" si="1"/>
        <v>12800</v>
      </c>
      <c r="O21" s="35" t="s">
        <v>29</v>
      </c>
      <c r="P21" s="35" t="s">
        <v>30</v>
      </c>
      <c r="Q21" s="36">
        <v>46188</v>
      </c>
      <c r="R21" s="35" t="s">
        <v>31</v>
      </c>
      <c r="S21" s="35"/>
      <c r="T21" s="35"/>
    </row>
    <row r="22" spans="1:20" ht="15.6" x14ac:dyDescent="0.3">
      <c r="A22" s="35" t="s">
        <v>19</v>
      </c>
      <c r="B22" s="41" t="s">
        <v>61</v>
      </c>
      <c r="C22" s="41" t="s">
        <v>62</v>
      </c>
      <c r="D22" s="41" t="s">
        <v>34</v>
      </c>
      <c r="E22" s="41" t="s">
        <v>47</v>
      </c>
      <c r="F22" s="41" t="s">
        <v>24</v>
      </c>
      <c r="G22" s="41" t="s">
        <v>66</v>
      </c>
      <c r="H22" s="41" t="s">
        <v>26</v>
      </c>
      <c r="I22" s="41" t="s">
        <v>64</v>
      </c>
      <c r="J22" s="41">
        <v>129</v>
      </c>
      <c r="K22" s="41" t="s">
        <v>28</v>
      </c>
      <c r="L22" s="41">
        <v>3</v>
      </c>
      <c r="M22" s="38">
        <v>38400</v>
      </c>
      <c r="N22" s="38">
        <f t="shared" si="1"/>
        <v>12800</v>
      </c>
      <c r="O22" s="35" t="s">
        <v>29</v>
      </c>
      <c r="P22" s="35" t="s">
        <v>30</v>
      </c>
      <c r="Q22" s="36">
        <v>46188</v>
      </c>
      <c r="R22" s="35" t="s">
        <v>31</v>
      </c>
      <c r="S22" s="35"/>
      <c r="T22" s="35"/>
    </row>
    <row r="23" spans="1:20" ht="15.6" x14ac:dyDescent="0.3">
      <c r="A23" s="35" t="s">
        <v>19</v>
      </c>
      <c r="B23" s="41" t="s">
        <v>67</v>
      </c>
      <c r="C23" s="41" t="s">
        <v>68</v>
      </c>
      <c r="D23" s="41" t="s">
        <v>34</v>
      </c>
      <c r="E23" s="41" t="s">
        <v>47</v>
      </c>
      <c r="F23" s="41" t="s">
        <v>24</v>
      </c>
      <c r="G23" s="41" t="s">
        <v>69</v>
      </c>
      <c r="H23" s="41" t="s">
        <v>26</v>
      </c>
      <c r="I23" s="41" t="s">
        <v>64</v>
      </c>
      <c r="J23" s="41">
        <v>130</v>
      </c>
      <c r="K23" s="41" t="s">
        <v>28</v>
      </c>
      <c r="L23" s="41">
        <v>20</v>
      </c>
      <c r="M23" s="38">
        <v>62000</v>
      </c>
      <c r="N23" s="38">
        <f t="shared" si="1"/>
        <v>3100</v>
      </c>
      <c r="O23" s="35" t="s">
        <v>29</v>
      </c>
      <c r="P23" s="35" t="s">
        <v>30</v>
      </c>
      <c r="Q23" s="36">
        <v>46173</v>
      </c>
      <c r="R23" s="35" t="s">
        <v>31</v>
      </c>
      <c r="S23" s="35"/>
      <c r="T23" s="35"/>
    </row>
    <row r="24" spans="1:20" ht="15.6" x14ac:dyDescent="0.3">
      <c r="A24" s="35" t="s">
        <v>19</v>
      </c>
      <c r="B24" s="41" t="s">
        <v>67</v>
      </c>
      <c r="C24" s="41" t="s">
        <v>68</v>
      </c>
      <c r="D24" s="41" t="s">
        <v>34</v>
      </c>
      <c r="E24" s="41" t="s">
        <v>47</v>
      </c>
      <c r="F24" s="41" t="s">
        <v>24</v>
      </c>
      <c r="G24" s="41" t="s">
        <v>70</v>
      </c>
      <c r="H24" s="41" t="s">
        <v>26</v>
      </c>
      <c r="I24" s="41" t="s">
        <v>64</v>
      </c>
      <c r="J24" s="41">
        <v>130</v>
      </c>
      <c r="K24" s="41" t="s">
        <v>28</v>
      </c>
      <c r="L24" s="41">
        <v>3</v>
      </c>
      <c r="M24" s="38">
        <v>9300</v>
      </c>
      <c r="N24" s="38">
        <f t="shared" si="1"/>
        <v>3100</v>
      </c>
      <c r="O24" s="35" t="s">
        <v>29</v>
      </c>
      <c r="P24" s="35" t="s">
        <v>30</v>
      </c>
      <c r="Q24" s="36">
        <v>46173</v>
      </c>
      <c r="R24" s="35" t="s">
        <v>31</v>
      </c>
      <c r="S24" s="35"/>
      <c r="T24" s="35"/>
    </row>
    <row r="25" spans="1:20" ht="15.6" x14ac:dyDescent="0.3">
      <c r="A25" s="35" t="s">
        <v>19</v>
      </c>
      <c r="B25" s="41" t="s">
        <v>67</v>
      </c>
      <c r="C25" s="41" t="s">
        <v>68</v>
      </c>
      <c r="D25" s="41" t="s">
        <v>34</v>
      </c>
      <c r="E25" s="41" t="s">
        <v>47</v>
      </c>
      <c r="F25" s="41" t="s">
        <v>24</v>
      </c>
      <c r="G25" s="41" t="s">
        <v>71</v>
      </c>
      <c r="H25" s="41" t="s">
        <v>26</v>
      </c>
      <c r="I25" s="41" t="s">
        <v>64</v>
      </c>
      <c r="J25" s="41">
        <v>130</v>
      </c>
      <c r="K25" s="41" t="s">
        <v>28</v>
      </c>
      <c r="L25" s="41">
        <v>20</v>
      </c>
      <c r="M25" s="38">
        <v>272000</v>
      </c>
      <c r="N25" s="38">
        <f t="shared" si="1"/>
        <v>13600</v>
      </c>
      <c r="O25" s="35" t="s">
        <v>29</v>
      </c>
      <c r="P25" s="35" t="s">
        <v>30</v>
      </c>
      <c r="Q25" s="36">
        <v>46173</v>
      </c>
      <c r="R25" s="35" t="s">
        <v>31</v>
      </c>
      <c r="S25" s="35"/>
      <c r="T25" s="35"/>
    </row>
    <row r="26" spans="1:20" ht="15.6" x14ac:dyDescent="0.3">
      <c r="A26" s="35" t="s">
        <v>19</v>
      </c>
      <c r="B26" s="41" t="s">
        <v>72</v>
      </c>
      <c r="C26" s="41" t="s">
        <v>73</v>
      </c>
      <c r="D26" s="41" t="s">
        <v>74</v>
      </c>
      <c r="E26" s="41" t="s">
        <v>47</v>
      </c>
      <c r="F26" s="41" t="s">
        <v>58</v>
      </c>
      <c r="G26" s="41" t="s">
        <v>75</v>
      </c>
      <c r="H26" s="41" t="s">
        <v>26</v>
      </c>
      <c r="I26" s="41" t="s">
        <v>27</v>
      </c>
      <c r="J26" s="41">
        <v>400</v>
      </c>
      <c r="K26" s="41" t="s">
        <v>28</v>
      </c>
      <c r="L26" s="41">
        <v>10</v>
      </c>
      <c r="M26" s="38">
        <v>75900</v>
      </c>
      <c r="N26" s="38">
        <f t="shared" si="1"/>
        <v>7590</v>
      </c>
      <c r="O26" s="35" t="s">
        <v>29</v>
      </c>
      <c r="P26" s="35" t="s">
        <v>30</v>
      </c>
      <c r="Q26" s="36">
        <v>46028</v>
      </c>
      <c r="R26" s="35" t="s">
        <v>31</v>
      </c>
      <c r="S26" s="35"/>
      <c r="T26" s="35"/>
    </row>
    <row r="27" spans="1:20" ht="15.6" x14ac:dyDescent="0.3">
      <c r="A27" s="35" t="s">
        <v>19</v>
      </c>
      <c r="B27" s="35" t="s">
        <v>51</v>
      </c>
      <c r="C27" s="35" t="s">
        <v>52</v>
      </c>
      <c r="D27" s="35" t="s">
        <v>74</v>
      </c>
      <c r="E27" s="41" t="s">
        <v>47</v>
      </c>
      <c r="F27" s="35" t="s">
        <v>58</v>
      </c>
      <c r="G27" s="35" t="s">
        <v>55</v>
      </c>
      <c r="H27" s="35" t="s">
        <v>26</v>
      </c>
      <c r="I27" s="35" t="s">
        <v>27</v>
      </c>
      <c r="J27" s="35">
        <v>438</v>
      </c>
      <c r="K27" s="35" t="s">
        <v>7</v>
      </c>
      <c r="L27" s="35">
        <v>55</v>
      </c>
      <c r="M27" s="37">
        <v>0</v>
      </c>
      <c r="N27" s="38">
        <f t="shared" si="1"/>
        <v>0</v>
      </c>
      <c r="O27" s="35" t="s">
        <v>29</v>
      </c>
      <c r="P27" s="35" t="s">
        <v>30</v>
      </c>
      <c r="Q27" s="36">
        <v>46118</v>
      </c>
      <c r="R27" s="35" t="s">
        <v>31</v>
      </c>
      <c r="S27" s="35" t="s">
        <v>76</v>
      </c>
      <c r="T27" s="36">
        <v>46028</v>
      </c>
    </row>
    <row r="28" spans="1:20" ht="15.6" x14ac:dyDescent="0.3">
      <c r="A28" s="35" t="s">
        <v>19</v>
      </c>
      <c r="B28" s="41" t="s">
        <v>77</v>
      </c>
      <c r="C28" s="41" t="s">
        <v>78</v>
      </c>
      <c r="D28" s="41" t="s">
        <v>74</v>
      </c>
      <c r="E28" s="41" t="s">
        <v>35</v>
      </c>
      <c r="F28" s="41" t="s">
        <v>36</v>
      </c>
      <c r="G28" s="41" t="s">
        <v>79</v>
      </c>
      <c r="H28" s="41" t="s">
        <v>26</v>
      </c>
      <c r="I28" s="41" t="s">
        <v>64</v>
      </c>
      <c r="J28" s="41">
        <v>131</v>
      </c>
      <c r="K28" s="41" t="s">
        <v>28</v>
      </c>
      <c r="L28" s="41">
        <v>20</v>
      </c>
      <c r="M28" s="38">
        <v>260000</v>
      </c>
      <c r="N28" s="38">
        <f t="shared" si="1"/>
        <v>13000</v>
      </c>
      <c r="O28" s="35" t="s">
        <v>29</v>
      </c>
      <c r="P28" s="35" t="s">
        <v>30</v>
      </c>
      <c r="Q28" s="36">
        <v>46162</v>
      </c>
      <c r="R28" s="35" t="s">
        <v>31</v>
      </c>
      <c r="S28" s="35"/>
      <c r="T28" s="35"/>
    </row>
    <row r="29" spans="1:20" ht="15.6" x14ac:dyDescent="0.3">
      <c r="A29" s="35" t="s">
        <v>19</v>
      </c>
      <c r="B29" s="41" t="s">
        <v>77</v>
      </c>
      <c r="C29" s="41" t="s">
        <v>78</v>
      </c>
      <c r="D29" s="41" t="s">
        <v>74</v>
      </c>
      <c r="E29" s="41" t="s">
        <v>35</v>
      </c>
      <c r="F29" s="41" t="s">
        <v>36</v>
      </c>
      <c r="G29" s="41" t="s">
        <v>80</v>
      </c>
      <c r="H29" s="41" t="s">
        <v>26</v>
      </c>
      <c r="I29" s="41" t="s">
        <v>64</v>
      </c>
      <c r="J29" s="41">
        <v>131</v>
      </c>
      <c r="K29" s="41" t="s">
        <v>28</v>
      </c>
      <c r="L29" s="41">
        <v>5</v>
      </c>
      <c r="M29" s="38">
        <v>65000</v>
      </c>
      <c r="N29" s="38">
        <f t="shared" si="1"/>
        <v>13000</v>
      </c>
      <c r="O29" s="35" t="s">
        <v>29</v>
      </c>
      <c r="P29" s="35" t="s">
        <v>30</v>
      </c>
      <c r="Q29" s="36">
        <v>46162</v>
      </c>
      <c r="R29" s="35" t="s">
        <v>31</v>
      </c>
      <c r="S29" s="35"/>
      <c r="T29" s="35"/>
    </row>
    <row r="30" spans="1:20" ht="15.6" x14ac:dyDescent="0.3">
      <c r="A30" s="35" t="s">
        <v>19</v>
      </c>
      <c r="B30" s="41" t="s">
        <v>51</v>
      </c>
      <c r="C30" s="41" t="s">
        <v>52</v>
      </c>
      <c r="D30" s="41" t="s">
        <v>74</v>
      </c>
      <c r="E30" s="41" t="s">
        <v>47</v>
      </c>
      <c r="F30" s="41" t="s">
        <v>58</v>
      </c>
      <c r="G30" s="41" t="s">
        <v>55</v>
      </c>
      <c r="H30" s="41" t="s">
        <v>26</v>
      </c>
      <c r="I30" s="41" t="s">
        <v>64</v>
      </c>
      <c r="J30" s="41">
        <v>132</v>
      </c>
      <c r="K30" s="41" t="s">
        <v>7</v>
      </c>
      <c r="L30" s="41">
        <v>55</v>
      </c>
      <c r="M30" s="38">
        <v>1925000</v>
      </c>
      <c r="N30" s="38">
        <f t="shared" si="1"/>
        <v>35000</v>
      </c>
      <c r="O30" s="35" t="s">
        <v>29</v>
      </c>
      <c r="P30" s="35" t="s">
        <v>30</v>
      </c>
      <c r="Q30" s="36">
        <v>46118</v>
      </c>
      <c r="R30" s="35" t="s">
        <v>31</v>
      </c>
      <c r="S30" s="35"/>
      <c r="T30" s="35"/>
    </row>
    <row r="31" spans="1:20" ht="15.6" x14ac:dyDescent="0.3">
      <c r="A31" s="35" t="s">
        <v>19</v>
      </c>
      <c r="B31" s="35" t="s">
        <v>81</v>
      </c>
      <c r="C31" s="35" t="s">
        <v>82</v>
      </c>
      <c r="D31" s="35" t="s">
        <v>83</v>
      </c>
      <c r="E31" s="41" t="s">
        <v>23</v>
      </c>
      <c r="F31" s="35" t="s">
        <v>24</v>
      </c>
      <c r="G31" s="35" t="s">
        <v>84</v>
      </c>
      <c r="H31" s="35" t="s">
        <v>85</v>
      </c>
      <c r="I31" s="35" t="s">
        <v>27</v>
      </c>
      <c r="J31" s="35">
        <v>402</v>
      </c>
      <c r="K31" s="35" t="s">
        <v>7</v>
      </c>
      <c r="L31" s="35">
        <v>2</v>
      </c>
      <c r="M31" s="37">
        <v>0</v>
      </c>
      <c r="N31" s="38">
        <f t="shared" si="1"/>
        <v>0</v>
      </c>
      <c r="O31" s="35" t="s">
        <v>29</v>
      </c>
      <c r="P31" s="35" t="s">
        <v>30</v>
      </c>
      <c r="Q31" s="36">
        <v>46029</v>
      </c>
      <c r="R31" s="35" t="s">
        <v>31</v>
      </c>
      <c r="S31" s="35" t="s">
        <v>548</v>
      </c>
      <c r="T31" s="35"/>
    </row>
    <row r="32" spans="1:20" ht="15.6" x14ac:dyDescent="0.3">
      <c r="A32" s="35" t="s">
        <v>19</v>
      </c>
      <c r="B32" s="35" t="s">
        <v>86</v>
      </c>
      <c r="C32" s="35" t="s">
        <v>87</v>
      </c>
      <c r="D32" s="35" t="s">
        <v>83</v>
      </c>
      <c r="E32" s="41" t="s">
        <v>88</v>
      </c>
      <c r="F32" s="35" t="s">
        <v>89</v>
      </c>
      <c r="G32" s="35" t="s">
        <v>90</v>
      </c>
      <c r="H32" s="35" t="s">
        <v>26</v>
      </c>
      <c r="I32" s="35" t="s">
        <v>27</v>
      </c>
      <c r="J32" s="35">
        <v>403</v>
      </c>
      <c r="K32" s="35" t="s">
        <v>28</v>
      </c>
      <c r="L32" s="35">
        <v>120</v>
      </c>
      <c r="M32" s="37">
        <v>876000</v>
      </c>
      <c r="N32" s="38">
        <f t="shared" si="1"/>
        <v>7300</v>
      </c>
      <c r="O32" s="35" t="s">
        <v>29</v>
      </c>
      <c r="P32" s="35" t="s">
        <v>30</v>
      </c>
      <c r="Q32" s="36">
        <v>46089</v>
      </c>
      <c r="R32" s="35" t="s">
        <v>31</v>
      </c>
      <c r="S32" s="35" t="s">
        <v>91</v>
      </c>
      <c r="T32" s="35"/>
    </row>
    <row r="33" spans="1:20" ht="15.6" x14ac:dyDescent="0.3">
      <c r="A33" s="35" t="s">
        <v>19</v>
      </c>
      <c r="B33" s="35" t="s">
        <v>86</v>
      </c>
      <c r="C33" s="35" t="s">
        <v>87</v>
      </c>
      <c r="D33" s="35" t="s">
        <v>83</v>
      </c>
      <c r="E33" s="41" t="s">
        <v>88</v>
      </c>
      <c r="F33" s="35" t="s">
        <v>89</v>
      </c>
      <c r="G33" s="35" t="s">
        <v>92</v>
      </c>
      <c r="H33" s="35" t="s">
        <v>26</v>
      </c>
      <c r="I33" s="35" t="s">
        <v>27</v>
      </c>
      <c r="J33" s="35">
        <v>403</v>
      </c>
      <c r="K33" s="35" t="s">
        <v>28</v>
      </c>
      <c r="L33" s="35">
        <v>120</v>
      </c>
      <c r="M33" s="37">
        <v>564000</v>
      </c>
      <c r="N33" s="38">
        <f t="shared" si="1"/>
        <v>4700</v>
      </c>
      <c r="O33" s="35" t="s">
        <v>29</v>
      </c>
      <c r="P33" s="35" t="s">
        <v>30</v>
      </c>
      <c r="Q33" s="36">
        <v>46089</v>
      </c>
      <c r="R33" s="35" t="s">
        <v>31</v>
      </c>
      <c r="S33" s="35" t="s">
        <v>91</v>
      </c>
      <c r="T33" s="35"/>
    </row>
    <row r="34" spans="1:20" ht="15.6" x14ac:dyDescent="0.3">
      <c r="A34" s="35" t="s">
        <v>19</v>
      </c>
      <c r="B34" s="35" t="s">
        <v>86</v>
      </c>
      <c r="C34" s="35" t="s">
        <v>87</v>
      </c>
      <c r="D34" s="35" t="s">
        <v>83</v>
      </c>
      <c r="E34" s="41" t="s">
        <v>88</v>
      </c>
      <c r="F34" s="35" t="s">
        <v>89</v>
      </c>
      <c r="G34" s="35" t="s">
        <v>93</v>
      </c>
      <c r="H34" s="35" t="s">
        <v>26</v>
      </c>
      <c r="I34" s="35" t="s">
        <v>27</v>
      </c>
      <c r="J34" s="35">
        <v>403</v>
      </c>
      <c r="K34" s="35" t="s">
        <v>28</v>
      </c>
      <c r="L34" s="35">
        <v>120</v>
      </c>
      <c r="M34" s="37">
        <v>624000</v>
      </c>
      <c r="N34" s="38">
        <f t="shared" si="1"/>
        <v>5200</v>
      </c>
      <c r="O34" s="35" t="s">
        <v>29</v>
      </c>
      <c r="P34" s="35" t="s">
        <v>30</v>
      </c>
      <c r="Q34" s="36">
        <v>46089</v>
      </c>
      <c r="R34" s="35" t="s">
        <v>31</v>
      </c>
      <c r="S34" s="35" t="s">
        <v>91</v>
      </c>
      <c r="T34" s="35"/>
    </row>
    <row r="35" spans="1:20" ht="15.6" x14ac:dyDescent="0.3">
      <c r="A35" s="35" t="s">
        <v>19</v>
      </c>
      <c r="B35" s="35" t="s">
        <v>94</v>
      </c>
      <c r="C35" s="35" t="s">
        <v>95</v>
      </c>
      <c r="D35" s="35" t="s">
        <v>83</v>
      </c>
      <c r="E35" s="41" t="s">
        <v>40</v>
      </c>
      <c r="F35" s="35" t="s">
        <v>36</v>
      </c>
      <c r="G35" s="35" t="s">
        <v>79</v>
      </c>
      <c r="H35" s="35" t="s">
        <v>26</v>
      </c>
      <c r="I35" s="35" t="s">
        <v>27</v>
      </c>
      <c r="J35" s="35">
        <v>404</v>
      </c>
      <c r="K35" s="35" t="s">
        <v>28</v>
      </c>
      <c r="L35" s="35">
        <v>20</v>
      </c>
      <c r="M35" s="37">
        <v>0</v>
      </c>
      <c r="N35" s="38">
        <f t="shared" si="1"/>
        <v>0</v>
      </c>
      <c r="O35" s="35" t="s">
        <v>29</v>
      </c>
      <c r="P35" s="35" t="s">
        <v>30</v>
      </c>
      <c r="Q35" s="36">
        <v>46037</v>
      </c>
      <c r="R35" s="35" t="s">
        <v>31</v>
      </c>
      <c r="S35" s="35" t="s">
        <v>96</v>
      </c>
      <c r="T35" s="36">
        <v>46007</v>
      </c>
    </row>
    <row r="36" spans="1:20" ht="15.6" x14ac:dyDescent="0.3">
      <c r="A36" s="35" t="s">
        <v>19</v>
      </c>
      <c r="B36" s="35" t="s">
        <v>97</v>
      </c>
      <c r="C36" s="35" t="s">
        <v>98</v>
      </c>
      <c r="D36" s="35" t="s">
        <v>83</v>
      </c>
      <c r="E36" s="41" t="s">
        <v>47</v>
      </c>
      <c r="F36" s="35" t="s">
        <v>36</v>
      </c>
      <c r="G36" s="35" t="s">
        <v>99</v>
      </c>
      <c r="H36" s="35" t="s">
        <v>26</v>
      </c>
      <c r="I36" s="35" t="s">
        <v>27</v>
      </c>
      <c r="J36" s="35">
        <v>405</v>
      </c>
      <c r="K36" s="35" t="s">
        <v>28</v>
      </c>
      <c r="L36" s="35">
        <v>40</v>
      </c>
      <c r="M36" s="37">
        <v>0</v>
      </c>
      <c r="N36" s="38">
        <f t="shared" si="1"/>
        <v>0</v>
      </c>
      <c r="O36" s="35" t="s">
        <v>29</v>
      </c>
      <c r="P36" s="35" t="s">
        <v>30</v>
      </c>
      <c r="Q36" s="36">
        <v>46031</v>
      </c>
      <c r="R36" s="35" t="s">
        <v>31</v>
      </c>
      <c r="S36" s="35"/>
      <c r="T36" s="35"/>
    </row>
    <row r="37" spans="1:20" ht="15.6" x14ac:dyDescent="0.3">
      <c r="A37" s="35" t="s">
        <v>19</v>
      </c>
      <c r="B37" s="35" t="s">
        <v>97</v>
      </c>
      <c r="C37" s="35" t="s">
        <v>98</v>
      </c>
      <c r="D37" s="35" t="s">
        <v>83</v>
      </c>
      <c r="E37" s="41" t="s">
        <v>47</v>
      </c>
      <c r="F37" s="35" t="s">
        <v>36</v>
      </c>
      <c r="G37" s="35" t="s">
        <v>100</v>
      </c>
      <c r="H37" s="35" t="s">
        <v>26</v>
      </c>
      <c r="I37" s="35" t="s">
        <v>27</v>
      </c>
      <c r="J37" s="35">
        <v>405</v>
      </c>
      <c r="K37" s="35" t="s">
        <v>28</v>
      </c>
      <c r="L37" s="35">
        <v>40</v>
      </c>
      <c r="M37" s="37">
        <v>0</v>
      </c>
      <c r="N37" s="38">
        <f t="shared" si="1"/>
        <v>0</v>
      </c>
      <c r="O37" s="35" t="s">
        <v>29</v>
      </c>
      <c r="P37" s="35" t="s">
        <v>30</v>
      </c>
      <c r="Q37" s="36">
        <v>46031</v>
      </c>
      <c r="R37" s="35" t="s">
        <v>31</v>
      </c>
      <c r="S37" s="35"/>
      <c r="T37" s="35"/>
    </row>
    <row r="38" spans="1:20" ht="15.6" x14ac:dyDescent="0.3">
      <c r="A38" s="35" t="s">
        <v>19</v>
      </c>
      <c r="B38" s="35" t="s">
        <v>97</v>
      </c>
      <c r="C38" s="35" t="s">
        <v>98</v>
      </c>
      <c r="D38" s="35" t="s">
        <v>83</v>
      </c>
      <c r="E38" s="41" t="s">
        <v>47</v>
      </c>
      <c r="F38" s="35" t="s">
        <v>36</v>
      </c>
      <c r="G38" s="35" t="s">
        <v>101</v>
      </c>
      <c r="H38" s="35" t="s">
        <v>26</v>
      </c>
      <c r="I38" s="35" t="s">
        <v>27</v>
      </c>
      <c r="J38" s="35">
        <v>405</v>
      </c>
      <c r="K38" s="35" t="s">
        <v>28</v>
      </c>
      <c r="L38" s="35">
        <v>20</v>
      </c>
      <c r="M38" s="37">
        <v>0</v>
      </c>
      <c r="N38" s="38">
        <f t="shared" si="1"/>
        <v>0</v>
      </c>
      <c r="O38" s="35" t="s">
        <v>29</v>
      </c>
      <c r="P38" s="35" t="s">
        <v>30</v>
      </c>
      <c r="Q38" s="36">
        <v>46031</v>
      </c>
      <c r="R38" s="35" t="s">
        <v>31</v>
      </c>
      <c r="S38" s="35"/>
      <c r="T38" s="35"/>
    </row>
    <row r="39" spans="1:20" ht="15.6" x14ac:dyDescent="0.3">
      <c r="A39" s="35" t="s">
        <v>19</v>
      </c>
      <c r="B39" s="35" t="s">
        <v>97</v>
      </c>
      <c r="C39" s="35" t="s">
        <v>98</v>
      </c>
      <c r="D39" s="35" t="s">
        <v>83</v>
      </c>
      <c r="E39" s="41" t="s">
        <v>47</v>
      </c>
      <c r="F39" s="35" t="s">
        <v>36</v>
      </c>
      <c r="G39" s="35" t="s">
        <v>102</v>
      </c>
      <c r="H39" s="35" t="s">
        <v>26</v>
      </c>
      <c r="I39" s="35" t="s">
        <v>27</v>
      </c>
      <c r="J39" s="35">
        <v>405</v>
      </c>
      <c r="K39" s="35" t="s">
        <v>7</v>
      </c>
      <c r="L39" s="35">
        <v>8</v>
      </c>
      <c r="M39" s="37">
        <v>0</v>
      </c>
      <c r="N39" s="38">
        <f t="shared" si="1"/>
        <v>0</v>
      </c>
      <c r="O39" s="35" t="s">
        <v>29</v>
      </c>
      <c r="P39" s="35" t="s">
        <v>30</v>
      </c>
      <c r="Q39" s="36">
        <f>--Q40</f>
        <v>46031</v>
      </c>
      <c r="R39" s="35" t="s">
        <v>31</v>
      </c>
      <c r="S39" s="35"/>
      <c r="T39" s="35"/>
    </row>
    <row r="40" spans="1:20" ht="15.6" x14ac:dyDescent="0.3">
      <c r="A40" s="35" t="s">
        <v>19</v>
      </c>
      <c r="B40" s="35" t="s">
        <v>97</v>
      </c>
      <c r="C40" s="35" t="s">
        <v>98</v>
      </c>
      <c r="D40" s="35" t="s">
        <v>83</v>
      </c>
      <c r="E40" s="41" t="s">
        <v>47</v>
      </c>
      <c r="F40" s="35" t="s">
        <v>36</v>
      </c>
      <c r="G40" s="35" t="s">
        <v>103</v>
      </c>
      <c r="H40" s="35" t="s">
        <v>26</v>
      </c>
      <c r="I40" s="35" t="s">
        <v>27</v>
      </c>
      <c r="J40" s="35">
        <v>405</v>
      </c>
      <c r="K40" s="35" t="s">
        <v>28</v>
      </c>
      <c r="L40" s="35">
        <v>5</v>
      </c>
      <c r="M40" s="37">
        <v>0</v>
      </c>
      <c r="N40" s="38">
        <f t="shared" si="1"/>
        <v>0</v>
      </c>
      <c r="O40" s="35" t="s">
        <v>29</v>
      </c>
      <c r="P40" s="35" t="s">
        <v>30</v>
      </c>
      <c r="Q40" s="36">
        <v>46031</v>
      </c>
      <c r="R40" s="35" t="s">
        <v>31</v>
      </c>
      <c r="S40" s="35"/>
      <c r="T40" s="35"/>
    </row>
    <row r="41" spans="1:20" ht="15.6" x14ac:dyDescent="0.3">
      <c r="A41" s="35" t="s">
        <v>19</v>
      </c>
      <c r="B41" s="41" t="s">
        <v>104</v>
      </c>
      <c r="C41" s="41" t="s">
        <v>105</v>
      </c>
      <c r="D41" s="41" t="s">
        <v>83</v>
      </c>
      <c r="E41" s="41" t="s">
        <v>47</v>
      </c>
      <c r="F41" s="41" t="s">
        <v>58</v>
      </c>
      <c r="G41" s="41" t="s">
        <v>106</v>
      </c>
      <c r="H41" s="41" t="s">
        <v>26</v>
      </c>
      <c r="I41" s="41" t="s">
        <v>64</v>
      </c>
      <c r="J41" s="41">
        <v>133</v>
      </c>
      <c r="K41" s="41" t="s">
        <v>28</v>
      </c>
      <c r="L41" s="41">
        <v>5</v>
      </c>
      <c r="M41" s="38">
        <v>49750</v>
      </c>
      <c r="N41" s="38">
        <f t="shared" si="1"/>
        <v>9950</v>
      </c>
      <c r="O41" s="35" t="s">
        <v>29</v>
      </c>
      <c r="P41" s="35" t="s">
        <v>30</v>
      </c>
      <c r="Q41" s="36">
        <v>46059</v>
      </c>
      <c r="R41" s="35" t="s">
        <v>31</v>
      </c>
      <c r="S41" s="35"/>
      <c r="T41" s="35"/>
    </row>
    <row r="42" spans="1:20" ht="15.6" x14ac:dyDescent="0.3">
      <c r="A42" s="35" t="s">
        <v>19</v>
      </c>
      <c r="B42" s="41" t="s">
        <v>104</v>
      </c>
      <c r="C42" s="41" t="s">
        <v>105</v>
      </c>
      <c r="D42" s="41" t="s">
        <v>83</v>
      </c>
      <c r="E42" s="41" t="s">
        <v>47</v>
      </c>
      <c r="F42" s="41" t="s">
        <v>58</v>
      </c>
      <c r="G42" s="41" t="s">
        <v>107</v>
      </c>
      <c r="H42" s="41" t="s">
        <v>26</v>
      </c>
      <c r="I42" s="41" t="s">
        <v>64</v>
      </c>
      <c r="J42" s="41">
        <v>133</v>
      </c>
      <c r="K42" s="41" t="s">
        <v>7</v>
      </c>
      <c r="L42" s="41">
        <v>1</v>
      </c>
      <c r="M42" s="38">
        <v>35000</v>
      </c>
      <c r="N42" s="38">
        <f t="shared" si="1"/>
        <v>35000</v>
      </c>
      <c r="O42" s="35" t="s">
        <v>29</v>
      </c>
      <c r="P42" s="35" t="s">
        <v>30</v>
      </c>
      <c r="Q42" s="36">
        <v>46059</v>
      </c>
      <c r="R42" s="35" t="s">
        <v>31</v>
      </c>
      <c r="S42" s="35"/>
      <c r="T42" s="35"/>
    </row>
    <row r="43" spans="1:20" ht="15.6" x14ac:dyDescent="0.3">
      <c r="A43" s="35" t="s">
        <v>19</v>
      </c>
      <c r="B43" s="41" t="s">
        <v>108</v>
      </c>
      <c r="C43" s="41" t="s">
        <v>109</v>
      </c>
      <c r="D43" s="41" t="s">
        <v>83</v>
      </c>
      <c r="E43" s="41" t="s">
        <v>47</v>
      </c>
      <c r="F43" s="41" t="s">
        <v>58</v>
      </c>
      <c r="G43" s="41" t="s">
        <v>110</v>
      </c>
      <c r="H43" s="41" t="s">
        <v>26</v>
      </c>
      <c r="I43" s="41" t="s">
        <v>64</v>
      </c>
      <c r="J43" s="41">
        <v>134</v>
      </c>
      <c r="K43" s="41" t="s">
        <v>28</v>
      </c>
      <c r="L43" s="41">
        <v>5</v>
      </c>
      <c r="M43" s="38">
        <v>20000</v>
      </c>
      <c r="N43" s="38">
        <f t="shared" si="1"/>
        <v>4000</v>
      </c>
      <c r="O43" s="35" t="s">
        <v>29</v>
      </c>
      <c r="P43" s="35" t="s">
        <v>30</v>
      </c>
      <c r="Q43" s="36">
        <v>46087</v>
      </c>
      <c r="R43" s="35" t="s">
        <v>31</v>
      </c>
      <c r="S43" s="35"/>
      <c r="T43" s="35"/>
    </row>
    <row r="44" spans="1:20" ht="15.6" x14ac:dyDescent="0.3">
      <c r="A44" s="35" t="s">
        <v>19</v>
      </c>
      <c r="B44" s="41" t="s">
        <v>108</v>
      </c>
      <c r="C44" s="41" t="s">
        <v>109</v>
      </c>
      <c r="D44" s="41" t="s">
        <v>83</v>
      </c>
      <c r="E44" s="41" t="s">
        <v>47</v>
      </c>
      <c r="F44" s="41" t="s">
        <v>58</v>
      </c>
      <c r="G44" s="41" t="s">
        <v>111</v>
      </c>
      <c r="H44" s="41" t="s">
        <v>26</v>
      </c>
      <c r="I44" s="41" t="s">
        <v>64</v>
      </c>
      <c r="J44" s="41">
        <v>134</v>
      </c>
      <c r="K44" s="41" t="s">
        <v>28</v>
      </c>
      <c r="L44" s="41">
        <v>5</v>
      </c>
      <c r="M44" s="38">
        <v>20000</v>
      </c>
      <c r="N44" s="38">
        <f t="shared" si="1"/>
        <v>4000</v>
      </c>
      <c r="O44" s="35" t="s">
        <v>29</v>
      </c>
      <c r="P44" s="35" t="s">
        <v>30</v>
      </c>
      <c r="Q44" s="36">
        <v>46087</v>
      </c>
      <c r="R44" s="35" t="s">
        <v>31</v>
      </c>
      <c r="S44" s="35"/>
      <c r="T44" s="35"/>
    </row>
    <row r="45" spans="1:20" ht="15.6" x14ac:dyDescent="0.3">
      <c r="A45" s="35" t="s">
        <v>19</v>
      </c>
      <c r="B45" s="41" t="s">
        <v>112</v>
      </c>
      <c r="C45" s="41" t="s">
        <v>113</v>
      </c>
      <c r="D45" s="41" t="s">
        <v>83</v>
      </c>
      <c r="E45" s="41" t="s">
        <v>88</v>
      </c>
      <c r="F45" s="41" t="s">
        <v>89</v>
      </c>
      <c r="G45" s="41" t="s">
        <v>93</v>
      </c>
      <c r="H45" s="41" t="s">
        <v>26</v>
      </c>
      <c r="I45" s="41" t="s">
        <v>64</v>
      </c>
      <c r="J45" s="41">
        <v>135</v>
      </c>
      <c r="K45" s="41" t="s">
        <v>28</v>
      </c>
      <c r="L45" s="41">
        <v>60</v>
      </c>
      <c r="M45" s="38">
        <v>312000</v>
      </c>
      <c r="N45" s="38">
        <f t="shared" si="1"/>
        <v>5200</v>
      </c>
      <c r="O45" s="35" t="s">
        <v>29</v>
      </c>
      <c r="P45" s="35" t="s">
        <v>30</v>
      </c>
      <c r="Q45" s="36">
        <v>46172</v>
      </c>
      <c r="R45" s="35" t="s">
        <v>31</v>
      </c>
      <c r="S45" s="35"/>
      <c r="T45" s="35"/>
    </row>
    <row r="46" spans="1:20" ht="15.6" x14ac:dyDescent="0.3">
      <c r="A46" s="35" t="s">
        <v>19</v>
      </c>
      <c r="B46" s="41" t="s">
        <v>112</v>
      </c>
      <c r="C46" s="41" t="s">
        <v>113</v>
      </c>
      <c r="D46" s="41" t="s">
        <v>83</v>
      </c>
      <c r="E46" s="41" t="s">
        <v>88</v>
      </c>
      <c r="F46" s="41" t="s">
        <v>89</v>
      </c>
      <c r="G46" s="41" t="s">
        <v>90</v>
      </c>
      <c r="H46" s="41" t="s">
        <v>26</v>
      </c>
      <c r="I46" s="41" t="s">
        <v>64</v>
      </c>
      <c r="J46" s="41">
        <v>135</v>
      </c>
      <c r="K46" s="41" t="s">
        <v>28</v>
      </c>
      <c r="L46" s="41">
        <v>40</v>
      </c>
      <c r="M46" s="38">
        <v>292000</v>
      </c>
      <c r="N46" s="38">
        <f t="shared" si="1"/>
        <v>7300</v>
      </c>
      <c r="O46" s="35" t="s">
        <v>29</v>
      </c>
      <c r="P46" s="35" t="s">
        <v>30</v>
      </c>
      <c r="Q46" s="36">
        <v>46172</v>
      </c>
      <c r="R46" s="35" t="s">
        <v>31</v>
      </c>
      <c r="S46" s="35"/>
      <c r="T46" s="35"/>
    </row>
    <row r="47" spans="1:20" ht="15.6" x14ac:dyDescent="0.3">
      <c r="A47" s="35" t="s">
        <v>19</v>
      </c>
      <c r="B47" s="41" t="s">
        <v>112</v>
      </c>
      <c r="C47" s="41" t="s">
        <v>113</v>
      </c>
      <c r="D47" s="41" t="s">
        <v>83</v>
      </c>
      <c r="E47" s="41" t="s">
        <v>88</v>
      </c>
      <c r="F47" s="41" t="s">
        <v>89</v>
      </c>
      <c r="G47" s="41" t="s">
        <v>92</v>
      </c>
      <c r="H47" s="41" t="s">
        <v>26</v>
      </c>
      <c r="I47" s="41" t="s">
        <v>64</v>
      </c>
      <c r="J47" s="41">
        <v>135</v>
      </c>
      <c r="K47" s="41" t="s">
        <v>28</v>
      </c>
      <c r="L47" s="41">
        <v>40</v>
      </c>
      <c r="M47" s="38">
        <v>188000</v>
      </c>
      <c r="N47" s="38">
        <f t="shared" si="1"/>
        <v>4700</v>
      </c>
      <c r="O47" s="35" t="s">
        <v>29</v>
      </c>
      <c r="P47" s="35" t="s">
        <v>30</v>
      </c>
      <c r="Q47" s="36">
        <v>46172</v>
      </c>
      <c r="R47" s="35" t="s">
        <v>31</v>
      </c>
      <c r="S47" s="35"/>
      <c r="T47" s="35"/>
    </row>
    <row r="48" spans="1:20" ht="15.6" x14ac:dyDescent="0.3">
      <c r="A48" s="35" t="s">
        <v>19</v>
      </c>
      <c r="B48" s="41" t="s">
        <v>112</v>
      </c>
      <c r="C48" s="41" t="s">
        <v>113</v>
      </c>
      <c r="D48" s="41" t="s">
        <v>83</v>
      </c>
      <c r="E48" s="41" t="s">
        <v>88</v>
      </c>
      <c r="F48" s="41" t="s">
        <v>89</v>
      </c>
      <c r="G48" s="41" t="s">
        <v>114</v>
      </c>
      <c r="H48" s="41" t="s">
        <v>26</v>
      </c>
      <c r="I48" s="41" t="s">
        <v>64</v>
      </c>
      <c r="J48" s="41">
        <v>135</v>
      </c>
      <c r="K48" s="41" t="s">
        <v>28</v>
      </c>
      <c r="L48" s="41">
        <v>300</v>
      </c>
      <c r="M48" s="38">
        <v>2670000</v>
      </c>
      <c r="N48" s="38">
        <f t="shared" si="1"/>
        <v>8900</v>
      </c>
      <c r="O48" s="35" t="s">
        <v>29</v>
      </c>
      <c r="P48" s="35" t="s">
        <v>30</v>
      </c>
      <c r="Q48" s="36">
        <v>46172</v>
      </c>
      <c r="R48" s="35" t="s">
        <v>31</v>
      </c>
      <c r="S48" s="35"/>
      <c r="T48" s="35"/>
    </row>
    <row r="49" spans="1:20" ht="15.6" x14ac:dyDescent="0.3">
      <c r="A49" s="35" t="s">
        <v>19</v>
      </c>
      <c r="B49" s="41" t="s">
        <v>112</v>
      </c>
      <c r="C49" s="41" t="s">
        <v>113</v>
      </c>
      <c r="D49" s="41" t="s">
        <v>83</v>
      </c>
      <c r="E49" s="41" t="s">
        <v>88</v>
      </c>
      <c r="F49" s="41" t="s">
        <v>89</v>
      </c>
      <c r="G49" s="41" t="s">
        <v>115</v>
      </c>
      <c r="H49" s="41" t="s">
        <v>26</v>
      </c>
      <c r="I49" s="41" t="s">
        <v>64</v>
      </c>
      <c r="J49" s="41">
        <v>135</v>
      </c>
      <c r="K49" s="41" t="s">
        <v>7</v>
      </c>
      <c r="L49" s="41">
        <v>15</v>
      </c>
      <c r="M49" s="38">
        <v>420000</v>
      </c>
      <c r="N49" s="38">
        <f t="shared" si="1"/>
        <v>28000</v>
      </c>
      <c r="O49" s="35" t="s">
        <v>29</v>
      </c>
      <c r="P49" s="35" t="s">
        <v>30</v>
      </c>
      <c r="Q49" s="36">
        <v>46172</v>
      </c>
      <c r="R49" s="35" t="s">
        <v>31</v>
      </c>
      <c r="S49" s="35"/>
      <c r="T49" s="35"/>
    </row>
    <row r="50" spans="1:20" ht="15.6" x14ac:dyDescent="0.3">
      <c r="A50" s="35" t="s">
        <v>19</v>
      </c>
      <c r="B50" s="41" t="s">
        <v>116</v>
      </c>
      <c r="C50" s="41" t="s">
        <v>117</v>
      </c>
      <c r="D50" s="41" t="s">
        <v>83</v>
      </c>
      <c r="E50" s="41" t="s">
        <v>88</v>
      </c>
      <c r="F50" s="41" t="s">
        <v>89</v>
      </c>
      <c r="G50" s="41" t="s">
        <v>90</v>
      </c>
      <c r="H50" s="41" t="s">
        <v>26</v>
      </c>
      <c r="I50" s="41" t="s">
        <v>64</v>
      </c>
      <c r="J50" s="41">
        <v>136</v>
      </c>
      <c r="K50" s="41" t="s">
        <v>28</v>
      </c>
      <c r="L50" s="41">
        <v>20</v>
      </c>
      <c r="M50" s="38">
        <v>146000</v>
      </c>
      <c r="N50" s="38">
        <f t="shared" si="1"/>
        <v>7300</v>
      </c>
      <c r="O50" s="35" t="s">
        <v>29</v>
      </c>
      <c r="P50" s="35" t="s">
        <v>30</v>
      </c>
      <c r="Q50" s="36">
        <v>46172</v>
      </c>
      <c r="R50" s="35" t="s">
        <v>31</v>
      </c>
      <c r="S50" s="35"/>
      <c r="T50" s="35"/>
    </row>
    <row r="51" spans="1:20" ht="15.6" x14ac:dyDescent="0.3">
      <c r="A51" s="35" t="s">
        <v>19</v>
      </c>
      <c r="B51" s="41" t="s">
        <v>116</v>
      </c>
      <c r="C51" s="41" t="s">
        <v>117</v>
      </c>
      <c r="D51" s="41" t="s">
        <v>83</v>
      </c>
      <c r="E51" s="41" t="s">
        <v>88</v>
      </c>
      <c r="F51" s="41" t="s">
        <v>89</v>
      </c>
      <c r="G51" s="41" t="s">
        <v>118</v>
      </c>
      <c r="H51" s="41" t="s">
        <v>26</v>
      </c>
      <c r="I51" s="41" t="s">
        <v>64</v>
      </c>
      <c r="J51" s="41">
        <v>136</v>
      </c>
      <c r="K51" s="41" t="s">
        <v>28</v>
      </c>
      <c r="L51" s="41">
        <v>20</v>
      </c>
      <c r="M51" s="38">
        <v>94000</v>
      </c>
      <c r="N51" s="38">
        <f t="shared" si="1"/>
        <v>4700</v>
      </c>
      <c r="O51" s="35" t="s">
        <v>29</v>
      </c>
      <c r="P51" s="35" t="s">
        <v>30</v>
      </c>
      <c r="Q51" s="36">
        <v>46172</v>
      </c>
      <c r="R51" s="35" t="s">
        <v>31</v>
      </c>
      <c r="S51" s="35"/>
      <c r="T51" s="35"/>
    </row>
    <row r="52" spans="1:20" ht="15.6" x14ac:dyDescent="0.3">
      <c r="A52" s="35" t="s">
        <v>19</v>
      </c>
      <c r="B52" s="41" t="s">
        <v>119</v>
      </c>
      <c r="C52" s="41" t="s">
        <v>120</v>
      </c>
      <c r="D52" s="41" t="s">
        <v>121</v>
      </c>
      <c r="E52" s="41" t="s">
        <v>47</v>
      </c>
      <c r="F52" s="41" t="s">
        <v>54</v>
      </c>
      <c r="G52" s="41" t="s">
        <v>122</v>
      </c>
      <c r="H52" s="41" t="s">
        <v>26</v>
      </c>
      <c r="I52" s="41" t="s">
        <v>27</v>
      </c>
      <c r="J52" s="41">
        <v>406</v>
      </c>
      <c r="K52" s="41" t="s">
        <v>123</v>
      </c>
      <c r="L52" s="41">
        <v>20</v>
      </c>
      <c r="M52" s="38">
        <v>0</v>
      </c>
      <c r="N52" s="38">
        <f t="shared" si="1"/>
        <v>0</v>
      </c>
      <c r="O52" s="35" t="s">
        <v>29</v>
      </c>
      <c r="P52" s="35" t="s">
        <v>30</v>
      </c>
      <c r="Q52" s="36">
        <v>46032</v>
      </c>
      <c r="R52" s="35" t="s">
        <v>31</v>
      </c>
      <c r="S52" s="35" t="s">
        <v>124</v>
      </c>
      <c r="T52" s="36">
        <v>45894</v>
      </c>
    </row>
    <row r="53" spans="1:20" ht="15.6" x14ac:dyDescent="0.3">
      <c r="A53" s="35" t="s">
        <v>19</v>
      </c>
      <c r="B53" s="41" t="s">
        <v>119</v>
      </c>
      <c r="C53" s="41" t="s">
        <v>120</v>
      </c>
      <c r="D53" s="41" t="s">
        <v>121</v>
      </c>
      <c r="E53" s="41" t="s">
        <v>47</v>
      </c>
      <c r="F53" s="41" t="s">
        <v>54</v>
      </c>
      <c r="G53" s="41" t="s">
        <v>125</v>
      </c>
      <c r="H53" s="41" t="s">
        <v>26</v>
      </c>
      <c r="I53" s="41" t="s">
        <v>27</v>
      </c>
      <c r="J53" s="41">
        <v>407</v>
      </c>
      <c r="K53" s="41" t="s">
        <v>28</v>
      </c>
      <c r="L53" s="41">
        <v>5</v>
      </c>
      <c r="M53" s="38">
        <v>0</v>
      </c>
      <c r="N53" s="38">
        <f t="shared" si="1"/>
        <v>0</v>
      </c>
      <c r="O53" s="35" t="s">
        <v>29</v>
      </c>
      <c r="P53" s="35" t="s">
        <v>30</v>
      </c>
      <c r="Q53" s="36">
        <v>46032</v>
      </c>
      <c r="R53" s="35" t="s">
        <v>31</v>
      </c>
      <c r="S53" s="35" t="s">
        <v>126</v>
      </c>
      <c r="T53" s="36">
        <v>45931</v>
      </c>
    </row>
    <row r="54" spans="1:20" ht="15.6" x14ac:dyDescent="0.3">
      <c r="A54" s="35" t="s">
        <v>19</v>
      </c>
      <c r="B54" s="41" t="s">
        <v>119</v>
      </c>
      <c r="C54" s="41" t="s">
        <v>120</v>
      </c>
      <c r="D54" s="41" t="s">
        <v>121</v>
      </c>
      <c r="E54" s="41" t="s">
        <v>47</v>
      </c>
      <c r="F54" s="41" t="s">
        <v>54</v>
      </c>
      <c r="G54" s="41" t="s">
        <v>127</v>
      </c>
      <c r="H54" s="41" t="s">
        <v>26</v>
      </c>
      <c r="I54" s="41" t="s">
        <v>27</v>
      </c>
      <c r="J54" s="41">
        <v>407</v>
      </c>
      <c r="K54" s="41" t="s">
        <v>28</v>
      </c>
      <c r="L54" s="41">
        <v>3</v>
      </c>
      <c r="M54" s="38">
        <v>0</v>
      </c>
      <c r="N54" s="38">
        <f t="shared" si="1"/>
        <v>0</v>
      </c>
      <c r="O54" s="35" t="s">
        <v>29</v>
      </c>
      <c r="P54" s="35" t="s">
        <v>30</v>
      </c>
      <c r="Q54" s="36">
        <v>46032</v>
      </c>
      <c r="R54" s="35" t="s">
        <v>31</v>
      </c>
      <c r="S54" s="35" t="s">
        <v>126</v>
      </c>
      <c r="T54" s="36">
        <v>45931</v>
      </c>
    </row>
    <row r="55" spans="1:20" ht="15.6" x14ac:dyDescent="0.3">
      <c r="A55" s="35" t="s">
        <v>19</v>
      </c>
      <c r="B55" s="41" t="s">
        <v>119</v>
      </c>
      <c r="C55" s="41" t="s">
        <v>120</v>
      </c>
      <c r="D55" s="41" t="s">
        <v>121</v>
      </c>
      <c r="E55" s="41" t="s">
        <v>47</v>
      </c>
      <c r="F55" s="41" t="s">
        <v>54</v>
      </c>
      <c r="G55" s="41" t="s">
        <v>128</v>
      </c>
      <c r="H55" s="41" t="s">
        <v>26</v>
      </c>
      <c r="I55" s="41" t="s">
        <v>27</v>
      </c>
      <c r="J55" s="41">
        <v>408</v>
      </c>
      <c r="K55" s="41" t="s">
        <v>28</v>
      </c>
      <c r="L55" s="41">
        <v>10</v>
      </c>
      <c r="M55" s="38">
        <v>0</v>
      </c>
      <c r="N55" s="38">
        <f t="shared" si="1"/>
        <v>0</v>
      </c>
      <c r="O55" s="35" t="s">
        <v>29</v>
      </c>
      <c r="P55" s="35" t="s">
        <v>30</v>
      </c>
      <c r="Q55" s="36">
        <v>46045</v>
      </c>
      <c r="R55" s="35" t="s">
        <v>31</v>
      </c>
      <c r="S55" s="35" t="s">
        <v>129</v>
      </c>
      <c r="T55" s="36">
        <v>45985</v>
      </c>
    </row>
    <row r="56" spans="1:20" ht="15.6" x14ac:dyDescent="0.3">
      <c r="A56" s="35" t="s">
        <v>19</v>
      </c>
      <c r="B56" s="41" t="s">
        <v>119</v>
      </c>
      <c r="C56" s="41" t="s">
        <v>120</v>
      </c>
      <c r="D56" s="41" t="s">
        <v>121</v>
      </c>
      <c r="E56" s="41" t="s">
        <v>47</v>
      </c>
      <c r="F56" s="41" t="s">
        <v>54</v>
      </c>
      <c r="G56" s="41" t="s">
        <v>130</v>
      </c>
      <c r="H56" s="41" t="s">
        <v>26</v>
      </c>
      <c r="I56" s="41" t="s">
        <v>27</v>
      </c>
      <c r="J56" s="41">
        <v>408</v>
      </c>
      <c r="K56" s="41" t="s">
        <v>28</v>
      </c>
      <c r="L56" s="41">
        <v>10</v>
      </c>
      <c r="M56" s="42">
        <v>0</v>
      </c>
      <c r="N56" s="38">
        <f t="shared" si="1"/>
        <v>0</v>
      </c>
      <c r="O56" s="35" t="s">
        <v>29</v>
      </c>
      <c r="P56" s="35" t="s">
        <v>30</v>
      </c>
      <c r="Q56" s="36">
        <v>46045</v>
      </c>
      <c r="R56" s="35" t="s">
        <v>31</v>
      </c>
      <c r="S56" s="35" t="s">
        <v>129</v>
      </c>
      <c r="T56" s="36">
        <v>45985</v>
      </c>
    </row>
    <row r="57" spans="1:20" ht="15.6" x14ac:dyDescent="0.3">
      <c r="A57" s="35" t="s">
        <v>19</v>
      </c>
      <c r="B57" s="41" t="s">
        <v>119</v>
      </c>
      <c r="C57" s="41" t="s">
        <v>120</v>
      </c>
      <c r="D57" s="41" t="s">
        <v>121</v>
      </c>
      <c r="E57" s="41" t="s">
        <v>47</v>
      </c>
      <c r="F57" s="41" t="s">
        <v>54</v>
      </c>
      <c r="G57" s="41" t="s">
        <v>131</v>
      </c>
      <c r="H57" s="41" t="s">
        <v>26</v>
      </c>
      <c r="I57" s="41" t="s">
        <v>27</v>
      </c>
      <c r="J57" s="41">
        <v>409</v>
      </c>
      <c r="K57" s="41" t="s">
        <v>123</v>
      </c>
      <c r="L57" s="41">
        <v>5</v>
      </c>
      <c r="M57" s="42">
        <v>0</v>
      </c>
      <c r="N57" s="38">
        <f t="shared" si="1"/>
        <v>0</v>
      </c>
      <c r="O57" s="35" t="s">
        <v>29</v>
      </c>
      <c r="P57" s="35" t="s">
        <v>30</v>
      </c>
      <c r="Q57" s="36">
        <v>46032</v>
      </c>
      <c r="R57" s="35" t="s">
        <v>31</v>
      </c>
      <c r="S57" s="35" t="s">
        <v>132</v>
      </c>
      <c r="T57" s="36">
        <v>45897</v>
      </c>
    </row>
    <row r="58" spans="1:20" ht="15.6" x14ac:dyDescent="0.3">
      <c r="A58" s="35" t="s">
        <v>19</v>
      </c>
      <c r="B58" s="41" t="s">
        <v>119</v>
      </c>
      <c r="C58" s="41" t="s">
        <v>120</v>
      </c>
      <c r="D58" s="41" t="s">
        <v>121</v>
      </c>
      <c r="E58" s="41" t="s">
        <v>47</v>
      </c>
      <c r="F58" s="41" t="s">
        <v>54</v>
      </c>
      <c r="G58" s="41" t="s">
        <v>133</v>
      </c>
      <c r="H58" s="41" t="s">
        <v>26</v>
      </c>
      <c r="I58" s="41" t="s">
        <v>27</v>
      </c>
      <c r="J58" s="41">
        <v>409</v>
      </c>
      <c r="K58" s="41" t="s">
        <v>123</v>
      </c>
      <c r="L58" s="41">
        <v>5</v>
      </c>
      <c r="M58" s="42">
        <v>0</v>
      </c>
      <c r="N58" s="38">
        <f t="shared" si="1"/>
        <v>0</v>
      </c>
      <c r="O58" s="35" t="s">
        <v>29</v>
      </c>
      <c r="P58" s="35" t="s">
        <v>30</v>
      </c>
      <c r="Q58" s="36">
        <v>46032</v>
      </c>
      <c r="R58" s="35" t="s">
        <v>31</v>
      </c>
      <c r="S58" s="35" t="s">
        <v>132</v>
      </c>
      <c r="T58" s="36">
        <v>45897</v>
      </c>
    </row>
    <row r="59" spans="1:20" ht="15.6" x14ac:dyDescent="0.3">
      <c r="A59" s="35" t="s">
        <v>19</v>
      </c>
      <c r="B59" s="41" t="s">
        <v>134</v>
      </c>
      <c r="C59" s="41" t="s">
        <v>135</v>
      </c>
      <c r="D59" s="41" t="s">
        <v>121</v>
      </c>
      <c r="E59" s="41" t="s">
        <v>40</v>
      </c>
      <c r="F59" s="41" t="s">
        <v>36</v>
      </c>
      <c r="G59" s="41" t="s">
        <v>136</v>
      </c>
      <c r="H59" s="41" t="s">
        <v>26</v>
      </c>
      <c r="I59" s="41" t="s">
        <v>27</v>
      </c>
      <c r="J59" s="41">
        <v>410</v>
      </c>
      <c r="K59" s="41" t="s">
        <v>28</v>
      </c>
      <c r="L59" s="41">
        <v>20</v>
      </c>
      <c r="M59" s="38">
        <v>130000</v>
      </c>
      <c r="N59" s="38">
        <f t="shared" si="1"/>
        <v>6500</v>
      </c>
      <c r="O59" s="35" t="s">
        <v>29</v>
      </c>
      <c r="P59" s="35" t="s">
        <v>30</v>
      </c>
      <c r="Q59" s="36">
        <v>46031</v>
      </c>
      <c r="R59" s="35" t="s">
        <v>31</v>
      </c>
      <c r="S59" s="35"/>
      <c r="T59" s="35"/>
    </row>
    <row r="60" spans="1:20" ht="15.6" x14ac:dyDescent="0.3">
      <c r="A60" s="35" t="s">
        <v>19</v>
      </c>
      <c r="B60" s="35" t="s">
        <v>51</v>
      </c>
      <c r="C60" s="35" t="s">
        <v>52</v>
      </c>
      <c r="D60" s="35" t="s">
        <v>121</v>
      </c>
      <c r="E60" s="41" t="s">
        <v>47</v>
      </c>
      <c r="F60" s="35" t="s">
        <v>58</v>
      </c>
      <c r="G60" s="35" t="s">
        <v>59</v>
      </c>
      <c r="H60" s="35" t="s">
        <v>26</v>
      </c>
      <c r="I60" s="35" t="s">
        <v>27</v>
      </c>
      <c r="J60" s="35">
        <v>437</v>
      </c>
      <c r="K60" s="35" t="s">
        <v>7</v>
      </c>
      <c r="L60" s="35">
        <v>25</v>
      </c>
      <c r="M60" s="37">
        <v>0</v>
      </c>
      <c r="N60" s="38">
        <f t="shared" si="1"/>
        <v>0</v>
      </c>
      <c r="O60" s="35" t="s">
        <v>29</v>
      </c>
      <c r="P60" s="35" t="s">
        <v>30</v>
      </c>
      <c r="Q60" s="36">
        <v>46120</v>
      </c>
      <c r="R60" s="35" t="s">
        <v>31</v>
      </c>
      <c r="S60" s="35" t="s">
        <v>137</v>
      </c>
      <c r="T60" s="36">
        <v>46030</v>
      </c>
    </row>
    <row r="61" spans="1:20" ht="15.6" x14ac:dyDescent="0.3">
      <c r="A61" s="35" t="s">
        <v>19</v>
      </c>
      <c r="B61" s="41" t="s">
        <v>138</v>
      </c>
      <c r="C61" s="41" t="s">
        <v>139</v>
      </c>
      <c r="D61" s="41" t="s">
        <v>121</v>
      </c>
      <c r="E61" s="41" t="s">
        <v>47</v>
      </c>
      <c r="F61" s="41" t="s">
        <v>58</v>
      </c>
      <c r="G61" s="41" t="s">
        <v>140</v>
      </c>
      <c r="H61" s="41" t="s">
        <v>26</v>
      </c>
      <c r="I61" s="41" t="s">
        <v>64</v>
      </c>
      <c r="J61" s="41">
        <v>138</v>
      </c>
      <c r="K61" s="41" t="s">
        <v>28</v>
      </c>
      <c r="L61" s="41">
        <v>60</v>
      </c>
      <c r="M61" s="38">
        <v>228309</v>
      </c>
      <c r="N61" s="38">
        <f t="shared" si="1"/>
        <v>3805.15</v>
      </c>
      <c r="O61" s="35" t="s">
        <v>29</v>
      </c>
      <c r="P61" s="35" t="s">
        <v>30</v>
      </c>
      <c r="Q61" s="36">
        <v>46150</v>
      </c>
      <c r="R61" s="35" t="s">
        <v>31</v>
      </c>
      <c r="S61" s="35"/>
      <c r="T61" s="35"/>
    </row>
    <row r="62" spans="1:20" ht="15.6" x14ac:dyDescent="0.3">
      <c r="A62" s="35" t="s">
        <v>19</v>
      </c>
      <c r="B62" s="41" t="s">
        <v>51</v>
      </c>
      <c r="C62" s="41" t="s">
        <v>52</v>
      </c>
      <c r="D62" s="41" t="s">
        <v>121</v>
      </c>
      <c r="E62" s="41" t="s">
        <v>47</v>
      </c>
      <c r="F62" s="41" t="s">
        <v>58</v>
      </c>
      <c r="G62" s="41" t="s">
        <v>59</v>
      </c>
      <c r="H62" s="41" t="s">
        <v>26</v>
      </c>
      <c r="I62" s="41" t="s">
        <v>64</v>
      </c>
      <c r="J62" s="41">
        <v>139</v>
      </c>
      <c r="K62" s="41" t="s">
        <v>7</v>
      </c>
      <c r="L62" s="41">
        <v>25</v>
      </c>
      <c r="M62" s="38">
        <v>875000</v>
      </c>
      <c r="N62" s="38">
        <f t="shared" si="1"/>
        <v>35000</v>
      </c>
      <c r="O62" s="35" t="s">
        <v>29</v>
      </c>
      <c r="P62" s="35" t="s">
        <v>30</v>
      </c>
      <c r="Q62" s="36">
        <v>46120</v>
      </c>
      <c r="R62" s="35" t="s">
        <v>31</v>
      </c>
      <c r="S62" s="35"/>
      <c r="T62" s="35"/>
    </row>
    <row r="63" spans="1:20" ht="15.6" x14ac:dyDescent="0.3">
      <c r="A63" s="35" t="s">
        <v>19</v>
      </c>
      <c r="B63" s="41" t="s">
        <v>141</v>
      </c>
      <c r="C63" s="41" t="s">
        <v>142</v>
      </c>
      <c r="D63" s="41" t="s">
        <v>143</v>
      </c>
      <c r="E63" s="41" t="s">
        <v>47</v>
      </c>
      <c r="F63" s="41" t="s">
        <v>54</v>
      </c>
      <c r="G63" s="41" t="s">
        <v>99</v>
      </c>
      <c r="H63" s="41" t="s">
        <v>56</v>
      </c>
      <c r="I63" s="41" t="s">
        <v>27</v>
      </c>
      <c r="J63" s="41">
        <v>411</v>
      </c>
      <c r="K63" s="41" t="s">
        <v>28</v>
      </c>
      <c r="L63" s="41">
        <v>20</v>
      </c>
      <c r="M63" s="42">
        <v>89689</v>
      </c>
      <c r="N63" s="38">
        <f t="shared" si="1"/>
        <v>4484.45</v>
      </c>
      <c r="O63" s="35" t="s">
        <v>29</v>
      </c>
      <c r="P63" s="35" t="s">
        <v>30</v>
      </c>
      <c r="Q63" s="36">
        <v>46031</v>
      </c>
      <c r="R63" s="35" t="s">
        <v>31</v>
      </c>
      <c r="S63" s="35"/>
      <c r="T63" s="35"/>
    </row>
    <row r="64" spans="1:20" ht="15.6" x14ac:dyDescent="0.3">
      <c r="A64" s="35" t="s">
        <v>19</v>
      </c>
      <c r="B64" s="41" t="s">
        <v>141</v>
      </c>
      <c r="C64" s="41" t="s">
        <v>142</v>
      </c>
      <c r="D64" s="41" t="s">
        <v>143</v>
      </c>
      <c r="E64" s="41" t="s">
        <v>47</v>
      </c>
      <c r="F64" s="41" t="s">
        <v>54</v>
      </c>
      <c r="G64" s="41" t="s">
        <v>101</v>
      </c>
      <c r="H64" s="41" t="s">
        <v>56</v>
      </c>
      <c r="I64" s="41" t="s">
        <v>27</v>
      </c>
      <c r="J64" s="41">
        <v>411</v>
      </c>
      <c r="K64" s="41" t="s">
        <v>28</v>
      </c>
      <c r="L64" s="41">
        <v>20</v>
      </c>
      <c r="M64" s="42">
        <v>89689</v>
      </c>
      <c r="N64" s="38">
        <f t="shared" si="1"/>
        <v>4484.45</v>
      </c>
      <c r="O64" s="35" t="s">
        <v>29</v>
      </c>
      <c r="P64" s="35" t="s">
        <v>30</v>
      </c>
      <c r="Q64" s="36">
        <v>46031</v>
      </c>
      <c r="R64" s="35" t="s">
        <v>31</v>
      </c>
      <c r="S64" s="35"/>
      <c r="T64" s="35"/>
    </row>
    <row r="65" spans="1:20" ht="15.6" x14ac:dyDescent="0.3">
      <c r="A65" s="35" t="s">
        <v>19</v>
      </c>
      <c r="B65" s="41" t="s">
        <v>141</v>
      </c>
      <c r="C65" s="41" t="s">
        <v>142</v>
      </c>
      <c r="D65" s="41" t="s">
        <v>143</v>
      </c>
      <c r="E65" s="41" t="s">
        <v>47</v>
      </c>
      <c r="F65" s="41" t="s">
        <v>54</v>
      </c>
      <c r="G65" s="41" t="s">
        <v>100</v>
      </c>
      <c r="H65" s="41" t="s">
        <v>56</v>
      </c>
      <c r="I65" s="41" t="s">
        <v>27</v>
      </c>
      <c r="J65" s="41">
        <v>411</v>
      </c>
      <c r="K65" s="41" t="s">
        <v>28</v>
      </c>
      <c r="L65" s="41">
        <v>20</v>
      </c>
      <c r="M65" s="42">
        <v>89689</v>
      </c>
      <c r="N65" s="38">
        <f t="shared" si="1"/>
        <v>4484.45</v>
      </c>
      <c r="O65" s="35" t="s">
        <v>29</v>
      </c>
      <c r="P65" s="35" t="s">
        <v>30</v>
      </c>
      <c r="Q65" s="36">
        <v>46031</v>
      </c>
      <c r="R65" s="35" t="s">
        <v>31</v>
      </c>
      <c r="S65" s="35"/>
      <c r="T65" s="35"/>
    </row>
    <row r="66" spans="1:20" ht="15.6" x14ac:dyDescent="0.3">
      <c r="A66" s="35" t="s">
        <v>19</v>
      </c>
      <c r="B66" s="41" t="s">
        <v>141</v>
      </c>
      <c r="C66" s="41" t="s">
        <v>142</v>
      </c>
      <c r="D66" s="41" t="s">
        <v>143</v>
      </c>
      <c r="E66" s="41" t="s">
        <v>47</v>
      </c>
      <c r="F66" s="41" t="s">
        <v>54</v>
      </c>
      <c r="G66" s="41" t="s">
        <v>41</v>
      </c>
      <c r="H66" s="41" t="s">
        <v>56</v>
      </c>
      <c r="I66" s="41" t="s">
        <v>27</v>
      </c>
      <c r="J66" s="41">
        <v>411</v>
      </c>
      <c r="K66" s="41" t="s">
        <v>28</v>
      </c>
      <c r="L66" s="41">
        <v>40</v>
      </c>
      <c r="M66" s="42">
        <v>172203</v>
      </c>
      <c r="N66" s="38">
        <f t="shared" si="1"/>
        <v>4305.0749999999998</v>
      </c>
      <c r="O66" s="35" t="s">
        <v>29</v>
      </c>
      <c r="P66" s="35" t="s">
        <v>30</v>
      </c>
      <c r="Q66" s="36">
        <v>46031</v>
      </c>
      <c r="R66" s="35" t="s">
        <v>31</v>
      </c>
      <c r="S66" s="35"/>
      <c r="T66" s="35"/>
    </row>
    <row r="67" spans="1:20" ht="15.6" x14ac:dyDescent="0.3">
      <c r="A67" s="35" t="s">
        <v>19</v>
      </c>
      <c r="B67" s="41" t="s">
        <v>141</v>
      </c>
      <c r="C67" s="41" t="s">
        <v>142</v>
      </c>
      <c r="D67" s="41" t="s">
        <v>143</v>
      </c>
      <c r="E67" s="41" t="s">
        <v>47</v>
      </c>
      <c r="F67" s="41" t="s">
        <v>54</v>
      </c>
      <c r="G67" s="41" t="s">
        <v>144</v>
      </c>
      <c r="H67" s="41" t="s">
        <v>56</v>
      </c>
      <c r="I67" s="41" t="s">
        <v>27</v>
      </c>
      <c r="J67" s="41">
        <v>411</v>
      </c>
      <c r="K67" s="41" t="s">
        <v>7</v>
      </c>
      <c r="L67" s="41">
        <v>3</v>
      </c>
      <c r="M67" s="42">
        <v>121080</v>
      </c>
      <c r="N67" s="38">
        <f t="shared" si="1"/>
        <v>40360</v>
      </c>
      <c r="O67" s="35" t="s">
        <v>29</v>
      </c>
      <c r="P67" s="35" t="s">
        <v>30</v>
      </c>
      <c r="Q67" s="36">
        <v>46031</v>
      </c>
      <c r="R67" s="35" t="s">
        <v>31</v>
      </c>
      <c r="S67" s="35"/>
      <c r="T67" s="35"/>
    </row>
    <row r="68" spans="1:20" ht="15.6" x14ac:dyDescent="0.3">
      <c r="A68" s="35" t="s">
        <v>19</v>
      </c>
      <c r="B68" s="41" t="s">
        <v>145</v>
      </c>
      <c r="C68" s="41" t="s">
        <v>146</v>
      </c>
      <c r="D68" s="41" t="s">
        <v>143</v>
      </c>
      <c r="E68" s="41" t="s">
        <v>147</v>
      </c>
      <c r="F68" s="41" t="s">
        <v>48</v>
      </c>
      <c r="G68" s="41" t="s">
        <v>148</v>
      </c>
      <c r="H68" s="41" t="s">
        <v>26</v>
      </c>
      <c r="I68" s="41" t="s">
        <v>27</v>
      </c>
      <c r="J68" s="41">
        <v>412</v>
      </c>
      <c r="K68" s="41" t="s">
        <v>28</v>
      </c>
      <c r="L68" s="41">
        <v>20</v>
      </c>
      <c r="M68" s="38">
        <v>200000</v>
      </c>
      <c r="N68" s="38">
        <f t="shared" si="1"/>
        <v>10000</v>
      </c>
      <c r="O68" s="35" t="s">
        <v>29</v>
      </c>
      <c r="P68" s="35" t="s">
        <v>30</v>
      </c>
      <c r="Q68" s="36">
        <v>46031</v>
      </c>
      <c r="R68" s="35" t="s">
        <v>31</v>
      </c>
      <c r="S68" s="35"/>
      <c r="T68" s="35"/>
    </row>
    <row r="69" spans="1:20" ht="15.6" x14ac:dyDescent="0.3">
      <c r="A69" s="35" t="s">
        <v>19</v>
      </c>
      <c r="B69" s="41" t="s">
        <v>145</v>
      </c>
      <c r="C69" s="41" t="s">
        <v>146</v>
      </c>
      <c r="D69" s="41" t="s">
        <v>143</v>
      </c>
      <c r="E69" s="41" t="s">
        <v>147</v>
      </c>
      <c r="F69" s="41" t="s">
        <v>48</v>
      </c>
      <c r="G69" s="41" t="s">
        <v>149</v>
      </c>
      <c r="H69" s="41" t="s">
        <v>26</v>
      </c>
      <c r="I69" s="41" t="s">
        <v>27</v>
      </c>
      <c r="J69" s="41">
        <v>412</v>
      </c>
      <c r="K69" s="41" t="s">
        <v>28</v>
      </c>
      <c r="L69" s="41">
        <v>20</v>
      </c>
      <c r="M69" s="38">
        <v>100000</v>
      </c>
      <c r="N69" s="38">
        <f t="shared" si="1"/>
        <v>5000</v>
      </c>
      <c r="O69" s="35" t="s">
        <v>29</v>
      </c>
      <c r="P69" s="35" t="s">
        <v>30</v>
      </c>
      <c r="Q69" s="36">
        <v>46031</v>
      </c>
      <c r="R69" s="35" t="s">
        <v>31</v>
      </c>
      <c r="S69" s="35"/>
      <c r="T69" s="35"/>
    </row>
    <row r="70" spans="1:20" ht="15.6" x14ac:dyDescent="0.3">
      <c r="A70" s="35" t="s">
        <v>19</v>
      </c>
      <c r="B70" s="41" t="s">
        <v>145</v>
      </c>
      <c r="C70" s="41" t="s">
        <v>146</v>
      </c>
      <c r="D70" s="41" t="s">
        <v>143</v>
      </c>
      <c r="E70" s="41" t="s">
        <v>147</v>
      </c>
      <c r="F70" s="41" t="s">
        <v>48</v>
      </c>
      <c r="G70" s="41" t="s">
        <v>150</v>
      </c>
      <c r="H70" s="41" t="s">
        <v>26</v>
      </c>
      <c r="I70" s="41" t="s">
        <v>27</v>
      </c>
      <c r="J70" s="41">
        <v>412</v>
      </c>
      <c r="K70" s="41" t="s">
        <v>28</v>
      </c>
      <c r="L70" s="41">
        <v>20</v>
      </c>
      <c r="M70" s="38">
        <v>100000</v>
      </c>
      <c r="N70" s="38">
        <f t="shared" si="1"/>
        <v>5000</v>
      </c>
      <c r="O70" s="35" t="s">
        <v>29</v>
      </c>
      <c r="P70" s="35" t="s">
        <v>30</v>
      </c>
      <c r="Q70" s="36">
        <v>46031</v>
      </c>
      <c r="R70" s="35" t="s">
        <v>31</v>
      </c>
      <c r="S70" s="35"/>
      <c r="T70" s="35"/>
    </row>
    <row r="71" spans="1:20" ht="15.6" x14ac:dyDescent="0.3">
      <c r="A71" s="35" t="s">
        <v>19</v>
      </c>
      <c r="B71" s="41" t="s">
        <v>151</v>
      </c>
      <c r="C71" s="41" t="s">
        <v>152</v>
      </c>
      <c r="D71" s="41" t="s">
        <v>143</v>
      </c>
      <c r="E71" s="41" t="s">
        <v>40</v>
      </c>
      <c r="F71" s="41" t="s">
        <v>36</v>
      </c>
      <c r="G71" s="41" t="s">
        <v>153</v>
      </c>
      <c r="H71" s="41" t="s">
        <v>26</v>
      </c>
      <c r="I71" s="41" t="s">
        <v>64</v>
      </c>
      <c r="J71" s="41">
        <v>141</v>
      </c>
      <c r="K71" s="41" t="s">
        <v>28</v>
      </c>
      <c r="L71" s="41">
        <v>40</v>
      </c>
      <c r="M71" s="38">
        <v>320000</v>
      </c>
      <c r="N71" s="38">
        <f t="shared" si="1"/>
        <v>8000</v>
      </c>
      <c r="O71" s="35" t="s">
        <v>29</v>
      </c>
      <c r="P71" s="35" t="s">
        <v>30</v>
      </c>
      <c r="Q71" s="36">
        <v>46091</v>
      </c>
      <c r="R71" s="35" t="s">
        <v>31</v>
      </c>
      <c r="S71" s="35"/>
      <c r="T71" s="35"/>
    </row>
    <row r="72" spans="1:20" ht="15.6" x14ac:dyDescent="0.3">
      <c r="A72" s="35" t="s">
        <v>19</v>
      </c>
      <c r="B72" s="41" t="s">
        <v>154</v>
      </c>
      <c r="C72" s="41" t="s">
        <v>155</v>
      </c>
      <c r="D72" s="41" t="s">
        <v>156</v>
      </c>
      <c r="E72" s="41" t="s">
        <v>157</v>
      </c>
      <c r="F72" s="41" t="s">
        <v>24</v>
      </c>
      <c r="G72" s="41" t="s">
        <v>158</v>
      </c>
      <c r="H72" s="41" t="s">
        <v>26</v>
      </c>
      <c r="I72" s="41" t="s">
        <v>27</v>
      </c>
      <c r="J72" s="41">
        <v>413</v>
      </c>
      <c r="K72" s="41" t="s">
        <v>7</v>
      </c>
      <c r="L72" s="41">
        <v>100</v>
      </c>
      <c r="M72" s="38">
        <v>0</v>
      </c>
      <c r="N72" s="38">
        <f t="shared" si="1"/>
        <v>0</v>
      </c>
      <c r="O72" s="35" t="s">
        <v>29</v>
      </c>
      <c r="P72" s="35" t="s">
        <v>30</v>
      </c>
      <c r="Q72" s="36">
        <v>46049</v>
      </c>
      <c r="R72" s="35" t="s">
        <v>31</v>
      </c>
      <c r="S72" s="35"/>
      <c r="T72" s="35"/>
    </row>
    <row r="73" spans="1:20" ht="15.6" x14ac:dyDescent="0.3">
      <c r="A73" s="35" t="s">
        <v>19</v>
      </c>
      <c r="B73" s="35" t="s">
        <v>159</v>
      </c>
      <c r="C73" s="35" t="s">
        <v>160</v>
      </c>
      <c r="D73" s="35" t="s">
        <v>161</v>
      </c>
      <c r="E73" s="35" t="s">
        <v>35</v>
      </c>
      <c r="F73" s="35" t="s">
        <v>24</v>
      </c>
      <c r="G73" s="35" t="s">
        <v>162</v>
      </c>
      <c r="H73" s="41" t="s">
        <v>26</v>
      </c>
      <c r="I73" s="41" t="s">
        <v>27</v>
      </c>
      <c r="J73" s="35">
        <v>414</v>
      </c>
      <c r="K73" s="35" t="s">
        <v>28</v>
      </c>
      <c r="L73" s="35">
        <v>20</v>
      </c>
      <c r="M73" s="37">
        <v>0</v>
      </c>
      <c r="N73" s="38">
        <f t="shared" si="1"/>
        <v>0</v>
      </c>
      <c r="O73" s="35" t="s">
        <v>29</v>
      </c>
      <c r="P73" s="35" t="s">
        <v>30</v>
      </c>
      <c r="Q73" s="36">
        <v>46044</v>
      </c>
      <c r="R73" s="35" t="s">
        <v>31</v>
      </c>
      <c r="S73" s="35" t="s">
        <v>163</v>
      </c>
      <c r="T73" s="36">
        <v>45909</v>
      </c>
    </row>
    <row r="74" spans="1:20" ht="15.6" x14ac:dyDescent="0.3">
      <c r="A74" s="35" t="s">
        <v>19</v>
      </c>
      <c r="B74" s="35" t="s">
        <v>159</v>
      </c>
      <c r="C74" s="35" t="s">
        <v>160</v>
      </c>
      <c r="D74" s="35" t="s">
        <v>161</v>
      </c>
      <c r="E74" s="35" t="s">
        <v>35</v>
      </c>
      <c r="F74" s="35" t="s">
        <v>24</v>
      </c>
      <c r="G74" s="35" t="s">
        <v>164</v>
      </c>
      <c r="H74" s="41" t="s">
        <v>26</v>
      </c>
      <c r="I74" s="41" t="s">
        <v>27</v>
      </c>
      <c r="J74" s="35">
        <v>414</v>
      </c>
      <c r="K74" s="35" t="s">
        <v>28</v>
      </c>
      <c r="L74" s="35">
        <v>20</v>
      </c>
      <c r="M74" s="37">
        <v>0</v>
      </c>
      <c r="N74" s="38">
        <f t="shared" si="1"/>
        <v>0</v>
      </c>
      <c r="O74" s="35" t="s">
        <v>29</v>
      </c>
      <c r="P74" s="35" t="s">
        <v>30</v>
      </c>
      <c r="Q74" s="36">
        <v>46044</v>
      </c>
      <c r="R74" s="35" t="s">
        <v>31</v>
      </c>
      <c r="S74" s="35" t="s">
        <v>163</v>
      </c>
      <c r="T74" s="36">
        <v>45909</v>
      </c>
    </row>
    <row r="75" spans="1:20" ht="15.6" x14ac:dyDescent="0.3">
      <c r="A75" s="35" t="s">
        <v>19</v>
      </c>
      <c r="B75" s="35" t="s">
        <v>159</v>
      </c>
      <c r="C75" s="35" t="s">
        <v>160</v>
      </c>
      <c r="D75" s="35" t="s">
        <v>161</v>
      </c>
      <c r="E75" s="35" t="s">
        <v>35</v>
      </c>
      <c r="F75" s="35" t="s">
        <v>24</v>
      </c>
      <c r="G75" s="35" t="s">
        <v>165</v>
      </c>
      <c r="H75" s="41" t="s">
        <v>26</v>
      </c>
      <c r="I75" s="41" t="s">
        <v>27</v>
      </c>
      <c r="J75" s="35">
        <v>414</v>
      </c>
      <c r="K75" s="35" t="s">
        <v>28</v>
      </c>
      <c r="L75" s="35">
        <v>20</v>
      </c>
      <c r="M75" s="37">
        <v>0</v>
      </c>
      <c r="N75" s="38">
        <f t="shared" si="1"/>
        <v>0</v>
      </c>
      <c r="O75" s="35" t="s">
        <v>29</v>
      </c>
      <c r="P75" s="35" t="s">
        <v>30</v>
      </c>
      <c r="Q75" s="36">
        <v>46044</v>
      </c>
      <c r="R75" s="35" t="s">
        <v>31</v>
      </c>
      <c r="S75" s="35" t="s">
        <v>163</v>
      </c>
      <c r="T75" s="36">
        <v>45909</v>
      </c>
    </row>
    <row r="76" spans="1:20" ht="15.6" x14ac:dyDescent="0.3">
      <c r="A76" s="35" t="s">
        <v>19</v>
      </c>
      <c r="B76" s="35" t="s">
        <v>159</v>
      </c>
      <c r="C76" s="35" t="s">
        <v>160</v>
      </c>
      <c r="D76" s="35" t="s">
        <v>161</v>
      </c>
      <c r="E76" s="35" t="s">
        <v>35</v>
      </c>
      <c r="F76" s="35" t="s">
        <v>24</v>
      </c>
      <c r="G76" s="35" t="s">
        <v>166</v>
      </c>
      <c r="H76" s="41" t="s">
        <v>26</v>
      </c>
      <c r="I76" s="41" t="s">
        <v>27</v>
      </c>
      <c r="J76" s="35">
        <v>415</v>
      </c>
      <c r="K76" s="35" t="s">
        <v>28</v>
      </c>
      <c r="L76" s="35">
        <v>5</v>
      </c>
      <c r="M76" s="37">
        <v>0</v>
      </c>
      <c r="N76" s="38">
        <f t="shared" si="1"/>
        <v>0</v>
      </c>
      <c r="O76" s="35" t="s">
        <v>29</v>
      </c>
      <c r="P76" s="35" t="s">
        <v>30</v>
      </c>
      <c r="Q76" s="36">
        <v>46044</v>
      </c>
      <c r="R76" s="35" t="s">
        <v>31</v>
      </c>
      <c r="S76" s="35" t="s">
        <v>167</v>
      </c>
      <c r="T76" s="36">
        <v>45924</v>
      </c>
    </row>
    <row r="77" spans="1:20" ht="15.6" x14ac:dyDescent="0.3">
      <c r="A77" s="35" t="s">
        <v>19</v>
      </c>
      <c r="B77" s="35" t="s">
        <v>159</v>
      </c>
      <c r="C77" s="35" t="s">
        <v>160</v>
      </c>
      <c r="D77" s="35" t="s">
        <v>161</v>
      </c>
      <c r="E77" s="35" t="s">
        <v>35</v>
      </c>
      <c r="F77" s="35" t="s">
        <v>24</v>
      </c>
      <c r="G77" s="35" t="s">
        <v>168</v>
      </c>
      <c r="H77" s="41" t="s">
        <v>26</v>
      </c>
      <c r="I77" s="41" t="s">
        <v>27</v>
      </c>
      <c r="J77" s="35">
        <v>415</v>
      </c>
      <c r="K77" s="35" t="s">
        <v>28</v>
      </c>
      <c r="L77" s="35">
        <v>5</v>
      </c>
      <c r="M77" s="37">
        <v>0</v>
      </c>
      <c r="N77" s="38">
        <f t="shared" ref="N77:N140" si="2">M77/L77</f>
        <v>0</v>
      </c>
      <c r="O77" s="35" t="s">
        <v>29</v>
      </c>
      <c r="P77" s="35" t="s">
        <v>30</v>
      </c>
      <c r="Q77" s="36">
        <v>46044</v>
      </c>
      <c r="R77" s="35" t="s">
        <v>31</v>
      </c>
      <c r="S77" s="35" t="s">
        <v>167</v>
      </c>
      <c r="T77" s="36">
        <v>45924</v>
      </c>
    </row>
    <row r="78" spans="1:20" ht="15.6" x14ac:dyDescent="0.3">
      <c r="A78" s="35" t="s">
        <v>19</v>
      </c>
      <c r="B78" s="35" t="s">
        <v>159</v>
      </c>
      <c r="C78" s="35" t="s">
        <v>160</v>
      </c>
      <c r="D78" s="35" t="s">
        <v>161</v>
      </c>
      <c r="E78" s="35" t="s">
        <v>35</v>
      </c>
      <c r="F78" s="35" t="s">
        <v>24</v>
      </c>
      <c r="G78" s="35" t="s">
        <v>169</v>
      </c>
      <c r="H78" s="41" t="s">
        <v>26</v>
      </c>
      <c r="I78" s="41" t="s">
        <v>27</v>
      </c>
      <c r="J78" s="35">
        <v>415</v>
      </c>
      <c r="K78" s="35" t="s">
        <v>28</v>
      </c>
      <c r="L78" s="35">
        <v>5</v>
      </c>
      <c r="M78" s="37">
        <v>0</v>
      </c>
      <c r="N78" s="38">
        <f t="shared" si="2"/>
        <v>0</v>
      </c>
      <c r="O78" s="35" t="s">
        <v>29</v>
      </c>
      <c r="P78" s="35" t="s">
        <v>30</v>
      </c>
      <c r="Q78" s="36">
        <v>46044</v>
      </c>
      <c r="R78" s="35" t="s">
        <v>31</v>
      </c>
      <c r="S78" s="35" t="s">
        <v>167</v>
      </c>
      <c r="T78" s="36">
        <v>45924</v>
      </c>
    </row>
    <row r="79" spans="1:20" ht="15.6" x14ac:dyDescent="0.3">
      <c r="A79" s="35" t="s">
        <v>19</v>
      </c>
      <c r="B79" s="35" t="s">
        <v>159</v>
      </c>
      <c r="C79" s="35" t="s">
        <v>160</v>
      </c>
      <c r="D79" s="35" t="s">
        <v>161</v>
      </c>
      <c r="E79" s="35" t="s">
        <v>35</v>
      </c>
      <c r="F79" s="35" t="s">
        <v>24</v>
      </c>
      <c r="G79" s="35" t="s">
        <v>128</v>
      </c>
      <c r="H79" s="41" t="s">
        <v>26</v>
      </c>
      <c r="I79" s="41" t="s">
        <v>27</v>
      </c>
      <c r="J79" s="35">
        <v>416</v>
      </c>
      <c r="K79" s="35" t="s">
        <v>28</v>
      </c>
      <c r="L79" s="35">
        <v>60</v>
      </c>
      <c r="M79" s="37">
        <v>0</v>
      </c>
      <c r="N79" s="38">
        <f t="shared" si="2"/>
        <v>0</v>
      </c>
      <c r="O79" s="35" t="s">
        <v>29</v>
      </c>
      <c r="P79" s="35" t="s">
        <v>30</v>
      </c>
      <c r="Q79" s="36">
        <v>46044</v>
      </c>
      <c r="R79" s="35" t="s">
        <v>31</v>
      </c>
      <c r="S79" s="35" t="s">
        <v>170</v>
      </c>
      <c r="T79" s="36">
        <v>45954</v>
      </c>
    </row>
    <row r="80" spans="1:20" ht="15.6" x14ac:dyDescent="0.3">
      <c r="A80" s="35" t="s">
        <v>19</v>
      </c>
      <c r="B80" s="35" t="s">
        <v>159</v>
      </c>
      <c r="C80" s="35" t="s">
        <v>160</v>
      </c>
      <c r="D80" s="35" t="s">
        <v>161</v>
      </c>
      <c r="E80" s="35" t="s">
        <v>35</v>
      </c>
      <c r="F80" s="35" t="s">
        <v>24</v>
      </c>
      <c r="G80" s="35" t="s">
        <v>171</v>
      </c>
      <c r="H80" s="41" t="s">
        <v>26</v>
      </c>
      <c r="I80" s="41" t="s">
        <v>27</v>
      </c>
      <c r="J80" s="35">
        <v>416</v>
      </c>
      <c r="K80" s="35" t="s">
        <v>28</v>
      </c>
      <c r="L80" s="35">
        <v>10</v>
      </c>
      <c r="M80" s="37">
        <v>0</v>
      </c>
      <c r="N80" s="38">
        <f t="shared" si="2"/>
        <v>0</v>
      </c>
      <c r="O80" s="35" t="s">
        <v>29</v>
      </c>
      <c r="P80" s="35" t="s">
        <v>30</v>
      </c>
      <c r="Q80" s="36">
        <v>46044</v>
      </c>
      <c r="R80" s="35" t="s">
        <v>31</v>
      </c>
      <c r="S80" s="35" t="s">
        <v>170</v>
      </c>
      <c r="T80" s="36">
        <v>45954</v>
      </c>
    </row>
    <row r="81" spans="1:20" ht="15.6" x14ac:dyDescent="0.3">
      <c r="A81" s="35" t="s">
        <v>19</v>
      </c>
      <c r="B81" s="35" t="s">
        <v>159</v>
      </c>
      <c r="C81" s="35" t="s">
        <v>160</v>
      </c>
      <c r="D81" s="35" t="s">
        <v>161</v>
      </c>
      <c r="E81" s="35" t="s">
        <v>35</v>
      </c>
      <c r="F81" s="35" t="s">
        <v>24</v>
      </c>
      <c r="G81" s="35" t="s">
        <v>172</v>
      </c>
      <c r="H81" s="41" t="s">
        <v>26</v>
      </c>
      <c r="I81" s="41" t="s">
        <v>27</v>
      </c>
      <c r="J81" s="35">
        <v>416</v>
      </c>
      <c r="K81" s="35" t="s">
        <v>28</v>
      </c>
      <c r="L81" s="35">
        <v>20</v>
      </c>
      <c r="M81" s="37">
        <v>0</v>
      </c>
      <c r="N81" s="38">
        <f t="shared" si="2"/>
        <v>0</v>
      </c>
      <c r="O81" s="35" t="s">
        <v>29</v>
      </c>
      <c r="P81" s="35" t="s">
        <v>30</v>
      </c>
      <c r="Q81" s="36">
        <v>46044</v>
      </c>
      <c r="R81" s="35" t="s">
        <v>31</v>
      </c>
      <c r="S81" s="35" t="s">
        <v>170</v>
      </c>
      <c r="T81" s="36">
        <v>45954</v>
      </c>
    </row>
    <row r="82" spans="1:20" ht="15.6" x14ac:dyDescent="0.3">
      <c r="A82" s="35" t="s">
        <v>19</v>
      </c>
      <c r="B82" s="35" t="s">
        <v>173</v>
      </c>
      <c r="C82" s="35" t="s">
        <v>174</v>
      </c>
      <c r="D82" s="35" t="s">
        <v>161</v>
      </c>
      <c r="E82" s="41" t="s">
        <v>23</v>
      </c>
      <c r="F82" s="35" t="s">
        <v>24</v>
      </c>
      <c r="G82" s="35" t="s">
        <v>102</v>
      </c>
      <c r="H82" s="41" t="s">
        <v>26</v>
      </c>
      <c r="I82" s="41" t="s">
        <v>27</v>
      </c>
      <c r="J82" s="35">
        <v>417</v>
      </c>
      <c r="K82" s="35" t="s">
        <v>28</v>
      </c>
      <c r="L82" s="35">
        <v>10</v>
      </c>
      <c r="M82" s="37">
        <v>0</v>
      </c>
      <c r="N82" s="38">
        <f t="shared" si="2"/>
        <v>0</v>
      </c>
      <c r="O82" s="35" t="s">
        <v>29</v>
      </c>
      <c r="P82" s="35" t="s">
        <v>30</v>
      </c>
      <c r="Q82" s="36">
        <v>46038</v>
      </c>
      <c r="R82" s="35" t="s">
        <v>31</v>
      </c>
      <c r="S82" s="35" t="s">
        <v>175</v>
      </c>
      <c r="T82" s="36">
        <v>45974</v>
      </c>
    </row>
    <row r="83" spans="1:20" ht="15.6" x14ac:dyDescent="0.3">
      <c r="A83" s="35" t="s">
        <v>19</v>
      </c>
      <c r="B83" s="35" t="s">
        <v>176</v>
      </c>
      <c r="C83" s="35" t="s">
        <v>177</v>
      </c>
      <c r="D83" s="35" t="s">
        <v>161</v>
      </c>
      <c r="E83" s="35" t="s">
        <v>40</v>
      </c>
      <c r="F83" s="35" t="s">
        <v>36</v>
      </c>
      <c r="G83" s="35" t="s">
        <v>158</v>
      </c>
      <c r="H83" s="41" t="s">
        <v>26</v>
      </c>
      <c r="I83" s="41" t="s">
        <v>27</v>
      </c>
      <c r="J83" s="35">
        <v>418</v>
      </c>
      <c r="K83" s="35" t="s">
        <v>28</v>
      </c>
      <c r="L83" s="35">
        <v>40</v>
      </c>
      <c r="M83" s="37">
        <v>0</v>
      </c>
      <c r="N83" s="38">
        <f t="shared" si="2"/>
        <v>0</v>
      </c>
      <c r="O83" s="35" t="s">
        <v>29</v>
      </c>
      <c r="P83" s="35" t="s">
        <v>30</v>
      </c>
      <c r="Q83" s="36">
        <v>46037</v>
      </c>
      <c r="R83" s="35" t="s">
        <v>31</v>
      </c>
      <c r="S83" s="35" t="s">
        <v>178</v>
      </c>
      <c r="T83" s="36">
        <v>45948</v>
      </c>
    </row>
    <row r="84" spans="1:20" ht="15.6" x14ac:dyDescent="0.3">
      <c r="A84" s="35" t="s">
        <v>19</v>
      </c>
      <c r="B84" s="35" t="s">
        <v>176</v>
      </c>
      <c r="C84" s="35" t="s">
        <v>177</v>
      </c>
      <c r="D84" s="35" t="s">
        <v>161</v>
      </c>
      <c r="E84" s="35" t="s">
        <v>40</v>
      </c>
      <c r="F84" s="35" t="s">
        <v>36</v>
      </c>
      <c r="G84" s="35" t="s">
        <v>179</v>
      </c>
      <c r="H84" s="41" t="s">
        <v>26</v>
      </c>
      <c r="I84" s="41" t="s">
        <v>27</v>
      </c>
      <c r="J84" s="35">
        <v>418</v>
      </c>
      <c r="K84" s="35" t="s">
        <v>28</v>
      </c>
      <c r="L84" s="35">
        <v>10</v>
      </c>
      <c r="M84" s="37">
        <v>0</v>
      </c>
      <c r="N84" s="38">
        <f t="shared" si="2"/>
        <v>0</v>
      </c>
      <c r="O84" s="35" t="s">
        <v>29</v>
      </c>
      <c r="P84" s="35" t="s">
        <v>30</v>
      </c>
      <c r="Q84" s="36">
        <v>46037</v>
      </c>
      <c r="R84" s="35" t="s">
        <v>31</v>
      </c>
      <c r="S84" s="35" t="s">
        <v>178</v>
      </c>
      <c r="T84" s="36">
        <v>45948</v>
      </c>
    </row>
    <row r="85" spans="1:20" ht="15.6" x14ac:dyDescent="0.3">
      <c r="A85" s="35" t="s">
        <v>19</v>
      </c>
      <c r="B85" s="35" t="s">
        <v>97</v>
      </c>
      <c r="C85" s="35" t="s">
        <v>98</v>
      </c>
      <c r="D85" s="35" t="s">
        <v>161</v>
      </c>
      <c r="E85" s="35" t="s">
        <v>47</v>
      </c>
      <c r="F85" s="35" t="s">
        <v>36</v>
      </c>
      <c r="G85" s="35" t="s">
        <v>180</v>
      </c>
      <c r="H85" s="41" t="s">
        <v>26</v>
      </c>
      <c r="I85" s="41" t="s">
        <v>27</v>
      </c>
      <c r="J85" s="35">
        <v>419</v>
      </c>
      <c r="K85" s="35" t="s">
        <v>28</v>
      </c>
      <c r="L85" s="35">
        <v>20</v>
      </c>
      <c r="M85" s="37">
        <v>0</v>
      </c>
      <c r="N85" s="38">
        <f t="shared" si="2"/>
        <v>0</v>
      </c>
      <c r="O85" s="35" t="s">
        <v>29</v>
      </c>
      <c r="P85" s="35" t="s">
        <v>30</v>
      </c>
      <c r="Q85" s="36">
        <v>46043</v>
      </c>
      <c r="R85" s="35" t="s">
        <v>31</v>
      </c>
      <c r="S85" s="35" t="s">
        <v>181</v>
      </c>
      <c r="T85" s="36">
        <v>45952</v>
      </c>
    </row>
    <row r="86" spans="1:20" ht="15.6" x14ac:dyDescent="0.3">
      <c r="A86" s="35" t="s">
        <v>19</v>
      </c>
      <c r="B86" s="35" t="s">
        <v>97</v>
      </c>
      <c r="C86" s="35" t="s">
        <v>98</v>
      </c>
      <c r="D86" s="35" t="s">
        <v>161</v>
      </c>
      <c r="E86" s="35" t="s">
        <v>47</v>
      </c>
      <c r="F86" s="35" t="s">
        <v>36</v>
      </c>
      <c r="G86" s="35" t="s">
        <v>100</v>
      </c>
      <c r="H86" s="41" t="s">
        <v>26</v>
      </c>
      <c r="I86" s="41" t="s">
        <v>27</v>
      </c>
      <c r="J86" s="35">
        <v>419</v>
      </c>
      <c r="K86" s="35" t="s">
        <v>28</v>
      </c>
      <c r="L86" s="35">
        <v>20</v>
      </c>
      <c r="M86" s="37">
        <v>0</v>
      </c>
      <c r="N86" s="38">
        <f t="shared" si="2"/>
        <v>0</v>
      </c>
      <c r="O86" s="35" t="s">
        <v>29</v>
      </c>
      <c r="P86" s="35" t="s">
        <v>30</v>
      </c>
      <c r="Q86" s="36">
        <v>46043</v>
      </c>
      <c r="R86" s="35" t="s">
        <v>31</v>
      </c>
      <c r="S86" s="35" t="s">
        <v>181</v>
      </c>
      <c r="T86" s="36">
        <v>45952</v>
      </c>
    </row>
    <row r="87" spans="1:20" ht="15.6" x14ac:dyDescent="0.3">
      <c r="A87" s="35" t="s">
        <v>19</v>
      </c>
      <c r="B87" s="35" t="s">
        <v>97</v>
      </c>
      <c r="C87" s="35" t="s">
        <v>98</v>
      </c>
      <c r="D87" s="35" t="s">
        <v>161</v>
      </c>
      <c r="E87" s="35" t="s">
        <v>47</v>
      </c>
      <c r="F87" s="35" t="s">
        <v>36</v>
      </c>
      <c r="G87" s="35" t="s">
        <v>99</v>
      </c>
      <c r="H87" s="41" t="s">
        <v>26</v>
      </c>
      <c r="I87" s="41" t="s">
        <v>27</v>
      </c>
      <c r="J87" s="35">
        <v>419</v>
      </c>
      <c r="K87" s="35" t="s">
        <v>28</v>
      </c>
      <c r="L87" s="35">
        <v>20</v>
      </c>
      <c r="M87" s="37">
        <v>0</v>
      </c>
      <c r="N87" s="38">
        <f t="shared" si="2"/>
        <v>0</v>
      </c>
      <c r="O87" s="35" t="s">
        <v>29</v>
      </c>
      <c r="P87" s="35" t="s">
        <v>30</v>
      </c>
      <c r="Q87" s="36">
        <v>46043</v>
      </c>
      <c r="R87" s="35" t="s">
        <v>31</v>
      </c>
      <c r="S87" s="35" t="s">
        <v>181</v>
      </c>
      <c r="T87" s="36">
        <v>45952</v>
      </c>
    </row>
    <row r="88" spans="1:20" ht="15.6" x14ac:dyDescent="0.3">
      <c r="A88" s="35" t="s">
        <v>19</v>
      </c>
      <c r="B88" s="35" t="s">
        <v>182</v>
      </c>
      <c r="C88" s="35" t="s">
        <v>183</v>
      </c>
      <c r="D88" s="35" t="s">
        <v>161</v>
      </c>
      <c r="E88" s="35" t="s">
        <v>47</v>
      </c>
      <c r="F88" s="35" t="s">
        <v>58</v>
      </c>
      <c r="G88" s="35" t="s">
        <v>44</v>
      </c>
      <c r="H88" s="41" t="s">
        <v>26</v>
      </c>
      <c r="I88" s="41" t="s">
        <v>27</v>
      </c>
      <c r="J88" s="35">
        <v>420</v>
      </c>
      <c r="K88" s="35" t="s">
        <v>28</v>
      </c>
      <c r="L88" s="35">
        <v>20</v>
      </c>
      <c r="M88" s="37">
        <v>0</v>
      </c>
      <c r="N88" s="38">
        <f t="shared" si="2"/>
        <v>0</v>
      </c>
      <c r="O88" s="35" t="s">
        <v>29</v>
      </c>
      <c r="P88" s="35" t="s">
        <v>30</v>
      </c>
      <c r="Q88" s="36">
        <v>46037</v>
      </c>
      <c r="R88" s="35" t="s">
        <v>31</v>
      </c>
      <c r="S88" s="35" t="s">
        <v>184</v>
      </c>
      <c r="T88" s="36">
        <v>45933</v>
      </c>
    </row>
    <row r="89" spans="1:20" ht="15.6" x14ac:dyDescent="0.3">
      <c r="A89" s="35" t="s">
        <v>19</v>
      </c>
      <c r="B89" s="35" t="s">
        <v>182</v>
      </c>
      <c r="C89" s="35" t="s">
        <v>183</v>
      </c>
      <c r="D89" s="35" t="s">
        <v>161</v>
      </c>
      <c r="E89" s="35" t="s">
        <v>47</v>
      </c>
      <c r="F89" s="35" t="s">
        <v>58</v>
      </c>
      <c r="G89" s="35" t="s">
        <v>185</v>
      </c>
      <c r="H89" s="41" t="s">
        <v>26</v>
      </c>
      <c r="I89" s="41" t="s">
        <v>27</v>
      </c>
      <c r="J89" s="35">
        <v>420</v>
      </c>
      <c r="K89" s="35" t="s">
        <v>28</v>
      </c>
      <c r="L89" s="35">
        <v>5</v>
      </c>
      <c r="M89" s="37">
        <v>0</v>
      </c>
      <c r="N89" s="38">
        <f t="shared" si="2"/>
        <v>0</v>
      </c>
      <c r="O89" s="35" t="s">
        <v>29</v>
      </c>
      <c r="P89" s="35" t="s">
        <v>30</v>
      </c>
      <c r="Q89" s="36">
        <v>46037</v>
      </c>
      <c r="R89" s="35" t="s">
        <v>31</v>
      </c>
      <c r="S89" s="35" t="s">
        <v>184</v>
      </c>
      <c r="T89" s="36">
        <v>45933</v>
      </c>
    </row>
    <row r="90" spans="1:20" ht="15.6" x14ac:dyDescent="0.3">
      <c r="A90" s="35" t="s">
        <v>19</v>
      </c>
      <c r="B90" s="35" t="s">
        <v>182</v>
      </c>
      <c r="C90" s="35" t="s">
        <v>183</v>
      </c>
      <c r="D90" s="35" t="s">
        <v>161</v>
      </c>
      <c r="E90" s="35" t="s">
        <v>47</v>
      </c>
      <c r="F90" s="35" t="s">
        <v>58</v>
      </c>
      <c r="G90" s="35" t="s">
        <v>122</v>
      </c>
      <c r="H90" s="41" t="s">
        <v>26</v>
      </c>
      <c r="I90" s="41" t="s">
        <v>27</v>
      </c>
      <c r="J90" s="35">
        <v>420</v>
      </c>
      <c r="K90" s="35" t="s">
        <v>28</v>
      </c>
      <c r="L90" s="35">
        <v>40</v>
      </c>
      <c r="M90" s="37">
        <v>0</v>
      </c>
      <c r="N90" s="38">
        <f t="shared" si="2"/>
        <v>0</v>
      </c>
      <c r="O90" s="35" t="s">
        <v>29</v>
      </c>
      <c r="P90" s="35" t="s">
        <v>30</v>
      </c>
      <c r="Q90" s="36">
        <v>46037</v>
      </c>
      <c r="R90" s="35" t="s">
        <v>31</v>
      </c>
      <c r="S90" s="35" t="s">
        <v>184</v>
      </c>
      <c r="T90" s="36">
        <v>45933</v>
      </c>
    </row>
    <row r="91" spans="1:20" ht="15.6" x14ac:dyDescent="0.3">
      <c r="A91" s="35" t="s">
        <v>19</v>
      </c>
      <c r="B91" s="35" t="s">
        <v>186</v>
      </c>
      <c r="C91" s="35" t="s">
        <v>187</v>
      </c>
      <c r="D91" s="35" t="s">
        <v>161</v>
      </c>
      <c r="E91" s="35" t="s">
        <v>47</v>
      </c>
      <c r="F91" s="35" t="s">
        <v>58</v>
      </c>
      <c r="G91" s="35" t="s">
        <v>99</v>
      </c>
      <c r="H91" s="41" t="s">
        <v>26</v>
      </c>
      <c r="I91" s="41" t="s">
        <v>27</v>
      </c>
      <c r="J91" s="35">
        <v>421</v>
      </c>
      <c r="K91" s="35" t="s">
        <v>28</v>
      </c>
      <c r="L91" s="35">
        <v>20</v>
      </c>
      <c r="M91" s="37">
        <v>0</v>
      </c>
      <c r="N91" s="38">
        <f t="shared" si="2"/>
        <v>0</v>
      </c>
      <c r="O91" s="35" t="s">
        <v>29</v>
      </c>
      <c r="P91" s="35" t="s">
        <v>30</v>
      </c>
      <c r="Q91" s="36">
        <v>46037</v>
      </c>
      <c r="R91" s="35" t="s">
        <v>31</v>
      </c>
      <c r="S91" s="35" t="s">
        <v>188</v>
      </c>
      <c r="T91" s="36">
        <v>45974</v>
      </c>
    </row>
    <row r="92" spans="1:20" ht="15.6" x14ac:dyDescent="0.3">
      <c r="A92" s="35" t="s">
        <v>19</v>
      </c>
      <c r="B92" s="35" t="s">
        <v>186</v>
      </c>
      <c r="C92" s="35" t="s">
        <v>187</v>
      </c>
      <c r="D92" s="35" t="s">
        <v>161</v>
      </c>
      <c r="E92" s="35" t="s">
        <v>47</v>
      </c>
      <c r="F92" s="35" t="s">
        <v>58</v>
      </c>
      <c r="G92" s="35" t="s">
        <v>179</v>
      </c>
      <c r="H92" s="41" t="s">
        <v>26</v>
      </c>
      <c r="I92" s="41" t="s">
        <v>27</v>
      </c>
      <c r="J92" s="35">
        <v>421</v>
      </c>
      <c r="K92" s="35" t="s">
        <v>28</v>
      </c>
      <c r="L92" s="35">
        <v>10</v>
      </c>
      <c r="M92" s="37">
        <v>0</v>
      </c>
      <c r="N92" s="38">
        <f t="shared" si="2"/>
        <v>0</v>
      </c>
      <c r="O92" s="35" t="s">
        <v>29</v>
      </c>
      <c r="P92" s="35" t="s">
        <v>30</v>
      </c>
      <c r="Q92" s="36">
        <v>46037</v>
      </c>
      <c r="R92" s="35" t="s">
        <v>31</v>
      </c>
      <c r="S92" s="35" t="s">
        <v>188</v>
      </c>
      <c r="T92" s="36">
        <v>45974</v>
      </c>
    </row>
    <row r="93" spans="1:20" ht="15.6" x14ac:dyDescent="0.3">
      <c r="A93" s="35" t="s">
        <v>19</v>
      </c>
      <c r="B93" s="35" t="s">
        <v>189</v>
      </c>
      <c r="C93" s="35" t="s">
        <v>190</v>
      </c>
      <c r="D93" s="35" t="s">
        <v>161</v>
      </c>
      <c r="E93" s="35" t="s">
        <v>47</v>
      </c>
      <c r="F93" s="35" t="s">
        <v>58</v>
      </c>
      <c r="G93" s="35" t="s">
        <v>125</v>
      </c>
      <c r="H93" s="41" t="s">
        <v>26</v>
      </c>
      <c r="I93" s="41" t="s">
        <v>27</v>
      </c>
      <c r="J93" s="35">
        <v>422</v>
      </c>
      <c r="K93" s="35" t="s">
        <v>28</v>
      </c>
      <c r="L93" s="35">
        <v>5</v>
      </c>
      <c r="M93" s="37">
        <v>0</v>
      </c>
      <c r="N93" s="38">
        <f t="shared" si="2"/>
        <v>0</v>
      </c>
      <c r="O93" s="35" t="s">
        <v>29</v>
      </c>
      <c r="P93" s="35" t="s">
        <v>30</v>
      </c>
      <c r="Q93" s="36">
        <v>46041</v>
      </c>
      <c r="R93" s="35" t="s">
        <v>31</v>
      </c>
      <c r="S93" s="35" t="s">
        <v>191</v>
      </c>
      <c r="T93" s="36">
        <v>45980</v>
      </c>
    </row>
    <row r="94" spans="1:20" ht="15.6" x14ac:dyDescent="0.3">
      <c r="A94" s="35" t="s">
        <v>19</v>
      </c>
      <c r="B94" s="35" t="s">
        <v>189</v>
      </c>
      <c r="C94" s="35" t="s">
        <v>190</v>
      </c>
      <c r="D94" s="35" t="s">
        <v>161</v>
      </c>
      <c r="E94" s="35" t="s">
        <v>47</v>
      </c>
      <c r="F94" s="35" t="s">
        <v>58</v>
      </c>
      <c r="G94" s="35" t="s">
        <v>192</v>
      </c>
      <c r="H94" s="41" t="s">
        <v>26</v>
      </c>
      <c r="I94" s="41" t="s">
        <v>27</v>
      </c>
      <c r="J94" s="35">
        <v>422</v>
      </c>
      <c r="K94" s="35" t="s">
        <v>28</v>
      </c>
      <c r="L94" s="35">
        <v>5</v>
      </c>
      <c r="M94" s="37">
        <v>0</v>
      </c>
      <c r="N94" s="38">
        <f t="shared" si="2"/>
        <v>0</v>
      </c>
      <c r="O94" s="35" t="s">
        <v>29</v>
      </c>
      <c r="P94" s="35" t="s">
        <v>30</v>
      </c>
      <c r="Q94" s="36">
        <v>46041</v>
      </c>
      <c r="R94" s="35" t="s">
        <v>31</v>
      </c>
      <c r="S94" s="35" t="s">
        <v>191</v>
      </c>
      <c r="T94" s="36">
        <v>45980</v>
      </c>
    </row>
    <row r="95" spans="1:20" ht="15.6" x14ac:dyDescent="0.3">
      <c r="A95" s="35" t="s">
        <v>19</v>
      </c>
      <c r="B95" s="35" t="s">
        <v>193</v>
      </c>
      <c r="C95" s="35" t="s">
        <v>194</v>
      </c>
      <c r="D95" s="35" t="s">
        <v>161</v>
      </c>
      <c r="E95" s="35" t="s">
        <v>195</v>
      </c>
      <c r="F95" s="35" t="s">
        <v>54</v>
      </c>
      <c r="G95" s="35" t="s">
        <v>196</v>
      </c>
      <c r="H95" s="41" t="s">
        <v>26</v>
      </c>
      <c r="I95" s="41" t="s">
        <v>27</v>
      </c>
      <c r="J95" s="35">
        <v>423</v>
      </c>
      <c r="K95" s="35" t="s">
        <v>28</v>
      </c>
      <c r="L95" s="35">
        <v>500</v>
      </c>
      <c r="M95" s="43">
        <v>0</v>
      </c>
      <c r="N95" s="38">
        <f t="shared" si="2"/>
        <v>0</v>
      </c>
      <c r="O95" s="35" t="s">
        <v>29</v>
      </c>
      <c r="P95" s="35" t="s">
        <v>30</v>
      </c>
      <c r="Q95" s="36">
        <v>46052</v>
      </c>
      <c r="R95" s="35" t="s">
        <v>31</v>
      </c>
      <c r="S95" s="35" t="s">
        <v>184</v>
      </c>
      <c r="T95" s="36">
        <v>45933</v>
      </c>
    </row>
    <row r="96" spans="1:20" ht="15.6" x14ac:dyDescent="0.3">
      <c r="A96" s="35" t="s">
        <v>19</v>
      </c>
      <c r="B96" s="35" t="s">
        <v>51</v>
      </c>
      <c r="C96" s="35" t="s">
        <v>52</v>
      </c>
      <c r="D96" s="35" t="s">
        <v>161</v>
      </c>
      <c r="E96" s="35" t="s">
        <v>47</v>
      </c>
      <c r="F96" s="35" t="s">
        <v>54</v>
      </c>
      <c r="G96" s="35" t="s">
        <v>197</v>
      </c>
      <c r="H96" s="35" t="s">
        <v>26</v>
      </c>
      <c r="I96" s="41" t="s">
        <v>27</v>
      </c>
      <c r="J96" s="35">
        <v>436</v>
      </c>
      <c r="K96" s="35" t="s">
        <v>7</v>
      </c>
      <c r="L96" s="35">
        <v>45</v>
      </c>
      <c r="M96" s="43">
        <v>0</v>
      </c>
      <c r="N96" s="38">
        <f t="shared" si="2"/>
        <v>0</v>
      </c>
      <c r="O96" s="35" t="s">
        <v>29</v>
      </c>
      <c r="P96" s="35" t="s">
        <v>30</v>
      </c>
      <c r="Q96" s="36">
        <v>46121</v>
      </c>
      <c r="R96" s="35" t="s">
        <v>31</v>
      </c>
      <c r="S96" s="35" t="s">
        <v>198</v>
      </c>
      <c r="T96" s="36">
        <v>46034</v>
      </c>
    </row>
    <row r="97" spans="1:20" ht="15.6" x14ac:dyDescent="0.3">
      <c r="A97" s="35" t="s">
        <v>19</v>
      </c>
      <c r="B97" s="35" t="s">
        <v>199</v>
      </c>
      <c r="C97" s="35" t="s">
        <v>200</v>
      </c>
      <c r="D97" s="35" t="s">
        <v>161</v>
      </c>
      <c r="E97" s="35" t="s">
        <v>40</v>
      </c>
      <c r="F97" s="35" t="s">
        <v>36</v>
      </c>
      <c r="G97" s="35" t="s">
        <v>201</v>
      </c>
      <c r="H97" s="35" t="s">
        <v>26</v>
      </c>
      <c r="I97" s="41" t="s">
        <v>64</v>
      </c>
      <c r="J97" s="35">
        <v>142</v>
      </c>
      <c r="K97" s="35" t="s">
        <v>123</v>
      </c>
      <c r="L97" s="35">
        <v>200</v>
      </c>
      <c r="M97" s="37">
        <v>900000</v>
      </c>
      <c r="N97" s="38">
        <f t="shared" si="2"/>
        <v>4500</v>
      </c>
      <c r="O97" s="35" t="s">
        <v>29</v>
      </c>
      <c r="P97" s="35" t="s">
        <v>30</v>
      </c>
      <c r="Q97" s="36">
        <v>46123</v>
      </c>
      <c r="R97" s="35" t="s">
        <v>31</v>
      </c>
      <c r="S97" s="35"/>
      <c r="T97" s="35"/>
    </row>
    <row r="98" spans="1:20" ht="15.6" x14ac:dyDescent="0.3">
      <c r="A98" s="35" t="s">
        <v>19</v>
      </c>
      <c r="B98" s="35" t="s">
        <v>51</v>
      </c>
      <c r="C98" s="35" t="s">
        <v>52</v>
      </c>
      <c r="D98" s="35" t="s">
        <v>161</v>
      </c>
      <c r="E98" s="35" t="s">
        <v>47</v>
      </c>
      <c r="F98" s="35" t="s">
        <v>54</v>
      </c>
      <c r="G98" s="35" t="s">
        <v>197</v>
      </c>
      <c r="H98" s="35" t="s">
        <v>26</v>
      </c>
      <c r="I98" s="41" t="s">
        <v>64</v>
      </c>
      <c r="J98" s="35">
        <v>143</v>
      </c>
      <c r="K98" s="35" t="s">
        <v>7</v>
      </c>
      <c r="L98" s="35">
        <v>45</v>
      </c>
      <c r="M98" s="43">
        <v>1575000</v>
      </c>
      <c r="N98" s="38">
        <f t="shared" si="2"/>
        <v>35000</v>
      </c>
      <c r="O98" s="35" t="s">
        <v>29</v>
      </c>
      <c r="P98" s="35" t="s">
        <v>30</v>
      </c>
      <c r="Q98" s="36">
        <v>46121</v>
      </c>
      <c r="R98" s="35" t="s">
        <v>31</v>
      </c>
      <c r="S98" s="35"/>
      <c r="T98" s="35"/>
    </row>
    <row r="99" spans="1:20" ht="15.6" x14ac:dyDescent="0.3">
      <c r="A99" s="35" t="s">
        <v>19</v>
      </c>
      <c r="B99" s="35" t="s">
        <v>202</v>
      </c>
      <c r="C99" s="35" t="s">
        <v>203</v>
      </c>
      <c r="D99" s="35" t="s">
        <v>204</v>
      </c>
      <c r="E99" s="35" t="s">
        <v>40</v>
      </c>
      <c r="F99" s="35" t="s">
        <v>36</v>
      </c>
      <c r="G99" s="35" t="s">
        <v>205</v>
      </c>
      <c r="H99" s="41" t="s">
        <v>26</v>
      </c>
      <c r="I99" s="35" t="s">
        <v>27</v>
      </c>
      <c r="J99" s="35">
        <v>424</v>
      </c>
      <c r="K99" s="35" t="s">
        <v>7</v>
      </c>
      <c r="L99" s="35">
        <v>10</v>
      </c>
      <c r="M99" s="37">
        <v>0</v>
      </c>
      <c r="N99" s="38">
        <f t="shared" si="2"/>
        <v>0</v>
      </c>
      <c r="O99" s="35" t="s">
        <v>29</v>
      </c>
      <c r="P99" s="35" t="s">
        <v>30</v>
      </c>
      <c r="Q99" s="36">
        <v>46037</v>
      </c>
      <c r="R99" s="35" t="s">
        <v>31</v>
      </c>
      <c r="S99" s="35" t="s">
        <v>206</v>
      </c>
      <c r="T99" s="36">
        <v>45988</v>
      </c>
    </row>
    <row r="100" spans="1:20" ht="15.6" x14ac:dyDescent="0.3">
      <c r="A100" s="35" t="s">
        <v>19</v>
      </c>
      <c r="B100" s="35" t="s">
        <v>207</v>
      </c>
      <c r="C100" s="35" t="s">
        <v>208</v>
      </c>
      <c r="D100" s="35" t="s">
        <v>204</v>
      </c>
      <c r="E100" s="41" t="s">
        <v>23</v>
      </c>
      <c r="F100" s="35" t="s">
        <v>54</v>
      </c>
      <c r="G100" s="35" t="s">
        <v>25</v>
      </c>
      <c r="H100" s="41" t="s">
        <v>26</v>
      </c>
      <c r="I100" s="35" t="s">
        <v>27</v>
      </c>
      <c r="J100" s="35">
        <v>425</v>
      </c>
      <c r="K100" s="35" t="s">
        <v>28</v>
      </c>
      <c r="L100" s="35">
        <v>180</v>
      </c>
      <c r="M100" s="43">
        <v>0</v>
      </c>
      <c r="N100" s="38">
        <f t="shared" si="2"/>
        <v>0</v>
      </c>
      <c r="O100" s="35" t="s">
        <v>29</v>
      </c>
      <c r="P100" s="35" t="s">
        <v>30</v>
      </c>
      <c r="Q100" s="36">
        <v>46037</v>
      </c>
      <c r="R100" s="35" t="s">
        <v>31</v>
      </c>
      <c r="S100" s="35" t="s">
        <v>209</v>
      </c>
      <c r="T100" s="36">
        <v>45730</v>
      </c>
    </row>
    <row r="101" spans="1:20" ht="15.6" x14ac:dyDescent="0.3">
      <c r="A101" s="35" t="s">
        <v>19</v>
      </c>
      <c r="B101" s="35" t="s">
        <v>210</v>
      </c>
      <c r="C101" s="35" t="s">
        <v>211</v>
      </c>
      <c r="D101" s="35" t="s">
        <v>204</v>
      </c>
      <c r="E101" s="35" t="s">
        <v>47</v>
      </c>
      <c r="F101" s="35" t="s">
        <v>58</v>
      </c>
      <c r="G101" s="35" t="s">
        <v>212</v>
      </c>
      <c r="H101" s="35" t="s">
        <v>26</v>
      </c>
      <c r="I101" s="35" t="s">
        <v>27</v>
      </c>
      <c r="J101" s="35">
        <v>426</v>
      </c>
      <c r="K101" s="35" t="s">
        <v>28</v>
      </c>
      <c r="L101" s="35">
        <v>5</v>
      </c>
      <c r="M101" s="37">
        <v>40125</v>
      </c>
      <c r="N101" s="38">
        <f t="shared" si="2"/>
        <v>8025</v>
      </c>
      <c r="O101" s="35" t="s">
        <v>29</v>
      </c>
      <c r="P101" s="35" t="s">
        <v>30</v>
      </c>
      <c r="Q101" s="36">
        <v>46035</v>
      </c>
      <c r="R101" s="35" t="s">
        <v>31</v>
      </c>
      <c r="S101" s="35"/>
      <c r="T101" s="35"/>
    </row>
    <row r="102" spans="1:20" ht="15.6" x14ac:dyDescent="0.3">
      <c r="A102" s="35" t="s">
        <v>19</v>
      </c>
      <c r="B102" s="35" t="s">
        <v>210</v>
      </c>
      <c r="C102" s="35" t="s">
        <v>211</v>
      </c>
      <c r="D102" s="35" t="s">
        <v>204</v>
      </c>
      <c r="E102" s="35" t="s">
        <v>47</v>
      </c>
      <c r="F102" s="35" t="s">
        <v>58</v>
      </c>
      <c r="G102" s="35" t="s">
        <v>213</v>
      </c>
      <c r="H102" s="35" t="s">
        <v>26</v>
      </c>
      <c r="I102" s="35" t="s">
        <v>27</v>
      </c>
      <c r="J102" s="35">
        <v>426</v>
      </c>
      <c r="K102" s="35" t="s">
        <v>28</v>
      </c>
      <c r="L102" s="35">
        <v>1</v>
      </c>
      <c r="M102" s="37">
        <v>8025</v>
      </c>
      <c r="N102" s="38">
        <f t="shared" si="2"/>
        <v>8025</v>
      </c>
      <c r="O102" s="35" t="s">
        <v>29</v>
      </c>
      <c r="P102" s="35" t="s">
        <v>30</v>
      </c>
      <c r="Q102" s="36">
        <v>46035</v>
      </c>
      <c r="R102" s="35" t="s">
        <v>31</v>
      </c>
      <c r="S102" s="35"/>
      <c r="T102" s="35"/>
    </row>
    <row r="103" spans="1:20" ht="15.6" x14ac:dyDescent="0.3">
      <c r="A103" s="35" t="s">
        <v>19</v>
      </c>
      <c r="B103" s="35" t="s">
        <v>38</v>
      </c>
      <c r="C103" s="35" t="s">
        <v>39</v>
      </c>
      <c r="D103" s="35" t="s">
        <v>204</v>
      </c>
      <c r="E103" s="35" t="s">
        <v>40</v>
      </c>
      <c r="F103" s="35" t="s">
        <v>36</v>
      </c>
      <c r="G103" s="35" t="s">
        <v>214</v>
      </c>
      <c r="H103" s="35" t="s">
        <v>26</v>
      </c>
      <c r="I103" s="35" t="s">
        <v>27</v>
      </c>
      <c r="J103" s="35">
        <v>427</v>
      </c>
      <c r="K103" s="35" t="s">
        <v>123</v>
      </c>
      <c r="L103" s="35">
        <v>40</v>
      </c>
      <c r="M103" s="37">
        <v>100000</v>
      </c>
      <c r="N103" s="38">
        <f t="shared" si="2"/>
        <v>2500</v>
      </c>
      <c r="O103" s="35" t="s">
        <v>29</v>
      </c>
      <c r="P103" s="35" t="s">
        <v>30</v>
      </c>
      <c r="Q103" s="36">
        <v>46035</v>
      </c>
      <c r="R103" s="35" t="s">
        <v>31</v>
      </c>
      <c r="S103" s="35"/>
      <c r="T103" s="35"/>
    </row>
    <row r="104" spans="1:20" ht="15.6" x14ac:dyDescent="0.3">
      <c r="A104" s="35" t="s">
        <v>19</v>
      </c>
      <c r="B104" s="35" t="s">
        <v>38</v>
      </c>
      <c r="C104" s="35" t="s">
        <v>39</v>
      </c>
      <c r="D104" s="35" t="s">
        <v>204</v>
      </c>
      <c r="E104" s="35" t="s">
        <v>40</v>
      </c>
      <c r="F104" s="35" t="s">
        <v>36</v>
      </c>
      <c r="G104" s="35" t="s">
        <v>215</v>
      </c>
      <c r="H104" s="35" t="s">
        <v>26</v>
      </c>
      <c r="I104" s="35" t="s">
        <v>27</v>
      </c>
      <c r="J104" s="35">
        <v>427</v>
      </c>
      <c r="K104" s="35" t="s">
        <v>123</v>
      </c>
      <c r="L104" s="35">
        <v>20</v>
      </c>
      <c r="M104" s="37">
        <v>160000</v>
      </c>
      <c r="N104" s="38">
        <f t="shared" si="2"/>
        <v>8000</v>
      </c>
      <c r="O104" s="35" t="s">
        <v>29</v>
      </c>
      <c r="P104" s="35" t="s">
        <v>30</v>
      </c>
      <c r="Q104" s="36">
        <v>46035</v>
      </c>
      <c r="R104" s="35" t="s">
        <v>31</v>
      </c>
      <c r="S104" s="35"/>
      <c r="T104" s="35"/>
    </row>
    <row r="105" spans="1:20" ht="15.6" x14ac:dyDescent="0.3">
      <c r="A105" s="35" t="s">
        <v>19</v>
      </c>
      <c r="B105" s="35" t="s">
        <v>20</v>
      </c>
      <c r="C105" s="35" t="s">
        <v>21</v>
      </c>
      <c r="D105" s="35" t="s">
        <v>216</v>
      </c>
      <c r="E105" s="41" t="s">
        <v>23</v>
      </c>
      <c r="F105" s="35" t="s">
        <v>217</v>
      </c>
      <c r="G105" s="35" t="s">
        <v>218</v>
      </c>
      <c r="H105" s="35" t="s">
        <v>85</v>
      </c>
      <c r="I105" s="35" t="s">
        <v>27</v>
      </c>
      <c r="J105" s="35">
        <v>428</v>
      </c>
      <c r="K105" s="35" t="s">
        <v>7</v>
      </c>
      <c r="L105" s="35">
        <v>9</v>
      </c>
      <c r="M105" s="37">
        <v>0</v>
      </c>
      <c r="N105" s="38">
        <f t="shared" si="2"/>
        <v>0</v>
      </c>
      <c r="O105" s="35" t="s">
        <v>29</v>
      </c>
      <c r="P105" s="35" t="s">
        <v>30</v>
      </c>
      <c r="Q105" s="36">
        <v>46036</v>
      </c>
      <c r="R105" s="35" t="s">
        <v>31</v>
      </c>
      <c r="S105" s="35"/>
      <c r="T105" s="35"/>
    </row>
    <row r="106" spans="1:20" ht="15.6" x14ac:dyDescent="0.3">
      <c r="A106" s="35" t="s">
        <v>19</v>
      </c>
      <c r="B106" s="35" t="s">
        <v>20</v>
      </c>
      <c r="C106" s="35" t="s">
        <v>21</v>
      </c>
      <c r="D106" s="35" t="s">
        <v>216</v>
      </c>
      <c r="E106" s="41" t="s">
        <v>23</v>
      </c>
      <c r="F106" s="35" t="s">
        <v>217</v>
      </c>
      <c r="G106" s="35" t="s">
        <v>219</v>
      </c>
      <c r="H106" s="35" t="s">
        <v>85</v>
      </c>
      <c r="I106" s="35" t="s">
        <v>27</v>
      </c>
      <c r="J106" s="35">
        <v>429</v>
      </c>
      <c r="K106" s="35" t="s">
        <v>7</v>
      </c>
      <c r="L106" s="35">
        <v>4</v>
      </c>
      <c r="M106" s="37">
        <v>0</v>
      </c>
      <c r="N106" s="38">
        <f t="shared" si="2"/>
        <v>0</v>
      </c>
      <c r="O106" s="35" t="s">
        <v>29</v>
      </c>
      <c r="P106" s="35" t="s">
        <v>30</v>
      </c>
      <c r="Q106" s="36">
        <v>46036</v>
      </c>
      <c r="R106" s="35" t="s">
        <v>31</v>
      </c>
      <c r="S106" s="35"/>
      <c r="T106" s="35"/>
    </row>
    <row r="107" spans="1:20" ht="15.6" x14ac:dyDescent="0.3">
      <c r="A107" s="35" t="s">
        <v>19</v>
      </c>
      <c r="B107" s="35" t="s">
        <v>20</v>
      </c>
      <c r="C107" s="35" t="s">
        <v>21</v>
      </c>
      <c r="D107" s="35" t="s">
        <v>216</v>
      </c>
      <c r="E107" s="41" t="s">
        <v>23</v>
      </c>
      <c r="F107" s="35" t="s">
        <v>217</v>
      </c>
      <c r="G107" s="35" t="s">
        <v>220</v>
      </c>
      <c r="H107" s="35" t="s">
        <v>85</v>
      </c>
      <c r="I107" s="35" t="s">
        <v>27</v>
      </c>
      <c r="J107" s="35">
        <v>430</v>
      </c>
      <c r="K107" s="35" t="s">
        <v>7</v>
      </c>
      <c r="L107" s="35">
        <v>8</v>
      </c>
      <c r="M107" s="37">
        <v>0</v>
      </c>
      <c r="N107" s="38">
        <f t="shared" si="2"/>
        <v>0</v>
      </c>
      <c r="O107" s="35" t="s">
        <v>29</v>
      </c>
      <c r="P107" s="35" t="s">
        <v>30</v>
      </c>
      <c r="Q107" s="36">
        <v>46036</v>
      </c>
      <c r="R107" s="35" t="s">
        <v>31</v>
      </c>
      <c r="S107" s="35"/>
      <c r="T107" s="35"/>
    </row>
    <row r="108" spans="1:20" ht="15.6" x14ac:dyDescent="0.3">
      <c r="A108" s="35" t="s">
        <v>19</v>
      </c>
      <c r="B108" s="35" t="s">
        <v>221</v>
      </c>
      <c r="C108" s="35" t="s">
        <v>222</v>
      </c>
      <c r="D108" s="35" t="s">
        <v>216</v>
      </c>
      <c r="E108" s="35" t="s">
        <v>47</v>
      </c>
      <c r="F108" s="41" t="s">
        <v>54</v>
      </c>
      <c r="G108" s="35" t="s">
        <v>223</v>
      </c>
      <c r="H108" s="35" t="s">
        <v>56</v>
      </c>
      <c r="I108" s="35" t="s">
        <v>27</v>
      </c>
      <c r="J108" s="35">
        <v>431</v>
      </c>
      <c r="K108" s="35" t="s">
        <v>28</v>
      </c>
      <c r="L108" s="35">
        <v>5</v>
      </c>
      <c r="M108" s="43">
        <v>30935</v>
      </c>
      <c r="N108" s="38">
        <f t="shared" si="2"/>
        <v>6187</v>
      </c>
      <c r="O108" s="35" t="s">
        <v>29</v>
      </c>
      <c r="P108" s="35" t="s">
        <v>30</v>
      </c>
      <c r="Q108" s="36">
        <v>46036</v>
      </c>
      <c r="R108" s="35" t="s">
        <v>31</v>
      </c>
      <c r="S108" s="35"/>
      <c r="T108" s="35"/>
    </row>
    <row r="109" spans="1:20" ht="15.6" x14ac:dyDescent="0.3">
      <c r="A109" s="35" t="s">
        <v>19</v>
      </c>
      <c r="B109" s="35" t="s">
        <v>224</v>
      </c>
      <c r="C109" s="35" t="s">
        <v>225</v>
      </c>
      <c r="D109" s="35" t="s">
        <v>216</v>
      </c>
      <c r="E109" s="35" t="s">
        <v>47</v>
      </c>
      <c r="F109" s="35" t="s">
        <v>54</v>
      </c>
      <c r="G109" s="35" t="s">
        <v>226</v>
      </c>
      <c r="H109" s="35" t="s">
        <v>26</v>
      </c>
      <c r="I109" s="35" t="s">
        <v>27</v>
      </c>
      <c r="J109" s="35">
        <v>432</v>
      </c>
      <c r="K109" s="35" t="s">
        <v>28</v>
      </c>
      <c r="L109" s="35">
        <v>2</v>
      </c>
      <c r="M109" s="43">
        <v>30660</v>
      </c>
      <c r="N109" s="38">
        <f t="shared" si="2"/>
        <v>15330</v>
      </c>
      <c r="O109" s="35" t="s">
        <v>29</v>
      </c>
      <c r="P109" s="35" t="s">
        <v>30</v>
      </c>
      <c r="Q109" s="36">
        <v>46126</v>
      </c>
      <c r="R109" s="35" t="s">
        <v>31</v>
      </c>
      <c r="S109" s="35"/>
      <c r="T109" s="35"/>
    </row>
    <row r="110" spans="1:20" ht="15.6" x14ac:dyDescent="0.3">
      <c r="A110" s="35" t="s">
        <v>19</v>
      </c>
      <c r="B110" s="35" t="s">
        <v>224</v>
      </c>
      <c r="C110" s="35" t="s">
        <v>225</v>
      </c>
      <c r="D110" s="35" t="s">
        <v>216</v>
      </c>
      <c r="E110" s="35" t="s">
        <v>47</v>
      </c>
      <c r="F110" s="35" t="s">
        <v>54</v>
      </c>
      <c r="G110" s="35" t="s">
        <v>227</v>
      </c>
      <c r="H110" s="35" t="s">
        <v>26</v>
      </c>
      <c r="I110" s="35" t="s">
        <v>27</v>
      </c>
      <c r="J110" s="35">
        <v>432</v>
      </c>
      <c r="K110" s="35" t="s">
        <v>28</v>
      </c>
      <c r="L110" s="35">
        <v>5</v>
      </c>
      <c r="M110" s="43">
        <v>22050</v>
      </c>
      <c r="N110" s="38">
        <f t="shared" si="2"/>
        <v>4410</v>
      </c>
      <c r="O110" s="35" t="s">
        <v>29</v>
      </c>
      <c r="P110" s="35" t="s">
        <v>30</v>
      </c>
      <c r="Q110" s="36">
        <v>46126</v>
      </c>
      <c r="R110" s="35" t="s">
        <v>31</v>
      </c>
      <c r="S110" s="35"/>
      <c r="T110" s="35"/>
    </row>
    <row r="111" spans="1:20" ht="15.6" x14ac:dyDescent="0.3">
      <c r="A111" s="35" t="s">
        <v>19</v>
      </c>
      <c r="B111" s="35" t="s">
        <v>224</v>
      </c>
      <c r="C111" s="35" t="s">
        <v>225</v>
      </c>
      <c r="D111" s="35" t="s">
        <v>216</v>
      </c>
      <c r="E111" s="35" t="s">
        <v>47</v>
      </c>
      <c r="F111" s="35" t="s">
        <v>54</v>
      </c>
      <c r="G111" s="35" t="s">
        <v>228</v>
      </c>
      <c r="H111" s="35" t="s">
        <v>26</v>
      </c>
      <c r="I111" s="35" t="s">
        <v>27</v>
      </c>
      <c r="J111" s="35">
        <v>432</v>
      </c>
      <c r="K111" s="35" t="s">
        <v>28</v>
      </c>
      <c r="L111" s="35">
        <v>5</v>
      </c>
      <c r="M111" s="43">
        <v>22050</v>
      </c>
      <c r="N111" s="38">
        <f t="shared" si="2"/>
        <v>4410</v>
      </c>
      <c r="O111" s="35" t="s">
        <v>29</v>
      </c>
      <c r="P111" s="35" t="s">
        <v>30</v>
      </c>
      <c r="Q111" s="36">
        <v>46126</v>
      </c>
      <c r="R111" s="35" t="s">
        <v>31</v>
      </c>
      <c r="S111" s="35"/>
      <c r="T111" s="35"/>
    </row>
    <row r="112" spans="1:20" ht="15.6" x14ac:dyDescent="0.3">
      <c r="A112" s="35" t="s">
        <v>19</v>
      </c>
      <c r="B112" s="35" t="s">
        <v>224</v>
      </c>
      <c r="C112" s="35" t="s">
        <v>225</v>
      </c>
      <c r="D112" s="35" t="s">
        <v>216</v>
      </c>
      <c r="E112" s="35" t="s">
        <v>47</v>
      </c>
      <c r="F112" s="35" t="s">
        <v>54</v>
      </c>
      <c r="G112" s="35" t="s">
        <v>229</v>
      </c>
      <c r="H112" s="35" t="s">
        <v>26</v>
      </c>
      <c r="I112" s="35" t="s">
        <v>27</v>
      </c>
      <c r="J112" s="35">
        <v>432</v>
      </c>
      <c r="K112" s="35" t="s">
        <v>28</v>
      </c>
      <c r="L112" s="35">
        <v>15</v>
      </c>
      <c r="M112" s="43">
        <v>87150</v>
      </c>
      <c r="N112" s="38">
        <f t="shared" si="2"/>
        <v>5810</v>
      </c>
      <c r="O112" s="35" t="s">
        <v>29</v>
      </c>
      <c r="P112" s="35" t="s">
        <v>30</v>
      </c>
      <c r="Q112" s="36">
        <v>46126</v>
      </c>
      <c r="R112" s="35" t="s">
        <v>31</v>
      </c>
      <c r="S112" s="35"/>
      <c r="T112" s="35"/>
    </row>
    <row r="113" spans="1:20" ht="15.6" x14ac:dyDescent="0.3">
      <c r="A113" s="35" t="s">
        <v>19</v>
      </c>
      <c r="B113" s="35" t="s">
        <v>224</v>
      </c>
      <c r="C113" s="35" t="s">
        <v>225</v>
      </c>
      <c r="D113" s="35" t="s">
        <v>216</v>
      </c>
      <c r="E113" s="35" t="s">
        <v>47</v>
      </c>
      <c r="F113" s="35" t="s">
        <v>54</v>
      </c>
      <c r="G113" s="35" t="s">
        <v>130</v>
      </c>
      <c r="H113" s="35" t="s">
        <v>26</v>
      </c>
      <c r="I113" s="35" t="s">
        <v>27</v>
      </c>
      <c r="J113" s="35">
        <v>432</v>
      </c>
      <c r="K113" s="35" t="s">
        <v>28</v>
      </c>
      <c r="L113" s="35">
        <v>30</v>
      </c>
      <c r="M113" s="43">
        <v>132300</v>
      </c>
      <c r="N113" s="38">
        <f t="shared" si="2"/>
        <v>4410</v>
      </c>
      <c r="O113" s="35" t="s">
        <v>29</v>
      </c>
      <c r="P113" s="35" t="s">
        <v>30</v>
      </c>
      <c r="Q113" s="36">
        <v>46126</v>
      </c>
      <c r="R113" s="35" t="s">
        <v>31</v>
      </c>
      <c r="S113" s="35"/>
      <c r="T113" s="35"/>
    </row>
    <row r="114" spans="1:20" ht="15.6" x14ac:dyDescent="0.3">
      <c r="A114" s="35" t="s">
        <v>19</v>
      </c>
      <c r="B114" s="35" t="s">
        <v>224</v>
      </c>
      <c r="C114" s="35" t="s">
        <v>225</v>
      </c>
      <c r="D114" s="35" t="s">
        <v>216</v>
      </c>
      <c r="E114" s="35" t="s">
        <v>47</v>
      </c>
      <c r="F114" s="35" t="s">
        <v>54</v>
      </c>
      <c r="G114" s="35" t="s">
        <v>230</v>
      </c>
      <c r="H114" s="35" t="s">
        <v>26</v>
      </c>
      <c r="I114" s="35" t="s">
        <v>27</v>
      </c>
      <c r="J114" s="35">
        <v>432</v>
      </c>
      <c r="K114" s="35" t="s">
        <v>28</v>
      </c>
      <c r="L114" s="35">
        <v>8</v>
      </c>
      <c r="M114" s="43">
        <v>46480</v>
      </c>
      <c r="N114" s="38">
        <f t="shared" si="2"/>
        <v>5810</v>
      </c>
      <c r="O114" s="35" t="s">
        <v>29</v>
      </c>
      <c r="P114" s="35" t="s">
        <v>30</v>
      </c>
      <c r="Q114" s="36">
        <v>46126</v>
      </c>
      <c r="R114" s="35" t="s">
        <v>31</v>
      </c>
      <c r="S114" s="35"/>
      <c r="T114" s="35"/>
    </row>
    <row r="115" spans="1:20" ht="15.6" x14ac:dyDescent="0.3">
      <c r="A115" s="35" t="s">
        <v>19</v>
      </c>
      <c r="B115" s="35" t="s">
        <v>224</v>
      </c>
      <c r="C115" s="35" t="s">
        <v>225</v>
      </c>
      <c r="D115" s="35" t="s">
        <v>216</v>
      </c>
      <c r="E115" s="35" t="s">
        <v>47</v>
      </c>
      <c r="F115" s="35" t="s">
        <v>54</v>
      </c>
      <c r="G115" s="35" t="s">
        <v>128</v>
      </c>
      <c r="H115" s="35" t="s">
        <v>26</v>
      </c>
      <c r="I115" s="35" t="s">
        <v>27</v>
      </c>
      <c r="J115" s="35">
        <v>432</v>
      </c>
      <c r="K115" s="35" t="s">
        <v>28</v>
      </c>
      <c r="L115" s="35">
        <v>40</v>
      </c>
      <c r="M115" s="43">
        <v>176400</v>
      </c>
      <c r="N115" s="38">
        <f t="shared" si="2"/>
        <v>4410</v>
      </c>
      <c r="O115" s="35" t="s">
        <v>29</v>
      </c>
      <c r="P115" s="35" t="s">
        <v>30</v>
      </c>
      <c r="Q115" s="36">
        <v>46126</v>
      </c>
      <c r="R115" s="35" t="s">
        <v>31</v>
      </c>
      <c r="S115" s="35"/>
      <c r="T115" s="35"/>
    </row>
    <row r="116" spans="1:20" ht="15.6" x14ac:dyDescent="0.3">
      <c r="A116" s="35" t="s">
        <v>19</v>
      </c>
      <c r="B116" s="35" t="s">
        <v>224</v>
      </c>
      <c r="C116" s="35" t="s">
        <v>225</v>
      </c>
      <c r="D116" s="35" t="s">
        <v>216</v>
      </c>
      <c r="E116" s="35" t="s">
        <v>47</v>
      </c>
      <c r="F116" s="35" t="s">
        <v>54</v>
      </c>
      <c r="G116" s="35" t="s">
        <v>99</v>
      </c>
      <c r="H116" s="35" t="s">
        <v>26</v>
      </c>
      <c r="I116" s="35" t="s">
        <v>27</v>
      </c>
      <c r="J116" s="35">
        <v>432</v>
      </c>
      <c r="K116" s="35" t="s">
        <v>28</v>
      </c>
      <c r="L116" s="35">
        <v>20</v>
      </c>
      <c r="M116" s="43">
        <v>82600</v>
      </c>
      <c r="N116" s="38">
        <f t="shared" si="2"/>
        <v>4130</v>
      </c>
      <c r="O116" s="35" t="s">
        <v>29</v>
      </c>
      <c r="P116" s="35" t="s">
        <v>30</v>
      </c>
      <c r="Q116" s="36">
        <v>46126</v>
      </c>
      <c r="R116" s="35" t="s">
        <v>31</v>
      </c>
      <c r="S116" s="35"/>
      <c r="T116" s="35"/>
    </row>
    <row r="117" spans="1:20" ht="15.6" x14ac:dyDescent="0.3">
      <c r="A117" s="35" t="s">
        <v>19</v>
      </c>
      <c r="B117" s="35" t="s">
        <v>224</v>
      </c>
      <c r="C117" s="35" t="s">
        <v>225</v>
      </c>
      <c r="D117" s="35" t="s">
        <v>216</v>
      </c>
      <c r="E117" s="35" t="s">
        <v>47</v>
      </c>
      <c r="F117" s="35" t="s">
        <v>54</v>
      </c>
      <c r="G117" s="35" t="s">
        <v>231</v>
      </c>
      <c r="H117" s="35" t="s">
        <v>26</v>
      </c>
      <c r="I117" s="35" t="s">
        <v>27</v>
      </c>
      <c r="J117" s="35">
        <v>432</v>
      </c>
      <c r="K117" s="35" t="s">
        <v>28</v>
      </c>
      <c r="L117" s="35">
        <v>1</v>
      </c>
      <c r="M117" s="43">
        <v>6020</v>
      </c>
      <c r="N117" s="38">
        <f t="shared" si="2"/>
        <v>6020</v>
      </c>
      <c r="O117" s="35" t="s">
        <v>29</v>
      </c>
      <c r="P117" s="35" t="s">
        <v>30</v>
      </c>
      <c r="Q117" s="36">
        <v>46126</v>
      </c>
      <c r="R117" s="35" t="s">
        <v>31</v>
      </c>
      <c r="S117" s="35"/>
      <c r="T117" s="35"/>
    </row>
    <row r="118" spans="1:20" ht="15.6" x14ac:dyDescent="0.3">
      <c r="A118" s="35" t="s">
        <v>19</v>
      </c>
      <c r="B118" s="35" t="s">
        <v>224</v>
      </c>
      <c r="C118" s="35" t="s">
        <v>225</v>
      </c>
      <c r="D118" s="35" t="s">
        <v>216</v>
      </c>
      <c r="E118" s="35" t="s">
        <v>47</v>
      </c>
      <c r="F118" s="35" t="s">
        <v>54</v>
      </c>
      <c r="G118" s="35" t="s">
        <v>232</v>
      </c>
      <c r="H118" s="35" t="s">
        <v>26</v>
      </c>
      <c r="I118" s="35" t="s">
        <v>27</v>
      </c>
      <c r="J118" s="35">
        <v>432</v>
      </c>
      <c r="K118" s="35" t="s">
        <v>28</v>
      </c>
      <c r="L118" s="35">
        <v>1</v>
      </c>
      <c r="M118" s="43">
        <v>5810</v>
      </c>
      <c r="N118" s="38">
        <f t="shared" si="2"/>
        <v>5810</v>
      </c>
      <c r="O118" s="35" t="s">
        <v>29</v>
      </c>
      <c r="P118" s="35" t="s">
        <v>30</v>
      </c>
      <c r="Q118" s="36">
        <v>46126</v>
      </c>
      <c r="R118" s="35" t="s">
        <v>31</v>
      </c>
      <c r="S118" s="35"/>
      <c r="T118" s="35"/>
    </row>
    <row r="119" spans="1:20" ht="15.6" x14ac:dyDescent="0.3">
      <c r="A119" s="35" t="s">
        <v>19</v>
      </c>
      <c r="B119" s="35" t="s">
        <v>224</v>
      </c>
      <c r="C119" s="35" t="s">
        <v>225</v>
      </c>
      <c r="D119" s="35" t="s">
        <v>216</v>
      </c>
      <c r="E119" s="35" t="s">
        <v>47</v>
      </c>
      <c r="F119" s="35" t="s">
        <v>54</v>
      </c>
      <c r="G119" s="35" t="s">
        <v>75</v>
      </c>
      <c r="H119" s="35" t="s">
        <v>26</v>
      </c>
      <c r="I119" s="35" t="s">
        <v>27</v>
      </c>
      <c r="J119" s="35">
        <v>433</v>
      </c>
      <c r="K119" s="35" t="s">
        <v>28</v>
      </c>
      <c r="L119" s="35">
        <v>5</v>
      </c>
      <c r="M119" s="43">
        <v>30275</v>
      </c>
      <c r="N119" s="38">
        <f t="shared" si="2"/>
        <v>6055</v>
      </c>
      <c r="O119" s="35" t="s">
        <v>29</v>
      </c>
      <c r="P119" s="35" t="s">
        <v>30</v>
      </c>
      <c r="Q119" s="36">
        <v>46126</v>
      </c>
      <c r="R119" s="35" t="s">
        <v>31</v>
      </c>
      <c r="S119" s="35"/>
      <c r="T119" s="35"/>
    </row>
    <row r="120" spans="1:20" ht="15.6" x14ac:dyDescent="0.3">
      <c r="A120" s="35" t="s">
        <v>19</v>
      </c>
      <c r="B120" s="35" t="s">
        <v>224</v>
      </c>
      <c r="C120" s="35" t="s">
        <v>225</v>
      </c>
      <c r="D120" s="35" t="s">
        <v>216</v>
      </c>
      <c r="E120" s="35" t="s">
        <v>47</v>
      </c>
      <c r="F120" s="35" t="s">
        <v>54</v>
      </c>
      <c r="G120" s="35" t="s">
        <v>125</v>
      </c>
      <c r="H120" s="35" t="s">
        <v>26</v>
      </c>
      <c r="I120" s="35" t="s">
        <v>27</v>
      </c>
      <c r="J120" s="35">
        <v>433</v>
      </c>
      <c r="K120" s="35" t="s">
        <v>28</v>
      </c>
      <c r="L120" s="35">
        <v>15</v>
      </c>
      <c r="M120" s="43">
        <v>198450</v>
      </c>
      <c r="N120" s="38">
        <f t="shared" si="2"/>
        <v>13230</v>
      </c>
      <c r="O120" s="35" t="s">
        <v>29</v>
      </c>
      <c r="P120" s="35" t="s">
        <v>30</v>
      </c>
      <c r="Q120" s="36">
        <v>46126</v>
      </c>
      <c r="R120" s="35" t="s">
        <v>31</v>
      </c>
      <c r="S120" s="35"/>
      <c r="T120" s="35"/>
    </row>
    <row r="121" spans="1:20" ht="15.6" x14ac:dyDescent="0.3">
      <c r="A121" s="35" t="s">
        <v>19</v>
      </c>
      <c r="B121" s="35" t="s">
        <v>224</v>
      </c>
      <c r="C121" s="35" t="s">
        <v>225</v>
      </c>
      <c r="D121" s="35" t="s">
        <v>216</v>
      </c>
      <c r="E121" s="35" t="s">
        <v>47</v>
      </c>
      <c r="F121" s="35" t="s">
        <v>54</v>
      </c>
      <c r="G121" s="35" t="s">
        <v>233</v>
      </c>
      <c r="H121" s="35" t="s">
        <v>26</v>
      </c>
      <c r="I121" s="35" t="s">
        <v>27</v>
      </c>
      <c r="J121" s="35">
        <v>433</v>
      </c>
      <c r="K121" s="35" t="s">
        <v>28</v>
      </c>
      <c r="L121" s="35">
        <v>4</v>
      </c>
      <c r="M121" s="43">
        <v>34160</v>
      </c>
      <c r="N121" s="38">
        <f t="shared" si="2"/>
        <v>8540</v>
      </c>
      <c r="O121" s="35" t="s">
        <v>29</v>
      </c>
      <c r="P121" s="35" t="s">
        <v>30</v>
      </c>
      <c r="Q121" s="36">
        <v>46126</v>
      </c>
      <c r="R121" s="35" t="s">
        <v>31</v>
      </c>
      <c r="S121" s="35"/>
      <c r="T121" s="35"/>
    </row>
    <row r="122" spans="1:20" ht="15.6" x14ac:dyDescent="0.3">
      <c r="A122" s="35" t="s">
        <v>19</v>
      </c>
      <c r="B122" s="35" t="s">
        <v>224</v>
      </c>
      <c r="C122" s="35" t="s">
        <v>225</v>
      </c>
      <c r="D122" s="35" t="s">
        <v>216</v>
      </c>
      <c r="E122" s="35" t="s">
        <v>47</v>
      </c>
      <c r="F122" s="35" t="s">
        <v>54</v>
      </c>
      <c r="G122" s="35" t="s">
        <v>192</v>
      </c>
      <c r="H122" s="35" t="s">
        <v>26</v>
      </c>
      <c r="I122" s="35" t="s">
        <v>27</v>
      </c>
      <c r="J122" s="35">
        <v>433</v>
      </c>
      <c r="K122" s="35" t="s">
        <v>28</v>
      </c>
      <c r="L122" s="35">
        <v>10</v>
      </c>
      <c r="M122" s="43">
        <v>80500</v>
      </c>
      <c r="N122" s="38">
        <f t="shared" si="2"/>
        <v>8050</v>
      </c>
      <c r="O122" s="35" t="s">
        <v>29</v>
      </c>
      <c r="P122" s="35" t="s">
        <v>30</v>
      </c>
      <c r="Q122" s="36">
        <v>46126</v>
      </c>
      <c r="R122" s="35" t="s">
        <v>31</v>
      </c>
      <c r="S122" s="35"/>
      <c r="T122" s="35"/>
    </row>
    <row r="123" spans="1:20" ht="15.6" x14ac:dyDescent="0.3">
      <c r="A123" s="35" t="s">
        <v>19</v>
      </c>
      <c r="B123" s="35" t="s">
        <v>224</v>
      </c>
      <c r="C123" s="35" t="s">
        <v>225</v>
      </c>
      <c r="D123" s="35" t="s">
        <v>216</v>
      </c>
      <c r="E123" s="35" t="s">
        <v>47</v>
      </c>
      <c r="F123" s="35" t="s">
        <v>54</v>
      </c>
      <c r="G123" s="35" t="s">
        <v>168</v>
      </c>
      <c r="H123" s="35" t="s">
        <v>26</v>
      </c>
      <c r="I123" s="35" t="s">
        <v>27</v>
      </c>
      <c r="J123" s="35">
        <v>433</v>
      </c>
      <c r="K123" s="35" t="s">
        <v>28</v>
      </c>
      <c r="L123" s="35">
        <v>3</v>
      </c>
      <c r="M123" s="43">
        <v>17430</v>
      </c>
      <c r="N123" s="38">
        <f t="shared" si="2"/>
        <v>5810</v>
      </c>
      <c r="O123" s="35" t="s">
        <v>29</v>
      </c>
      <c r="P123" s="35" t="s">
        <v>30</v>
      </c>
      <c r="Q123" s="36">
        <v>46126</v>
      </c>
      <c r="R123" s="35" t="s">
        <v>31</v>
      </c>
      <c r="S123" s="35"/>
      <c r="T123" s="35"/>
    </row>
    <row r="124" spans="1:20" ht="15.6" x14ac:dyDescent="0.3">
      <c r="A124" s="35" t="s">
        <v>19</v>
      </c>
      <c r="B124" s="35" t="s">
        <v>224</v>
      </c>
      <c r="C124" s="35" t="s">
        <v>225</v>
      </c>
      <c r="D124" s="35" t="s">
        <v>216</v>
      </c>
      <c r="E124" s="35" t="s">
        <v>47</v>
      </c>
      <c r="F124" s="35" t="s">
        <v>54</v>
      </c>
      <c r="G124" s="35" t="s">
        <v>229</v>
      </c>
      <c r="H124" s="35" t="s">
        <v>26</v>
      </c>
      <c r="I124" s="35" t="s">
        <v>27</v>
      </c>
      <c r="J124" s="35">
        <v>433</v>
      </c>
      <c r="K124" s="35" t="s">
        <v>28</v>
      </c>
      <c r="L124" s="35">
        <v>15</v>
      </c>
      <c r="M124" s="43">
        <v>87150</v>
      </c>
      <c r="N124" s="38">
        <f t="shared" si="2"/>
        <v>5810</v>
      </c>
      <c r="O124" s="35" t="s">
        <v>29</v>
      </c>
      <c r="P124" s="35" t="s">
        <v>30</v>
      </c>
      <c r="Q124" s="36">
        <v>46126</v>
      </c>
      <c r="R124" s="35" t="s">
        <v>31</v>
      </c>
      <c r="S124" s="35"/>
      <c r="T124" s="35"/>
    </row>
    <row r="125" spans="1:20" ht="15.6" x14ac:dyDescent="0.3">
      <c r="A125" s="35" t="s">
        <v>19</v>
      </c>
      <c r="B125" s="35" t="s">
        <v>224</v>
      </c>
      <c r="C125" s="35" t="s">
        <v>225</v>
      </c>
      <c r="D125" s="35" t="s">
        <v>216</v>
      </c>
      <c r="E125" s="35" t="s">
        <v>47</v>
      </c>
      <c r="F125" s="35" t="s">
        <v>54</v>
      </c>
      <c r="G125" s="35" t="s">
        <v>230</v>
      </c>
      <c r="H125" s="35" t="s">
        <v>26</v>
      </c>
      <c r="I125" s="35" t="s">
        <v>27</v>
      </c>
      <c r="J125" s="35">
        <v>433</v>
      </c>
      <c r="K125" s="35" t="s">
        <v>28</v>
      </c>
      <c r="L125" s="35">
        <v>27</v>
      </c>
      <c r="M125" s="43">
        <v>156870</v>
      </c>
      <c r="N125" s="38">
        <f t="shared" si="2"/>
        <v>5810</v>
      </c>
      <c r="O125" s="35" t="s">
        <v>29</v>
      </c>
      <c r="P125" s="35" t="s">
        <v>30</v>
      </c>
      <c r="Q125" s="36">
        <v>46126</v>
      </c>
      <c r="R125" s="35" t="s">
        <v>31</v>
      </c>
      <c r="S125" s="35"/>
      <c r="T125" s="35"/>
    </row>
    <row r="126" spans="1:20" ht="15.6" x14ac:dyDescent="0.3">
      <c r="A126" s="35" t="s">
        <v>19</v>
      </c>
      <c r="B126" s="35" t="s">
        <v>224</v>
      </c>
      <c r="C126" s="35" t="s">
        <v>225</v>
      </c>
      <c r="D126" s="35" t="s">
        <v>216</v>
      </c>
      <c r="E126" s="35" t="s">
        <v>47</v>
      </c>
      <c r="F126" s="35" t="s">
        <v>54</v>
      </c>
      <c r="G126" s="35" t="s">
        <v>128</v>
      </c>
      <c r="H126" s="35" t="s">
        <v>26</v>
      </c>
      <c r="I126" s="35" t="s">
        <v>27</v>
      </c>
      <c r="J126" s="35">
        <v>433</v>
      </c>
      <c r="K126" s="35" t="s">
        <v>28</v>
      </c>
      <c r="L126" s="35">
        <v>60</v>
      </c>
      <c r="M126" s="43">
        <v>264600</v>
      </c>
      <c r="N126" s="38">
        <f t="shared" si="2"/>
        <v>4410</v>
      </c>
      <c r="O126" s="35" t="s">
        <v>29</v>
      </c>
      <c r="P126" s="35" t="s">
        <v>30</v>
      </c>
      <c r="Q126" s="36">
        <v>46126</v>
      </c>
      <c r="R126" s="35" t="s">
        <v>31</v>
      </c>
      <c r="S126" s="35"/>
      <c r="T126" s="35"/>
    </row>
    <row r="127" spans="1:20" ht="15.6" x14ac:dyDescent="0.3">
      <c r="A127" s="35" t="s">
        <v>19</v>
      </c>
      <c r="B127" s="35" t="s">
        <v>224</v>
      </c>
      <c r="C127" s="35" t="s">
        <v>225</v>
      </c>
      <c r="D127" s="35" t="s">
        <v>216</v>
      </c>
      <c r="E127" s="35" t="s">
        <v>47</v>
      </c>
      <c r="F127" s="35" t="s">
        <v>54</v>
      </c>
      <c r="G127" s="35" t="s">
        <v>99</v>
      </c>
      <c r="H127" s="35" t="s">
        <v>26</v>
      </c>
      <c r="I127" s="35" t="s">
        <v>27</v>
      </c>
      <c r="J127" s="35">
        <v>433</v>
      </c>
      <c r="K127" s="35" t="s">
        <v>28</v>
      </c>
      <c r="L127" s="35">
        <v>40</v>
      </c>
      <c r="M127" s="43">
        <v>165200</v>
      </c>
      <c r="N127" s="38">
        <f t="shared" si="2"/>
        <v>4130</v>
      </c>
      <c r="O127" s="35" t="s">
        <v>29</v>
      </c>
      <c r="P127" s="35" t="s">
        <v>30</v>
      </c>
      <c r="Q127" s="36">
        <v>46126</v>
      </c>
      <c r="R127" s="35" t="s">
        <v>31</v>
      </c>
      <c r="S127" s="35"/>
      <c r="T127" s="35"/>
    </row>
    <row r="128" spans="1:20" ht="15.6" x14ac:dyDescent="0.3">
      <c r="A128" s="35" t="s">
        <v>19</v>
      </c>
      <c r="B128" s="35" t="s">
        <v>224</v>
      </c>
      <c r="C128" s="35" t="s">
        <v>225</v>
      </c>
      <c r="D128" s="35" t="s">
        <v>216</v>
      </c>
      <c r="E128" s="35" t="s">
        <v>47</v>
      </c>
      <c r="F128" s="35" t="s">
        <v>54</v>
      </c>
      <c r="G128" s="35" t="s">
        <v>231</v>
      </c>
      <c r="H128" s="35" t="s">
        <v>26</v>
      </c>
      <c r="I128" s="35" t="s">
        <v>27</v>
      </c>
      <c r="J128" s="35">
        <v>433</v>
      </c>
      <c r="K128" s="35" t="s">
        <v>28</v>
      </c>
      <c r="L128" s="35">
        <v>8</v>
      </c>
      <c r="M128" s="43">
        <v>48160</v>
      </c>
      <c r="N128" s="38">
        <f t="shared" si="2"/>
        <v>6020</v>
      </c>
      <c r="O128" s="35" t="s">
        <v>29</v>
      </c>
      <c r="P128" s="35" t="s">
        <v>30</v>
      </c>
      <c r="Q128" s="36">
        <v>46126</v>
      </c>
      <c r="R128" s="35" t="s">
        <v>31</v>
      </c>
      <c r="S128" s="35"/>
      <c r="T128" s="35"/>
    </row>
    <row r="129" spans="1:20" ht="15.6" x14ac:dyDescent="0.3">
      <c r="A129" s="35" t="s">
        <v>19</v>
      </c>
      <c r="B129" s="35" t="s">
        <v>224</v>
      </c>
      <c r="C129" s="35" t="s">
        <v>225</v>
      </c>
      <c r="D129" s="35" t="s">
        <v>216</v>
      </c>
      <c r="E129" s="35" t="s">
        <v>47</v>
      </c>
      <c r="F129" s="35" t="s">
        <v>54</v>
      </c>
      <c r="G129" s="35" t="s">
        <v>234</v>
      </c>
      <c r="H129" s="35" t="s">
        <v>26</v>
      </c>
      <c r="I129" s="35" t="s">
        <v>27</v>
      </c>
      <c r="J129" s="35">
        <v>433</v>
      </c>
      <c r="K129" s="35" t="s">
        <v>28</v>
      </c>
      <c r="L129" s="35">
        <v>20</v>
      </c>
      <c r="M129" s="43">
        <v>86800</v>
      </c>
      <c r="N129" s="38">
        <f t="shared" si="2"/>
        <v>4340</v>
      </c>
      <c r="O129" s="35" t="s">
        <v>29</v>
      </c>
      <c r="P129" s="35" t="s">
        <v>30</v>
      </c>
      <c r="Q129" s="36">
        <v>46126</v>
      </c>
      <c r="R129" s="35" t="s">
        <v>31</v>
      </c>
      <c r="S129" s="35"/>
      <c r="T129" s="35"/>
    </row>
    <row r="130" spans="1:20" ht="15.6" x14ac:dyDescent="0.3">
      <c r="A130" s="35" t="s">
        <v>19</v>
      </c>
      <c r="B130" s="35" t="s">
        <v>224</v>
      </c>
      <c r="C130" s="35" t="s">
        <v>225</v>
      </c>
      <c r="D130" s="35" t="s">
        <v>216</v>
      </c>
      <c r="E130" s="35" t="s">
        <v>47</v>
      </c>
      <c r="F130" s="35" t="s">
        <v>54</v>
      </c>
      <c r="G130" s="35" t="s">
        <v>130</v>
      </c>
      <c r="H130" s="35" t="s">
        <v>26</v>
      </c>
      <c r="I130" s="35" t="s">
        <v>27</v>
      </c>
      <c r="J130" s="35">
        <v>433</v>
      </c>
      <c r="K130" s="35" t="s">
        <v>28</v>
      </c>
      <c r="L130" s="35">
        <v>20</v>
      </c>
      <c r="M130" s="43">
        <v>88200</v>
      </c>
      <c r="N130" s="38">
        <f t="shared" si="2"/>
        <v>4410</v>
      </c>
      <c r="O130" s="35" t="s">
        <v>29</v>
      </c>
      <c r="P130" s="35" t="s">
        <v>30</v>
      </c>
      <c r="Q130" s="36">
        <v>46126</v>
      </c>
      <c r="R130" s="35" t="s">
        <v>31</v>
      </c>
      <c r="S130" s="35"/>
      <c r="T130" s="35"/>
    </row>
    <row r="131" spans="1:20" ht="15.6" x14ac:dyDescent="0.3">
      <c r="A131" s="35" t="s">
        <v>19</v>
      </c>
      <c r="B131" s="35" t="s">
        <v>235</v>
      </c>
      <c r="C131" s="35" t="s">
        <v>236</v>
      </c>
      <c r="D131" s="35" t="s">
        <v>216</v>
      </c>
      <c r="E131" s="35" t="s">
        <v>237</v>
      </c>
      <c r="F131" s="35" t="s">
        <v>54</v>
      </c>
      <c r="G131" s="35" t="s">
        <v>238</v>
      </c>
      <c r="H131" s="35" t="s">
        <v>56</v>
      </c>
      <c r="I131" s="35" t="s">
        <v>64</v>
      </c>
      <c r="J131" s="35">
        <v>145</v>
      </c>
      <c r="K131" s="35" t="s">
        <v>7</v>
      </c>
      <c r="L131" s="35">
        <v>70</v>
      </c>
      <c r="M131" s="43">
        <v>1190000</v>
      </c>
      <c r="N131" s="38">
        <f t="shared" si="2"/>
        <v>17000</v>
      </c>
      <c r="O131" s="35" t="s">
        <v>29</v>
      </c>
      <c r="P131" s="35" t="s">
        <v>30</v>
      </c>
      <c r="Q131" s="36">
        <v>46216</v>
      </c>
      <c r="R131" s="35" t="s">
        <v>31</v>
      </c>
      <c r="S131" s="35"/>
      <c r="T131" s="35"/>
    </row>
    <row r="132" spans="1:20" ht="15.6" x14ac:dyDescent="0.3">
      <c r="A132" s="35" t="s">
        <v>19</v>
      </c>
      <c r="B132" s="35" t="s">
        <v>235</v>
      </c>
      <c r="C132" s="35" t="s">
        <v>236</v>
      </c>
      <c r="D132" s="35" t="s">
        <v>216</v>
      </c>
      <c r="E132" s="35" t="s">
        <v>237</v>
      </c>
      <c r="F132" s="35" t="s">
        <v>54</v>
      </c>
      <c r="G132" s="35" t="s">
        <v>239</v>
      </c>
      <c r="H132" s="35" t="s">
        <v>56</v>
      </c>
      <c r="I132" s="35" t="s">
        <v>64</v>
      </c>
      <c r="J132" s="35">
        <v>146</v>
      </c>
      <c r="K132" s="35" t="s">
        <v>28</v>
      </c>
      <c r="L132" s="35">
        <v>1000</v>
      </c>
      <c r="M132" s="43">
        <v>2483000</v>
      </c>
      <c r="N132" s="38">
        <f t="shared" si="2"/>
        <v>2483</v>
      </c>
      <c r="O132" s="35" t="s">
        <v>29</v>
      </c>
      <c r="P132" s="35" t="s">
        <v>30</v>
      </c>
      <c r="Q132" s="36">
        <v>46216</v>
      </c>
      <c r="R132" s="35" t="s">
        <v>31</v>
      </c>
      <c r="S132" s="35"/>
      <c r="T132" s="35"/>
    </row>
    <row r="133" spans="1:20" ht="15.6" x14ac:dyDescent="0.3">
      <c r="A133" s="35" t="s">
        <v>19</v>
      </c>
      <c r="B133" s="35" t="s">
        <v>240</v>
      </c>
      <c r="C133" s="35" t="s">
        <v>241</v>
      </c>
      <c r="D133" s="35" t="s">
        <v>216</v>
      </c>
      <c r="E133" s="35" t="s">
        <v>35</v>
      </c>
      <c r="F133" s="35" t="s">
        <v>36</v>
      </c>
      <c r="G133" s="35" t="s">
        <v>242</v>
      </c>
      <c r="H133" s="35" t="s">
        <v>26</v>
      </c>
      <c r="I133" s="35" t="s">
        <v>64</v>
      </c>
      <c r="J133" s="35">
        <v>147</v>
      </c>
      <c r="K133" s="35" t="s">
        <v>28</v>
      </c>
      <c r="L133" s="35">
        <v>100</v>
      </c>
      <c r="M133" s="37">
        <v>800000</v>
      </c>
      <c r="N133" s="38">
        <f t="shared" si="2"/>
        <v>8000</v>
      </c>
      <c r="O133" s="35" t="s">
        <v>29</v>
      </c>
      <c r="P133" s="35" t="s">
        <v>30</v>
      </c>
      <c r="Q133" s="36">
        <v>46164</v>
      </c>
      <c r="R133" s="35" t="s">
        <v>31</v>
      </c>
      <c r="S133" s="35"/>
      <c r="T133" s="35"/>
    </row>
    <row r="134" spans="1:20" ht="15.6" x14ac:dyDescent="0.3">
      <c r="A134" s="35" t="s">
        <v>19</v>
      </c>
      <c r="B134" s="35" t="s">
        <v>240</v>
      </c>
      <c r="C134" s="35" t="s">
        <v>241</v>
      </c>
      <c r="D134" s="35" t="s">
        <v>216</v>
      </c>
      <c r="E134" s="35" t="s">
        <v>35</v>
      </c>
      <c r="F134" s="35" t="s">
        <v>36</v>
      </c>
      <c r="G134" s="35" t="s">
        <v>243</v>
      </c>
      <c r="H134" s="35" t="s">
        <v>26</v>
      </c>
      <c r="I134" s="35" t="s">
        <v>64</v>
      </c>
      <c r="J134" s="35">
        <v>147</v>
      </c>
      <c r="K134" s="35" t="s">
        <v>28</v>
      </c>
      <c r="L134" s="35">
        <v>100</v>
      </c>
      <c r="M134" s="37">
        <v>500000</v>
      </c>
      <c r="N134" s="38">
        <f t="shared" si="2"/>
        <v>5000</v>
      </c>
      <c r="O134" s="35" t="s">
        <v>29</v>
      </c>
      <c r="P134" s="35" t="s">
        <v>30</v>
      </c>
      <c r="Q134" s="36">
        <v>46164</v>
      </c>
      <c r="R134" s="35" t="s">
        <v>31</v>
      </c>
      <c r="S134" s="35"/>
      <c r="T134" s="35"/>
    </row>
    <row r="135" spans="1:20" ht="15.6" x14ac:dyDescent="0.3">
      <c r="A135" s="35" t="s">
        <v>19</v>
      </c>
      <c r="B135" s="35" t="s">
        <v>240</v>
      </c>
      <c r="C135" s="35" t="s">
        <v>241</v>
      </c>
      <c r="D135" s="35" t="s">
        <v>216</v>
      </c>
      <c r="E135" s="35" t="s">
        <v>35</v>
      </c>
      <c r="F135" s="35" t="s">
        <v>36</v>
      </c>
      <c r="G135" s="35" t="s">
        <v>244</v>
      </c>
      <c r="H135" s="35" t="s">
        <v>26</v>
      </c>
      <c r="I135" s="35" t="s">
        <v>64</v>
      </c>
      <c r="J135" s="35">
        <v>147</v>
      </c>
      <c r="K135" s="35" t="s">
        <v>28</v>
      </c>
      <c r="L135" s="35">
        <v>100</v>
      </c>
      <c r="M135" s="37">
        <v>700000</v>
      </c>
      <c r="N135" s="38">
        <f t="shared" si="2"/>
        <v>7000</v>
      </c>
      <c r="O135" s="35" t="s">
        <v>29</v>
      </c>
      <c r="P135" s="35" t="s">
        <v>30</v>
      </c>
      <c r="Q135" s="36">
        <v>46164</v>
      </c>
      <c r="R135" s="35" t="s">
        <v>31</v>
      </c>
      <c r="S135" s="35"/>
      <c r="T135" s="35"/>
    </row>
    <row r="136" spans="1:20" ht="15.6" x14ac:dyDescent="0.3">
      <c r="A136" s="35" t="s">
        <v>19</v>
      </c>
      <c r="B136" s="35" t="s">
        <v>240</v>
      </c>
      <c r="C136" s="35" t="s">
        <v>241</v>
      </c>
      <c r="D136" s="35" t="s">
        <v>216</v>
      </c>
      <c r="E136" s="35" t="s">
        <v>35</v>
      </c>
      <c r="F136" s="35" t="s">
        <v>36</v>
      </c>
      <c r="G136" s="35" t="s">
        <v>245</v>
      </c>
      <c r="H136" s="35" t="s">
        <v>26</v>
      </c>
      <c r="I136" s="35" t="s">
        <v>64</v>
      </c>
      <c r="J136" s="35">
        <v>147</v>
      </c>
      <c r="K136" s="35" t="s">
        <v>28</v>
      </c>
      <c r="L136" s="35">
        <v>200</v>
      </c>
      <c r="M136" s="37">
        <v>1515000</v>
      </c>
      <c r="N136" s="38">
        <f t="shared" si="2"/>
        <v>7575</v>
      </c>
      <c r="O136" s="35" t="s">
        <v>29</v>
      </c>
      <c r="P136" s="35" t="s">
        <v>30</v>
      </c>
      <c r="Q136" s="36">
        <v>46164</v>
      </c>
      <c r="R136" s="35" t="s">
        <v>31</v>
      </c>
      <c r="S136" s="35"/>
      <c r="T136" s="35"/>
    </row>
    <row r="137" spans="1:20" ht="15.6" x14ac:dyDescent="0.3">
      <c r="A137" s="35" t="s">
        <v>19</v>
      </c>
      <c r="B137" s="35" t="s">
        <v>119</v>
      </c>
      <c r="C137" s="35" t="s">
        <v>120</v>
      </c>
      <c r="D137" s="35" t="s">
        <v>216</v>
      </c>
      <c r="E137" s="35" t="s">
        <v>47</v>
      </c>
      <c r="F137" s="35" t="s">
        <v>54</v>
      </c>
      <c r="G137" s="35" t="s">
        <v>130</v>
      </c>
      <c r="H137" s="35" t="s">
        <v>56</v>
      </c>
      <c r="I137" s="35" t="s">
        <v>64</v>
      </c>
      <c r="J137" s="35">
        <v>148</v>
      </c>
      <c r="K137" s="35" t="s">
        <v>28</v>
      </c>
      <c r="L137" s="35">
        <v>5</v>
      </c>
      <c r="M137" s="43">
        <v>26571</v>
      </c>
      <c r="N137" s="38">
        <f t="shared" si="2"/>
        <v>5314.2</v>
      </c>
      <c r="O137" s="35" t="s">
        <v>29</v>
      </c>
      <c r="P137" s="35" t="s">
        <v>30</v>
      </c>
      <c r="Q137" s="36">
        <v>46094</v>
      </c>
      <c r="R137" s="35" t="s">
        <v>31</v>
      </c>
      <c r="S137" s="35"/>
      <c r="T137" s="35"/>
    </row>
    <row r="138" spans="1:20" ht="15.6" x14ac:dyDescent="0.3">
      <c r="A138" s="35" t="s">
        <v>19</v>
      </c>
      <c r="B138" s="35" t="s">
        <v>119</v>
      </c>
      <c r="C138" s="35" t="s">
        <v>120</v>
      </c>
      <c r="D138" s="35" t="s">
        <v>216</v>
      </c>
      <c r="E138" s="35" t="s">
        <v>47</v>
      </c>
      <c r="F138" s="35" t="s">
        <v>54</v>
      </c>
      <c r="G138" s="35" t="s">
        <v>246</v>
      </c>
      <c r="H138" s="35" t="s">
        <v>56</v>
      </c>
      <c r="I138" s="35" t="s">
        <v>64</v>
      </c>
      <c r="J138" s="35">
        <v>148</v>
      </c>
      <c r="K138" s="35" t="s">
        <v>28</v>
      </c>
      <c r="L138" s="35">
        <v>5</v>
      </c>
      <c r="M138" s="43">
        <v>53038</v>
      </c>
      <c r="N138" s="38">
        <f t="shared" si="2"/>
        <v>10607.6</v>
      </c>
      <c r="O138" s="35" t="s">
        <v>29</v>
      </c>
      <c r="P138" s="35" t="s">
        <v>30</v>
      </c>
      <c r="Q138" s="36">
        <v>46094</v>
      </c>
      <c r="R138" s="35" t="s">
        <v>31</v>
      </c>
      <c r="S138" s="35"/>
      <c r="T138" s="35"/>
    </row>
    <row r="139" spans="1:20" ht="15.6" x14ac:dyDescent="0.3">
      <c r="A139" s="35" t="s">
        <v>19</v>
      </c>
      <c r="B139" s="35" t="s">
        <v>119</v>
      </c>
      <c r="C139" s="35" t="s">
        <v>120</v>
      </c>
      <c r="D139" s="35" t="s">
        <v>216</v>
      </c>
      <c r="E139" s="35" t="s">
        <v>47</v>
      </c>
      <c r="F139" s="35" t="s">
        <v>54</v>
      </c>
      <c r="G139" s="35" t="s">
        <v>166</v>
      </c>
      <c r="H139" s="35" t="s">
        <v>56</v>
      </c>
      <c r="I139" s="35" t="s">
        <v>64</v>
      </c>
      <c r="J139" s="35">
        <v>148</v>
      </c>
      <c r="K139" s="35" t="s">
        <v>28</v>
      </c>
      <c r="L139" s="35">
        <v>2</v>
      </c>
      <c r="M139" s="43">
        <v>17679</v>
      </c>
      <c r="N139" s="38">
        <f t="shared" si="2"/>
        <v>8839.5</v>
      </c>
      <c r="O139" s="35" t="s">
        <v>29</v>
      </c>
      <c r="P139" s="35" t="s">
        <v>30</v>
      </c>
      <c r="Q139" s="36">
        <v>46094</v>
      </c>
      <c r="R139" s="35" t="s">
        <v>31</v>
      </c>
      <c r="S139" s="35"/>
      <c r="T139" s="35"/>
    </row>
    <row r="140" spans="1:20" ht="15.6" x14ac:dyDescent="0.3">
      <c r="A140" s="35" t="s">
        <v>19</v>
      </c>
      <c r="B140" s="35" t="s">
        <v>119</v>
      </c>
      <c r="C140" s="35" t="s">
        <v>120</v>
      </c>
      <c r="D140" s="35" t="s">
        <v>216</v>
      </c>
      <c r="E140" s="35" t="s">
        <v>47</v>
      </c>
      <c r="F140" s="35" t="s">
        <v>54</v>
      </c>
      <c r="G140" s="35" t="s">
        <v>247</v>
      </c>
      <c r="H140" s="35" t="s">
        <v>56</v>
      </c>
      <c r="I140" s="35" t="s">
        <v>64</v>
      </c>
      <c r="J140" s="35">
        <v>148</v>
      </c>
      <c r="K140" s="35" t="s">
        <v>7</v>
      </c>
      <c r="L140" s="35">
        <v>1</v>
      </c>
      <c r="M140" s="43">
        <v>32707</v>
      </c>
      <c r="N140" s="38">
        <f t="shared" si="2"/>
        <v>32707</v>
      </c>
      <c r="O140" s="35" t="s">
        <v>29</v>
      </c>
      <c r="P140" s="35" t="s">
        <v>30</v>
      </c>
      <c r="Q140" s="36">
        <v>46094</v>
      </c>
      <c r="R140" s="35" t="s">
        <v>31</v>
      </c>
      <c r="S140" s="35"/>
      <c r="T140" s="35"/>
    </row>
    <row r="141" spans="1:20" ht="15.6" x14ac:dyDescent="0.3">
      <c r="A141" s="35" t="s">
        <v>19</v>
      </c>
      <c r="B141" s="35" t="s">
        <v>248</v>
      </c>
      <c r="C141" s="35" t="s">
        <v>249</v>
      </c>
      <c r="D141" s="35" t="s">
        <v>216</v>
      </c>
      <c r="E141" s="35" t="s">
        <v>40</v>
      </c>
      <c r="F141" s="35" t="s">
        <v>36</v>
      </c>
      <c r="G141" s="35" t="s">
        <v>250</v>
      </c>
      <c r="H141" s="35" t="s">
        <v>26</v>
      </c>
      <c r="I141" s="35" t="s">
        <v>64</v>
      </c>
      <c r="J141" s="35">
        <v>149</v>
      </c>
      <c r="K141" s="35" t="s">
        <v>28</v>
      </c>
      <c r="L141" s="35">
        <v>60</v>
      </c>
      <c r="M141" s="37">
        <v>150000</v>
      </c>
      <c r="N141" s="38">
        <f t="shared" ref="N141:N204" si="3">M141/L141</f>
        <v>2500</v>
      </c>
      <c r="O141" s="35" t="s">
        <v>29</v>
      </c>
      <c r="P141" s="35" t="s">
        <v>30</v>
      </c>
      <c r="Q141" s="36">
        <v>46156</v>
      </c>
      <c r="R141" s="35" t="s">
        <v>31</v>
      </c>
      <c r="S141" s="35"/>
      <c r="T141" s="35"/>
    </row>
    <row r="142" spans="1:20" ht="15.6" x14ac:dyDescent="0.3">
      <c r="A142" s="35" t="s">
        <v>19</v>
      </c>
      <c r="B142" s="35" t="s">
        <v>248</v>
      </c>
      <c r="C142" s="35" t="s">
        <v>249</v>
      </c>
      <c r="D142" s="35" t="s">
        <v>216</v>
      </c>
      <c r="E142" s="35" t="s">
        <v>40</v>
      </c>
      <c r="F142" s="35" t="s">
        <v>36</v>
      </c>
      <c r="G142" s="35" t="s">
        <v>251</v>
      </c>
      <c r="H142" s="35" t="s">
        <v>26</v>
      </c>
      <c r="I142" s="35" t="s">
        <v>64</v>
      </c>
      <c r="J142" s="35">
        <v>149</v>
      </c>
      <c r="K142" s="35" t="s">
        <v>28</v>
      </c>
      <c r="L142" s="35">
        <v>60</v>
      </c>
      <c r="M142" s="37">
        <v>150000</v>
      </c>
      <c r="N142" s="38">
        <f t="shared" si="3"/>
        <v>2500</v>
      </c>
      <c r="O142" s="35" t="s">
        <v>29</v>
      </c>
      <c r="P142" s="35" t="s">
        <v>30</v>
      </c>
      <c r="Q142" s="36">
        <v>46156</v>
      </c>
      <c r="R142" s="35" t="s">
        <v>31</v>
      </c>
      <c r="S142" s="35"/>
      <c r="T142" s="35"/>
    </row>
    <row r="143" spans="1:20" ht="15.6" x14ac:dyDescent="0.3">
      <c r="A143" s="35" t="s">
        <v>19</v>
      </c>
      <c r="B143" s="35" t="s">
        <v>248</v>
      </c>
      <c r="C143" s="35" t="s">
        <v>249</v>
      </c>
      <c r="D143" s="35" t="s">
        <v>216</v>
      </c>
      <c r="E143" s="35" t="s">
        <v>40</v>
      </c>
      <c r="F143" s="35" t="s">
        <v>36</v>
      </c>
      <c r="G143" s="35" t="s">
        <v>252</v>
      </c>
      <c r="H143" s="35" t="s">
        <v>26</v>
      </c>
      <c r="I143" s="35" t="s">
        <v>64</v>
      </c>
      <c r="J143" s="35">
        <v>149</v>
      </c>
      <c r="K143" s="35" t="s">
        <v>28</v>
      </c>
      <c r="L143" s="35">
        <v>60</v>
      </c>
      <c r="M143" s="37">
        <v>255000</v>
      </c>
      <c r="N143" s="38">
        <f t="shared" si="3"/>
        <v>4250</v>
      </c>
      <c r="O143" s="35" t="s">
        <v>29</v>
      </c>
      <c r="P143" s="35" t="s">
        <v>30</v>
      </c>
      <c r="Q143" s="36">
        <v>46156</v>
      </c>
      <c r="R143" s="35" t="s">
        <v>31</v>
      </c>
      <c r="S143" s="35"/>
      <c r="T143" s="35"/>
    </row>
    <row r="144" spans="1:20" ht="15.6" x14ac:dyDescent="0.3">
      <c r="A144" s="35" t="s">
        <v>19</v>
      </c>
      <c r="B144" s="35" t="s">
        <v>248</v>
      </c>
      <c r="C144" s="35" t="s">
        <v>249</v>
      </c>
      <c r="D144" s="35" t="s">
        <v>216</v>
      </c>
      <c r="E144" s="35" t="s">
        <v>40</v>
      </c>
      <c r="F144" s="35" t="s">
        <v>36</v>
      </c>
      <c r="G144" s="35" t="s">
        <v>253</v>
      </c>
      <c r="H144" s="35" t="s">
        <v>26</v>
      </c>
      <c r="I144" s="35" t="s">
        <v>64</v>
      </c>
      <c r="J144" s="35">
        <v>149</v>
      </c>
      <c r="K144" s="35" t="s">
        <v>28</v>
      </c>
      <c r="L144" s="35">
        <v>60</v>
      </c>
      <c r="M144" s="37">
        <v>246000</v>
      </c>
      <c r="N144" s="38">
        <f t="shared" si="3"/>
        <v>4100</v>
      </c>
      <c r="O144" s="35" t="s">
        <v>29</v>
      </c>
      <c r="P144" s="35" t="s">
        <v>30</v>
      </c>
      <c r="Q144" s="36">
        <v>46156</v>
      </c>
      <c r="R144" s="35" t="s">
        <v>31</v>
      </c>
      <c r="S144" s="35"/>
      <c r="T144" s="35"/>
    </row>
    <row r="145" spans="1:20" ht="15.6" x14ac:dyDescent="0.3">
      <c r="A145" s="35" t="s">
        <v>19</v>
      </c>
      <c r="B145" s="35" t="s">
        <v>254</v>
      </c>
      <c r="C145" s="35" t="s">
        <v>255</v>
      </c>
      <c r="D145" s="35" t="s">
        <v>256</v>
      </c>
      <c r="E145" s="35" t="s">
        <v>40</v>
      </c>
      <c r="F145" s="35" t="s">
        <v>24</v>
      </c>
      <c r="G145" s="35" t="s">
        <v>257</v>
      </c>
      <c r="H145" s="35" t="s">
        <v>26</v>
      </c>
      <c r="I145" s="35" t="s">
        <v>27</v>
      </c>
      <c r="J145" s="35">
        <v>434</v>
      </c>
      <c r="K145" s="35" t="s">
        <v>123</v>
      </c>
      <c r="L145" s="35">
        <v>20</v>
      </c>
      <c r="M145" s="37">
        <v>0</v>
      </c>
      <c r="N145" s="38">
        <f t="shared" si="3"/>
        <v>0</v>
      </c>
      <c r="O145" s="35" t="s">
        <v>29</v>
      </c>
      <c r="P145" s="35" t="s">
        <v>30</v>
      </c>
      <c r="Q145" s="36">
        <v>46067</v>
      </c>
      <c r="R145" s="35" t="s">
        <v>31</v>
      </c>
      <c r="S145" s="35"/>
      <c r="T145" s="35"/>
    </row>
    <row r="146" spans="1:20" ht="15.6" x14ac:dyDescent="0.3">
      <c r="A146" s="35" t="s">
        <v>19</v>
      </c>
      <c r="B146" s="35" t="s">
        <v>254</v>
      </c>
      <c r="C146" s="35" t="s">
        <v>255</v>
      </c>
      <c r="D146" s="35" t="s">
        <v>256</v>
      </c>
      <c r="E146" s="35" t="s">
        <v>40</v>
      </c>
      <c r="F146" s="35" t="s">
        <v>24</v>
      </c>
      <c r="G146" s="35" t="s">
        <v>258</v>
      </c>
      <c r="H146" s="35" t="s">
        <v>26</v>
      </c>
      <c r="I146" s="35" t="s">
        <v>27</v>
      </c>
      <c r="J146" s="35">
        <v>434</v>
      </c>
      <c r="K146" s="35" t="s">
        <v>123</v>
      </c>
      <c r="L146" s="35">
        <v>10</v>
      </c>
      <c r="M146" s="37">
        <v>0</v>
      </c>
      <c r="N146" s="38">
        <f t="shared" si="3"/>
        <v>0</v>
      </c>
      <c r="O146" s="35" t="s">
        <v>29</v>
      </c>
      <c r="P146" s="35" t="s">
        <v>30</v>
      </c>
      <c r="Q146" s="36">
        <v>46067</v>
      </c>
      <c r="R146" s="35" t="s">
        <v>31</v>
      </c>
      <c r="S146" s="35"/>
      <c r="T146" s="35"/>
    </row>
    <row r="147" spans="1:20" ht="15.6" x14ac:dyDescent="0.3">
      <c r="A147" s="35" t="s">
        <v>19</v>
      </c>
      <c r="B147" s="35" t="s">
        <v>254</v>
      </c>
      <c r="C147" s="35" t="s">
        <v>255</v>
      </c>
      <c r="D147" s="35" t="s">
        <v>256</v>
      </c>
      <c r="E147" s="35" t="s">
        <v>40</v>
      </c>
      <c r="F147" s="35" t="s">
        <v>24</v>
      </c>
      <c r="G147" s="35" t="s">
        <v>164</v>
      </c>
      <c r="H147" s="35" t="s">
        <v>26</v>
      </c>
      <c r="I147" s="35" t="s">
        <v>27</v>
      </c>
      <c r="J147" s="35">
        <v>434</v>
      </c>
      <c r="K147" s="35" t="s">
        <v>123</v>
      </c>
      <c r="L147" s="35">
        <v>20</v>
      </c>
      <c r="M147" s="37">
        <v>0</v>
      </c>
      <c r="N147" s="38">
        <f t="shared" si="3"/>
        <v>0</v>
      </c>
      <c r="O147" s="35" t="s">
        <v>29</v>
      </c>
      <c r="P147" s="35" t="s">
        <v>30</v>
      </c>
      <c r="Q147" s="36">
        <v>46067</v>
      </c>
      <c r="R147" s="35" t="s">
        <v>31</v>
      </c>
      <c r="S147" s="35"/>
      <c r="T147" s="35"/>
    </row>
    <row r="148" spans="1:20" ht="15.6" x14ac:dyDescent="0.3">
      <c r="A148" s="35" t="s">
        <v>19</v>
      </c>
      <c r="B148" s="35" t="s">
        <v>259</v>
      </c>
      <c r="C148" s="35" t="s">
        <v>260</v>
      </c>
      <c r="D148" s="35" t="s">
        <v>256</v>
      </c>
      <c r="E148" s="35" t="s">
        <v>47</v>
      </c>
      <c r="F148" s="35" t="s">
        <v>58</v>
      </c>
      <c r="G148" s="35" t="s">
        <v>261</v>
      </c>
      <c r="H148" s="35" t="s">
        <v>26</v>
      </c>
      <c r="I148" s="35" t="s">
        <v>27</v>
      </c>
      <c r="J148" s="35">
        <v>435</v>
      </c>
      <c r="K148" s="35" t="s">
        <v>28</v>
      </c>
      <c r="L148" s="35">
        <v>30</v>
      </c>
      <c r="M148" s="37">
        <v>396900</v>
      </c>
      <c r="N148" s="38">
        <f t="shared" si="3"/>
        <v>13230</v>
      </c>
      <c r="O148" s="35" t="s">
        <v>29</v>
      </c>
      <c r="P148" s="35" t="s">
        <v>30</v>
      </c>
      <c r="Q148" s="36">
        <v>46037</v>
      </c>
      <c r="R148" s="35" t="s">
        <v>31</v>
      </c>
      <c r="S148" s="35"/>
      <c r="T148" s="35"/>
    </row>
    <row r="149" spans="1:20" ht="15.6" x14ac:dyDescent="0.3">
      <c r="A149" s="35" t="s">
        <v>19</v>
      </c>
      <c r="B149" s="35" t="s">
        <v>259</v>
      </c>
      <c r="C149" s="35" t="s">
        <v>260</v>
      </c>
      <c r="D149" s="35" t="s">
        <v>256</v>
      </c>
      <c r="E149" s="35" t="s">
        <v>47</v>
      </c>
      <c r="F149" s="35" t="s">
        <v>58</v>
      </c>
      <c r="G149" s="35" t="s">
        <v>262</v>
      </c>
      <c r="H149" s="35" t="s">
        <v>26</v>
      </c>
      <c r="I149" s="35" t="s">
        <v>27</v>
      </c>
      <c r="J149" s="35">
        <v>435</v>
      </c>
      <c r="K149" s="35" t="s">
        <v>28</v>
      </c>
      <c r="L149" s="35">
        <v>20</v>
      </c>
      <c r="M149" s="37">
        <v>158760</v>
      </c>
      <c r="N149" s="38">
        <f t="shared" si="3"/>
        <v>7938</v>
      </c>
      <c r="O149" s="35" t="s">
        <v>29</v>
      </c>
      <c r="P149" s="35" t="s">
        <v>30</v>
      </c>
      <c r="Q149" s="36">
        <v>46037</v>
      </c>
      <c r="R149" s="35" t="s">
        <v>31</v>
      </c>
      <c r="S149" s="35"/>
      <c r="T149" s="35"/>
    </row>
    <row r="150" spans="1:20" ht="15.6" x14ac:dyDescent="0.3">
      <c r="A150" s="35" t="s">
        <v>19</v>
      </c>
      <c r="B150" s="35" t="s">
        <v>263</v>
      </c>
      <c r="C150" s="35" t="s">
        <v>264</v>
      </c>
      <c r="D150" s="35" t="s">
        <v>256</v>
      </c>
      <c r="E150" s="35" t="s">
        <v>47</v>
      </c>
      <c r="F150" s="35" t="s">
        <v>24</v>
      </c>
      <c r="G150" s="35" t="s">
        <v>262</v>
      </c>
      <c r="H150" s="35" t="s">
        <v>26</v>
      </c>
      <c r="I150" s="35" t="s">
        <v>27</v>
      </c>
      <c r="J150" s="35">
        <v>441</v>
      </c>
      <c r="K150" s="35" t="s">
        <v>28</v>
      </c>
      <c r="L150" s="35">
        <v>40</v>
      </c>
      <c r="M150" s="37">
        <v>0</v>
      </c>
      <c r="N150" s="38">
        <f t="shared" si="3"/>
        <v>0</v>
      </c>
      <c r="O150" s="35" t="s">
        <v>29</v>
      </c>
      <c r="P150" s="35" t="s">
        <v>30</v>
      </c>
      <c r="Q150" s="36">
        <v>46127</v>
      </c>
      <c r="R150" s="35" t="s">
        <v>31</v>
      </c>
      <c r="S150" s="35" t="s">
        <v>265</v>
      </c>
      <c r="T150" s="36">
        <v>46037</v>
      </c>
    </row>
    <row r="151" spans="1:20" ht="15.6" x14ac:dyDescent="0.3">
      <c r="A151" s="35" t="s">
        <v>19</v>
      </c>
      <c r="B151" s="35" t="s">
        <v>263</v>
      </c>
      <c r="C151" s="35" t="s">
        <v>264</v>
      </c>
      <c r="D151" s="35" t="s">
        <v>256</v>
      </c>
      <c r="E151" s="35" t="s">
        <v>47</v>
      </c>
      <c r="F151" s="35" t="s">
        <v>24</v>
      </c>
      <c r="G151" s="35" t="s">
        <v>266</v>
      </c>
      <c r="H151" s="35" t="s">
        <v>26</v>
      </c>
      <c r="I151" s="35" t="s">
        <v>27</v>
      </c>
      <c r="J151" s="35">
        <v>441</v>
      </c>
      <c r="K151" s="35" t="s">
        <v>28</v>
      </c>
      <c r="L151" s="35">
        <v>5</v>
      </c>
      <c r="M151" s="37">
        <v>0</v>
      </c>
      <c r="N151" s="38">
        <f t="shared" si="3"/>
        <v>0</v>
      </c>
      <c r="O151" s="35" t="s">
        <v>29</v>
      </c>
      <c r="P151" s="35" t="s">
        <v>30</v>
      </c>
      <c r="Q151" s="36">
        <v>46127</v>
      </c>
      <c r="R151" s="35" t="s">
        <v>31</v>
      </c>
      <c r="S151" s="35" t="s">
        <v>265</v>
      </c>
      <c r="T151" s="36">
        <v>46037</v>
      </c>
    </row>
    <row r="152" spans="1:20" ht="15.6" x14ac:dyDescent="0.3">
      <c r="A152" s="35" t="s">
        <v>19</v>
      </c>
      <c r="B152" s="35" t="s">
        <v>263</v>
      </c>
      <c r="C152" s="35" t="s">
        <v>264</v>
      </c>
      <c r="D152" s="35" t="s">
        <v>256</v>
      </c>
      <c r="E152" s="35" t="s">
        <v>47</v>
      </c>
      <c r="F152" s="35" t="s">
        <v>24</v>
      </c>
      <c r="G152" s="35" t="s">
        <v>267</v>
      </c>
      <c r="H152" s="35" t="s">
        <v>26</v>
      </c>
      <c r="I152" s="35" t="s">
        <v>27</v>
      </c>
      <c r="J152" s="35">
        <v>441</v>
      </c>
      <c r="K152" s="35" t="s">
        <v>28</v>
      </c>
      <c r="L152" s="35">
        <v>1</v>
      </c>
      <c r="M152" s="37">
        <v>0</v>
      </c>
      <c r="N152" s="38">
        <f t="shared" si="3"/>
        <v>0</v>
      </c>
      <c r="O152" s="35" t="s">
        <v>29</v>
      </c>
      <c r="P152" s="35" t="s">
        <v>30</v>
      </c>
      <c r="Q152" s="36">
        <v>46127</v>
      </c>
      <c r="R152" s="35" t="s">
        <v>31</v>
      </c>
      <c r="S152" s="35" t="s">
        <v>265</v>
      </c>
      <c r="T152" s="36">
        <v>46037</v>
      </c>
    </row>
    <row r="153" spans="1:20" ht="15.6" x14ac:dyDescent="0.3">
      <c r="A153" s="35" t="s">
        <v>19</v>
      </c>
      <c r="B153" s="35" t="s">
        <v>263</v>
      </c>
      <c r="C153" s="35" t="s">
        <v>264</v>
      </c>
      <c r="D153" s="35" t="s">
        <v>256</v>
      </c>
      <c r="E153" s="35" t="s">
        <v>47</v>
      </c>
      <c r="F153" s="35" t="s">
        <v>24</v>
      </c>
      <c r="G153" s="35" t="s">
        <v>262</v>
      </c>
      <c r="H153" s="35" t="s">
        <v>26</v>
      </c>
      <c r="I153" s="35" t="s">
        <v>27</v>
      </c>
      <c r="J153" s="35">
        <v>442</v>
      </c>
      <c r="K153" s="35" t="s">
        <v>28</v>
      </c>
      <c r="L153" s="35">
        <v>200</v>
      </c>
      <c r="M153" s="37">
        <v>0</v>
      </c>
      <c r="N153" s="38">
        <f t="shared" si="3"/>
        <v>0</v>
      </c>
      <c r="O153" s="35" t="s">
        <v>29</v>
      </c>
      <c r="P153" s="35" t="s">
        <v>30</v>
      </c>
      <c r="Q153" s="36">
        <v>46127</v>
      </c>
      <c r="R153" s="35" t="s">
        <v>31</v>
      </c>
      <c r="S153" s="35" t="s">
        <v>268</v>
      </c>
      <c r="T153" s="36">
        <v>46037</v>
      </c>
    </row>
    <row r="154" spans="1:20" ht="15.6" x14ac:dyDescent="0.3">
      <c r="A154" s="35" t="s">
        <v>19</v>
      </c>
      <c r="B154" s="35" t="s">
        <v>263</v>
      </c>
      <c r="C154" s="35" t="s">
        <v>264</v>
      </c>
      <c r="D154" s="35" t="s">
        <v>256</v>
      </c>
      <c r="E154" s="35" t="s">
        <v>53</v>
      </c>
      <c r="F154" s="35" t="s">
        <v>24</v>
      </c>
      <c r="G154" s="35" t="s">
        <v>262</v>
      </c>
      <c r="H154" s="35" t="s">
        <v>26</v>
      </c>
      <c r="I154" s="35" t="s">
        <v>64</v>
      </c>
      <c r="J154" s="35">
        <v>150</v>
      </c>
      <c r="K154" s="35" t="s">
        <v>28</v>
      </c>
      <c r="L154" s="35">
        <v>40</v>
      </c>
      <c r="M154" s="37">
        <v>300000</v>
      </c>
      <c r="N154" s="38">
        <f t="shared" si="3"/>
        <v>7500</v>
      </c>
      <c r="O154" s="35" t="s">
        <v>29</v>
      </c>
      <c r="P154" s="35" t="s">
        <v>30</v>
      </c>
      <c r="Q154" s="36">
        <v>46127</v>
      </c>
      <c r="R154" s="35" t="s">
        <v>31</v>
      </c>
      <c r="S154" s="35"/>
      <c r="T154" s="35"/>
    </row>
    <row r="155" spans="1:20" ht="15.6" x14ac:dyDescent="0.3">
      <c r="A155" s="35" t="s">
        <v>19</v>
      </c>
      <c r="B155" s="35" t="s">
        <v>263</v>
      </c>
      <c r="C155" s="35" t="s">
        <v>264</v>
      </c>
      <c r="D155" s="35" t="s">
        <v>256</v>
      </c>
      <c r="E155" s="35" t="s">
        <v>53</v>
      </c>
      <c r="F155" s="35" t="s">
        <v>24</v>
      </c>
      <c r="G155" s="35" t="s">
        <v>266</v>
      </c>
      <c r="H155" s="35" t="s">
        <v>26</v>
      </c>
      <c r="I155" s="35" t="s">
        <v>64</v>
      </c>
      <c r="J155" s="35">
        <v>150</v>
      </c>
      <c r="K155" s="35" t="s">
        <v>28</v>
      </c>
      <c r="L155" s="35">
        <v>5</v>
      </c>
      <c r="M155" s="37">
        <v>37500</v>
      </c>
      <c r="N155" s="38">
        <f t="shared" si="3"/>
        <v>7500</v>
      </c>
      <c r="O155" s="35" t="s">
        <v>29</v>
      </c>
      <c r="P155" s="35" t="s">
        <v>30</v>
      </c>
      <c r="Q155" s="36">
        <v>46127</v>
      </c>
      <c r="R155" s="35" t="s">
        <v>31</v>
      </c>
      <c r="S155" s="35"/>
      <c r="T155" s="35"/>
    </row>
    <row r="156" spans="1:20" ht="15.6" x14ac:dyDescent="0.3">
      <c r="A156" s="35" t="s">
        <v>19</v>
      </c>
      <c r="B156" s="35" t="s">
        <v>263</v>
      </c>
      <c r="C156" s="35" t="s">
        <v>264</v>
      </c>
      <c r="D156" s="35" t="s">
        <v>256</v>
      </c>
      <c r="E156" s="35" t="s">
        <v>53</v>
      </c>
      <c r="F156" s="35" t="s">
        <v>24</v>
      </c>
      <c r="G156" s="35" t="s">
        <v>267</v>
      </c>
      <c r="H156" s="35" t="s">
        <v>26</v>
      </c>
      <c r="I156" s="35" t="s">
        <v>64</v>
      </c>
      <c r="J156" s="35">
        <v>150</v>
      </c>
      <c r="K156" s="35" t="s">
        <v>28</v>
      </c>
      <c r="L156" s="35">
        <v>1</v>
      </c>
      <c r="M156" s="37">
        <v>7500</v>
      </c>
      <c r="N156" s="38">
        <f t="shared" si="3"/>
        <v>7500</v>
      </c>
      <c r="O156" s="35" t="s">
        <v>29</v>
      </c>
      <c r="P156" s="35" t="s">
        <v>30</v>
      </c>
      <c r="Q156" s="36">
        <v>46127</v>
      </c>
      <c r="R156" s="35" t="s">
        <v>31</v>
      </c>
      <c r="S156" s="35"/>
      <c r="T156" s="35"/>
    </row>
    <row r="157" spans="1:20" ht="15.6" x14ac:dyDescent="0.3">
      <c r="A157" s="35" t="s">
        <v>19</v>
      </c>
      <c r="B157" s="35" t="s">
        <v>263</v>
      </c>
      <c r="C157" s="35" t="s">
        <v>264</v>
      </c>
      <c r="D157" s="35" t="s">
        <v>256</v>
      </c>
      <c r="E157" s="35" t="s">
        <v>53</v>
      </c>
      <c r="F157" s="35" t="s">
        <v>24</v>
      </c>
      <c r="G157" s="35" t="s">
        <v>262</v>
      </c>
      <c r="H157" s="35" t="s">
        <v>26</v>
      </c>
      <c r="I157" s="35" t="s">
        <v>64</v>
      </c>
      <c r="J157" s="35">
        <v>151</v>
      </c>
      <c r="K157" s="35" t="s">
        <v>28</v>
      </c>
      <c r="L157" s="35">
        <v>200</v>
      </c>
      <c r="M157" s="37">
        <v>1500000</v>
      </c>
      <c r="N157" s="38">
        <f t="shared" si="3"/>
        <v>7500</v>
      </c>
      <c r="O157" s="35" t="s">
        <v>29</v>
      </c>
      <c r="P157" s="35" t="s">
        <v>30</v>
      </c>
      <c r="Q157" s="36">
        <v>46127</v>
      </c>
      <c r="R157" s="35" t="s">
        <v>31</v>
      </c>
      <c r="S157" s="35"/>
      <c r="T157" s="35"/>
    </row>
    <row r="158" spans="1:20" ht="15.6" x14ac:dyDescent="0.3">
      <c r="A158" s="35" t="s">
        <v>19</v>
      </c>
      <c r="B158" s="35" t="s">
        <v>138</v>
      </c>
      <c r="C158" s="35" t="s">
        <v>139</v>
      </c>
      <c r="D158" s="35" t="s">
        <v>256</v>
      </c>
      <c r="E158" s="35" t="s">
        <v>53</v>
      </c>
      <c r="F158" s="35" t="s">
        <v>58</v>
      </c>
      <c r="G158" s="35" t="s">
        <v>162</v>
      </c>
      <c r="H158" s="35" t="s">
        <v>26</v>
      </c>
      <c r="I158" s="35" t="s">
        <v>64</v>
      </c>
      <c r="J158" s="35">
        <v>152</v>
      </c>
      <c r="K158" s="35" t="s">
        <v>123</v>
      </c>
      <c r="L158" s="35">
        <v>40</v>
      </c>
      <c r="M158" s="37">
        <v>152206</v>
      </c>
      <c r="N158" s="38">
        <f t="shared" si="3"/>
        <v>3805.15</v>
      </c>
      <c r="O158" s="35" t="s">
        <v>29</v>
      </c>
      <c r="P158" s="35" t="s">
        <v>30</v>
      </c>
      <c r="Q158" s="36">
        <v>46157</v>
      </c>
      <c r="R158" s="35" t="s">
        <v>31</v>
      </c>
      <c r="S158" s="35"/>
      <c r="T158" s="35"/>
    </row>
    <row r="159" spans="1:20" ht="15.6" x14ac:dyDescent="0.3">
      <c r="A159" s="35" t="s">
        <v>19</v>
      </c>
      <c r="B159" s="35" t="s">
        <v>269</v>
      </c>
      <c r="C159" s="35" t="s">
        <v>270</v>
      </c>
      <c r="D159" s="35" t="s">
        <v>256</v>
      </c>
      <c r="E159" s="35" t="s">
        <v>47</v>
      </c>
      <c r="F159" s="35" t="s">
        <v>24</v>
      </c>
      <c r="G159" s="35" t="s">
        <v>244</v>
      </c>
      <c r="H159" s="35" t="s">
        <v>26</v>
      </c>
      <c r="I159" s="35" t="s">
        <v>64</v>
      </c>
      <c r="J159" s="35">
        <v>153</v>
      </c>
      <c r="K159" s="35" t="s">
        <v>123</v>
      </c>
      <c r="L159" s="35">
        <v>100</v>
      </c>
      <c r="M159" s="37">
        <v>750000</v>
      </c>
      <c r="N159" s="38">
        <f t="shared" si="3"/>
        <v>7500</v>
      </c>
      <c r="O159" s="35" t="s">
        <v>29</v>
      </c>
      <c r="P159" s="35" t="s">
        <v>30</v>
      </c>
      <c r="Q159" s="36">
        <v>46157</v>
      </c>
      <c r="R159" s="35" t="s">
        <v>31</v>
      </c>
      <c r="S159" s="35"/>
      <c r="T159" s="35"/>
    </row>
    <row r="160" spans="1:20" ht="15.6" x14ac:dyDescent="0.3">
      <c r="A160" s="35" t="s">
        <v>19</v>
      </c>
      <c r="B160" s="35" t="s">
        <v>269</v>
      </c>
      <c r="C160" s="35" t="s">
        <v>270</v>
      </c>
      <c r="D160" s="35" t="s">
        <v>271</v>
      </c>
      <c r="E160" s="35" t="s">
        <v>47</v>
      </c>
      <c r="F160" s="35" t="s">
        <v>24</v>
      </c>
      <c r="G160" s="35" t="s">
        <v>244</v>
      </c>
      <c r="H160" s="35" t="s">
        <v>26</v>
      </c>
      <c r="I160" s="35" t="s">
        <v>27</v>
      </c>
      <c r="J160" s="35">
        <v>443</v>
      </c>
      <c r="K160" s="35" t="s">
        <v>123</v>
      </c>
      <c r="L160" s="35">
        <v>100</v>
      </c>
      <c r="M160" s="37">
        <v>0</v>
      </c>
      <c r="N160" s="38">
        <f t="shared" si="3"/>
        <v>0</v>
      </c>
      <c r="O160" s="35" t="s">
        <v>29</v>
      </c>
      <c r="P160" s="35" t="s">
        <v>30</v>
      </c>
      <c r="Q160" s="36">
        <v>46157</v>
      </c>
      <c r="R160" s="35" t="s">
        <v>31</v>
      </c>
      <c r="S160" s="35" t="s">
        <v>272</v>
      </c>
      <c r="T160" s="36">
        <v>46037</v>
      </c>
    </row>
    <row r="161" spans="1:20" ht="15.6" x14ac:dyDescent="0.3">
      <c r="A161" s="35" t="s">
        <v>19</v>
      </c>
      <c r="B161" s="35" t="s">
        <v>263</v>
      </c>
      <c r="C161" s="35" t="s">
        <v>264</v>
      </c>
      <c r="D161" s="35" t="s">
        <v>271</v>
      </c>
      <c r="E161" s="35" t="s">
        <v>47</v>
      </c>
      <c r="F161" s="35" t="s">
        <v>24</v>
      </c>
      <c r="G161" s="35" t="s">
        <v>244</v>
      </c>
      <c r="H161" s="35" t="s">
        <v>26</v>
      </c>
      <c r="I161" s="35" t="s">
        <v>27</v>
      </c>
      <c r="J161" s="35">
        <v>444</v>
      </c>
      <c r="K161" s="35" t="s">
        <v>123</v>
      </c>
      <c r="L161" s="35">
        <v>320</v>
      </c>
      <c r="M161" s="37">
        <v>2400000</v>
      </c>
      <c r="N161" s="38">
        <f t="shared" si="3"/>
        <v>7500</v>
      </c>
      <c r="O161" s="35" t="s">
        <v>29</v>
      </c>
      <c r="P161" s="35" t="s">
        <v>30</v>
      </c>
      <c r="Q161" s="36">
        <v>46153</v>
      </c>
      <c r="R161" s="35" t="s">
        <v>31</v>
      </c>
      <c r="S161" s="35"/>
      <c r="T161" s="35"/>
    </row>
    <row r="162" spans="1:20" ht="15.6" x14ac:dyDescent="0.3">
      <c r="A162" s="35" t="s">
        <v>19</v>
      </c>
      <c r="B162" s="35" t="s">
        <v>254</v>
      </c>
      <c r="C162" s="35" t="s">
        <v>255</v>
      </c>
      <c r="D162" s="35" t="s">
        <v>271</v>
      </c>
      <c r="E162" s="35" t="s">
        <v>40</v>
      </c>
      <c r="F162" s="35" t="s">
        <v>24</v>
      </c>
      <c r="G162" s="35" t="s">
        <v>257</v>
      </c>
      <c r="H162" s="35" t="s">
        <v>26</v>
      </c>
      <c r="I162" s="35" t="s">
        <v>27</v>
      </c>
      <c r="J162" s="35">
        <v>445</v>
      </c>
      <c r="K162" s="35" t="s">
        <v>123</v>
      </c>
      <c r="L162" s="35">
        <v>20</v>
      </c>
      <c r="M162" s="37">
        <v>124000</v>
      </c>
      <c r="N162" s="38">
        <f t="shared" si="3"/>
        <v>6200</v>
      </c>
      <c r="O162" s="35" t="s">
        <v>29</v>
      </c>
      <c r="P162" s="35" t="s">
        <v>30</v>
      </c>
      <c r="Q162" s="36">
        <v>46038</v>
      </c>
      <c r="R162" s="35" t="s">
        <v>31</v>
      </c>
      <c r="S162" s="35"/>
      <c r="T162" s="35"/>
    </row>
    <row r="163" spans="1:20" ht="15.6" x14ac:dyDescent="0.3">
      <c r="A163" s="35" t="s">
        <v>19</v>
      </c>
      <c r="B163" s="35" t="s">
        <v>254</v>
      </c>
      <c r="C163" s="35" t="s">
        <v>255</v>
      </c>
      <c r="D163" s="35" t="s">
        <v>271</v>
      </c>
      <c r="E163" s="35" t="s">
        <v>40</v>
      </c>
      <c r="F163" s="35" t="s">
        <v>24</v>
      </c>
      <c r="G163" s="35" t="s">
        <v>258</v>
      </c>
      <c r="H163" s="35" t="s">
        <v>26</v>
      </c>
      <c r="I163" s="35" t="s">
        <v>27</v>
      </c>
      <c r="J163" s="35">
        <v>445</v>
      </c>
      <c r="K163" s="35" t="s">
        <v>123</v>
      </c>
      <c r="L163" s="35">
        <v>10</v>
      </c>
      <c r="M163" s="37">
        <v>62000</v>
      </c>
      <c r="N163" s="38">
        <f t="shared" si="3"/>
        <v>6200</v>
      </c>
      <c r="O163" s="35" t="s">
        <v>29</v>
      </c>
      <c r="P163" s="35" t="s">
        <v>30</v>
      </c>
      <c r="Q163" s="36">
        <v>46038</v>
      </c>
      <c r="R163" s="35" t="s">
        <v>31</v>
      </c>
      <c r="S163" s="35"/>
      <c r="T163" s="35"/>
    </row>
    <row r="164" spans="1:20" ht="15.6" x14ac:dyDescent="0.3">
      <c r="A164" s="35" t="s">
        <v>19</v>
      </c>
      <c r="B164" s="35" t="s">
        <v>254</v>
      </c>
      <c r="C164" s="35" t="s">
        <v>255</v>
      </c>
      <c r="D164" s="35" t="s">
        <v>271</v>
      </c>
      <c r="E164" s="35" t="s">
        <v>40</v>
      </c>
      <c r="F164" s="35" t="s">
        <v>24</v>
      </c>
      <c r="G164" s="35" t="s">
        <v>162</v>
      </c>
      <c r="H164" s="35" t="s">
        <v>26</v>
      </c>
      <c r="I164" s="35" t="s">
        <v>27</v>
      </c>
      <c r="J164" s="35">
        <v>445</v>
      </c>
      <c r="K164" s="35" t="s">
        <v>123</v>
      </c>
      <c r="L164" s="35">
        <v>20</v>
      </c>
      <c r="M164" s="37">
        <v>124000</v>
      </c>
      <c r="N164" s="38">
        <f t="shared" si="3"/>
        <v>6200</v>
      </c>
      <c r="O164" s="35" t="s">
        <v>29</v>
      </c>
      <c r="P164" s="35" t="s">
        <v>30</v>
      </c>
      <c r="Q164" s="36">
        <v>46038</v>
      </c>
      <c r="R164" s="35" t="s">
        <v>31</v>
      </c>
      <c r="S164" s="35"/>
      <c r="T164" s="35"/>
    </row>
    <row r="165" spans="1:20" ht="15.6" x14ac:dyDescent="0.3">
      <c r="A165" s="35" t="s">
        <v>19</v>
      </c>
      <c r="B165" s="35" t="s">
        <v>273</v>
      </c>
      <c r="C165" s="35" t="s">
        <v>274</v>
      </c>
      <c r="D165" s="35" t="s">
        <v>271</v>
      </c>
      <c r="E165" s="35" t="s">
        <v>40</v>
      </c>
      <c r="F165" s="35" t="s">
        <v>36</v>
      </c>
      <c r="G165" s="35" t="s">
        <v>275</v>
      </c>
      <c r="H165" s="35" t="s">
        <v>26</v>
      </c>
      <c r="I165" s="35" t="s">
        <v>27</v>
      </c>
      <c r="J165" s="35">
        <v>446</v>
      </c>
      <c r="K165" s="35" t="s">
        <v>276</v>
      </c>
      <c r="L165" s="35">
        <v>3</v>
      </c>
      <c r="M165" s="37">
        <v>105000</v>
      </c>
      <c r="N165" s="38">
        <f t="shared" si="3"/>
        <v>35000</v>
      </c>
      <c r="O165" s="35" t="s">
        <v>29</v>
      </c>
      <c r="P165" s="35" t="s">
        <v>30</v>
      </c>
      <c r="Q165" s="36">
        <v>46038</v>
      </c>
      <c r="R165" s="35" t="s">
        <v>31</v>
      </c>
      <c r="S165" s="35"/>
      <c r="T165" s="35"/>
    </row>
    <row r="166" spans="1:20" ht="15.6" x14ac:dyDescent="0.3">
      <c r="A166" s="35" t="s">
        <v>19</v>
      </c>
      <c r="B166" s="35" t="s">
        <v>277</v>
      </c>
      <c r="C166" s="35" t="s">
        <v>278</v>
      </c>
      <c r="D166" s="35" t="s">
        <v>271</v>
      </c>
      <c r="E166" s="35" t="s">
        <v>47</v>
      </c>
      <c r="F166" s="35" t="s">
        <v>24</v>
      </c>
      <c r="G166" s="35" t="s">
        <v>244</v>
      </c>
      <c r="H166" s="35" t="s">
        <v>26</v>
      </c>
      <c r="I166" s="35" t="s">
        <v>64</v>
      </c>
      <c r="J166" s="35">
        <v>154</v>
      </c>
      <c r="K166" s="35" t="s">
        <v>123</v>
      </c>
      <c r="L166" s="35">
        <v>400</v>
      </c>
      <c r="M166" s="37">
        <v>3400000</v>
      </c>
      <c r="N166" s="38">
        <f t="shared" si="3"/>
        <v>8500</v>
      </c>
      <c r="O166" s="35" t="s">
        <v>29</v>
      </c>
      <c r="P166" s="35" t="s">
        <v>30</v>
      </c>
      <c r="Q166" s="36">
        <v>46264</v>
      </c>
      <c r="R166" s="35" t="s">
        <v>31</v>
      </c>
      <c r="S166" s="35"/>
      <c r="T166" s="35"/>
    </row>
    <row r="167" spans="1:20" ht="15.6" x14ac:dyDescent="0.3">
      <c r="A167" s="35" t="s">
        <v>19</v>
      </c>
      <c r="B167" s="35" t="s">
        <v>279</v>
      </c>
      <c r="C167" s="35" t="s">
        <v>280</v>
      </c>
      <c r="D167" s="35" t="s">
        <v>271</v>
      </c>
      <c r="E167" s="35" t="s">
        <v>47</v>
      </c>
      <c r="F167" s="35" t="s">
        <v>24</v>
      </c>
      <c r="G167" s="35" t="s">
        <v>281</v>
      </c>
      <c r="H167" s="35" t="s">
        <v>26</v>
      </c>
      <c r="I167" s="35" t="s">
        <v>64</v>
      </c>
      <c r="J167" s="35">
        <v>155</v>
      </c>
      <c r="K167" s="35" t="s">
        <v>123</v>
      </c>
      <c r="L167" s="35">
        <v>10</v>
      </c>
      <c r="M167" s="37">
        <v>42000</v>
      </c>
      <c r="N167" s="38">
        <f t="shared" si="3"/>
        <v>4200</v>
      </c>
      <c r="O167" s="35" t="s">
        <v>29</v>
      </c>
      <c r="P167" s="35" t="s">
        <v>30</v>
      </c>
      <c r="Q167" s="36">
        <v>46098</v>
      </c>
      <c r="R167" s="35" t="s">
        <v>31</v>
      </c>
      <c r="S167" s="35"/>
      <c r="T167" s="35"/>
    </row>
    <row r="168" spans="1:20" ht="15.6" x14ac:dyDescent="0.3">
      <c r="A168" s="35" t="s">
        <v>19</v>
      </c>
      <c r="B168" s="35" t="s">
        <v>279</v>
      </c>
      <c r="C168" s="35" t="s">
        <v>280</v>
      </c>
      <c r="D168" s="35" t="s">
        <v>271</v>
      </c>
      <c r="E168" s="35" t="s">
        <v>47</v>
      </c>
      <c r="F168" s="35" t="s">
        <v>24</v>
      </c>
      <c r="G168" s="35" t="s">
        <v>282</v>
      </c>
      <c r="H168" s="35" t="s">
        <v>56</v>
      </c>
      <c r="I168" s="35" t="s">
        <v>64</v>
      </c>
      <c r="J168" s="35">
        <v>155</v>
      </c>
      <c r="K168" s="35" t="s">
        <v>123</v>
      </c>
      <c r="L168" s="35">
        <v>10</v>
      </c>
      <c r="M168" s="37">
        <v>125000</v>
      </c>
      <c r="N168" s="38">
        <f t="shared" si="3"/>
        <v>12500</v>
      </c>
      <c r="O168" s="35" t="s">
        <v>29</v>
      </c>
      <c r="P168" s="35" t="s">
        <v>30</v>
      </c>
      <c r="Q168" s="36">
        <v>46098</v>
      </c>
      <c r="R168" s="35" t="s">
        <v>31</v>
      </c>
      <c r="S168" s="35"/>
      <c r="T168" s="35"/>
    </row>
    <row r="169" spans="1:20" ht="15.6" x14ac:dyDescent="0.3">
      <c r="A169" s="35" t="s">
        <v>19</v>
      </c>
      <c r="B169" s="35" t="s">
        <v>283</v>
      </c>
      <c r="C169" s="35" t="s">
        <v>284</v>
      </c>
      <c r="D169" s="35" t="s">
        <v>271</v>
      </c>
      <c r="E169" s="35" t="s">
        <v>47</v>
      </c>
      <c r="F169" s="35" t="s">
        <v>24</v>
      </c>
      <c r="G169" s="35" t="s">
        <v>251</v>
      </c>
      <c r="H169" s="35" t="s">
        <v>56</v>
      </c>
      <c r="I169" s="35" t="s">
        <v>64</v>
      </c>
      <c r="J169" s="35">
        <v>156</v>
      </c>
      <c r="K169" s="35" t="s">
        <v>123</v>
      </c>
      <c r="L169" s="35">
        <v>100</v>
      </c>
      <c r="M169" s="37">
        <v>350000</v>
      </c>
      <c r="N169" s="38">
        <f t="shared" si="3"/>
        <v>3500</v>
      </c>
      <c r="O169" s="35" t="s">
        <v>29</v>
      </c>
      <c r="P169" s="35" t="s">
        <v>30</v>
      </c>
      <c r="Q169" s="36">
        <v>46173</v>
      </c>
      <c r="R169" s="35" t="s">
        <v>31</v>
      </c>
      <c r="S169" s="35"/>
      <c r="T169" s="35"/>
    </row>
    <row r="170" spans="1:20" ht="15.6" x14ac:dyDescent="0.3">
      <c r="A170" s="35" t="s">
        <v>19</v>
      </c>
      <c r="B170" s="35" t="s">
        <v>283</v>
      </c>
      <c r="C170" s="35" t="s">
        <v>284</v>
      </c>
      <c r="D170" s="35" t="s">
        <v>271</v>
      </c>
      <c r="E170" s="35" t="s">
        <v>47</v>
      </c>
      <c r="F170" s="35" t="s">
        <v>24</v>
      </c>
      <c r="G170" s="35" t="s">
        <v>285</v>
      </c>
      <c r="H170" s="35" t="s">
        <v>56</v>
      </c>
      <c r="I170" s="35" t="s">
        <v>64</v>
      </c>
      <c r="J170" s="35">
        <v>156</v>
      </c>
      <c r="K170" s="35" t="s">
        <v>123</v>
      </c>
      <c r="L170" s="35">
        <v>10</v>
      </c>
      <c r="M170" s="37">
        <v>100000</v>
      </c>
      <c r="N170" s="38">
        <f t="shared" si="3"/>
        <v>10000</v>
      </c>
      <c r="O170" s="35" t="s">
        <v>29</v>
      </c>
      <c r="P170" s="35" t="s">
        <v>30</v>
      </c>
      <c r="Q170" s="36">
        <v>46173</v>
      </c>
      <c r="R170" s="35" t="s">
        <v>31</v>
      </c>
      <c r="S170" s="35"/>
      <c r="T170" s="35"/>
    </row>
    <row r="171" spans="1:20" ht="15.6" x14ac:dyDescent="0.3">
      <c r="A171" s="35" t="s">
        <v>19</v>
      </c>
      <c r="B171" s="35" t="s">
        <v>108</v>
      </c>
      <c r="C171" s="35" t="s">
        <v>109</v>
      </c>
      <c r="D171" s="35" t="s">
        <v>271</v>
      </c>
      <c r="E171" s="35" t="s">
        <v>47</v>
      </c>
      <c r="F171" s="35" t="s">
        <v>58</v>
      </c>
      <c r="G171" s="35" t="s">
        <v>286</v>
      </c>
      <c r="H171" s="35" t="s">
        <v>56</v>
      </c>
      <c r="I171" s="35" t="s">
        <v>64</v>
      </c>
      <c r="J171" s="35">
        <v>157</v>
      </c>
      <c r="K171" s="35" t="s">
        <v>123</v>
      </c>
      <c r="L171" s="35">
        <v>12</v>
      </c>
      <c r="M171" s="37">
        <v>120000</v>
      </c>
      <c r="N171" s="38">
        <f t="shared" si="3"/>
        <v>10000</v>
      </c>
      <c r="O171" s="35" t="s">
        <v>29</v>
      </c>
      <c r="P171" s="35" t="s">
        <v>30</v>
      </c>
      <c r="Q171" s="36">
        <v>46068</v>
      </c>
      <c r="R171" s="35" t="s">
        <v>31</v>
      </c>
      <c r="S171" s="35"/>
      <c r="T171" s="35"/>
    </row>
    <row r="172" spans="1:20" ht="15.6" x14ac:dyDescent="0.3">
      <c r="A172" s="35" t="s">
        <v>19</v>
      </c>
      <c r="B172" s="35" t="s">
        <v>108</v>
      </c>
      <c r="C172" s="35" t="s">
        <v>109</v>
      </c>
      <c r="D172" s="35" t="s">
        <v>271</v>
      </c>
      <c r="E172" s="35" t="s">
        <v>47</v>
      </c>
      <c r="F172" s="35" t="s">
        <v>58</v>
      </c>
      <c r="G172" s="35" t="s">
        <v>287</v>
      </c>
      <c r="H172" s="35" t="s">
        <v>56</v>
      </c>
      <c r="I172" s="35" t="s">
        <v>64</v>
      </c>
      <c r="J172" s="35">
        <v>157</v>
      </c>
      <c r="K172" s="35" t="s">
        <v>123</v>
      </c>
      <c r="L172" s="35">
        <v>6</v>
      </c>
      <c r="M172" s="37">
        <v>54000</v>
      </c>
      <c r="N172" s="38">
        <f t="shared" si="3"/>
        <v>9000</v>
      </c>
      <c r="O172" s="35" t="s">
        <v>29</v>
      </c>
      <c r="P172" s="35" t="s">
        <v>30</v>
      </c>
      <c r="Q172" s="36">
        <v>46068</v>
      </c>
      <c r="R172" s="35" t="s">
        <v>31</v>
      </c>
      <c r="S172" s="35"/>
      <c r="T172" s="35"/>
    </row>
    <row r="173" spans="1:20" ht="15.6" x14ac:dyDescent="0.3">
      <c r="A173" s="35" t="s">
        <v>19</v>
      </c>
      <c r="B173" s="35" t="s">
        <v>248</v>
      </c>
      <c r="C173" s="35" t="s">
        <v>249</v>
      </c>
      <c r="D173" s="35" t="s">
        <v>288</v>
      </c>
      <c r="E173" s="35" t="s">
        <v>40</v>
      </c>
      <c r="F173" s="35" t="s">
        <v>36</v>
      </c>
      <c r="G173" s="35" t="s">
        <v>289</v>
      </c>
      <c r="H173" s="35" t="s">
        <v>56</v>
      </c>
      <c r="I173" s="35" t="s">
        <v>64</v>
      </c>
      <c r="J173" s="35">
        <v>158</v>
      </c>
      <c r="K173" s="35" t="s">
        <v>123</v>
      </c>
      <c r="L173" s="35">
        <v>100</v>
      </c>
      <c r="M173" s="37">
        <v>270000</v>
      </c>
      <c r="N173" s="38">
        <f t="shared" si="3"/>
        <v>2700</v>
      </c>
      <c r="O173" s="35" t="s">
        <v>29</v>
      </c>
      <c r="P173" s="35" t="s">
        <v>30</v>
      </c>
      <c r="Q173" s="36">
        <v>46157</v>
      </c>
      <c r="R173" s="35" t="s">
        <v>31</v>
      </c>
      <c r="S173" s="35"/>
      <c r="T173" s="35"/>
    </row>
    <row r="174" spans="1:20" ht="15.6" x14ac:dyDescent="0.3">
      <c r="A174" s="35" t="s">
        <v>19</v>
      </c>
      <c r="B174" s="35" t="s">
        <v>290</v>
      </c>
      <c r="C174" s="35" t="s">
        <v>291</v>
      </c>
      <c r="D174" s="35" t="s">
        <v>292</v>
      </c>
      <c r="E174" s="35" t="s">
        <v>47</v>
      </c>
      <c r="F174" s="35" t="s">
        <v>58</v>
      </c>
      <c r="G174" s="35" t="s">
        <v>293</v>
      </c>
      <c r="H174" s="35" t="s">
        <v>56</v>
      </c>
      <c r="I174" s="35" t="s">
        <v>27</v>
      </c>
      <c r="J174" s="35">
        <v>447</v>
      </c>
      <c r="K174" s="35" t="s">
        <v>123</v>
      </c>
      <c r="L174" s="35">
        <v>5</v>
      </c>
      <c r="M174" s="37">
        <v>30975</v>
      </c>
      <c r="N174" s="38">
        <f t="shared" si="3"/>
        <v>6195</v>
      </c>
      <c r="O174" s="35" t="s">
        <v>29</v>
      </c>
      <c r="P174" s="35" t="s">
        <v>30</v>
      </c>
      <c r="Q174" s="36">
        <v>46157</v>
      </c>
      <c r="R174" s="35" t="s">
        <v>31</v>
      </c>
      <c r="S174" s="35"/>
      <c r="T174" s="35"/>
    </row>
    <row r="175" spans="1:20" ht="15.6" x14ac:dyDescent="0.3">
      <c r="A175" s="35" t="s">
        <v>19</v>
      </c>
      <c r="B175" s="35" t="s">
        <v>290</v>
      </c>
      <c r="C175" s="35" t="s">
        <v>291</v>
      </c>
      <c r="D175" s="35" t="s">
        <v>292</v>
      </c>
      <c r="E175" s="35" t="s">
        <v>47</v>
      </c>
      <c r="F175" s="35" t="s">
        <v>58</v>
      </c>
      <c r="G175" s="35" t="s">
        <v>294</v>
      </c>
      <c r="H175" s="35" t="s">
        <v>56</v>
      </c>
      <c r="I175" s="35" t="s">
        <v>27</v>
      </c>
      <c r="J175" s="35">
        <v>447</v>
      </c>
      <c r="K175" s="35" t="s">
        <v>123</v>
      </c>
      <c r="L175" s="35">
        <v>5</v>
      </c>
      <c r="M175" s="37">
        <v>17700</v>
      </c>
      <c r="N175" s="38">
        <f t="shared" si="3"/>
        <v>3540</v>
      </c>
      <c r="O175" s="35" t="s">
        <v>29</v>
      </c>
      <c r="P175" s="35" t="s">
        <v>30</v>
      </c>
      <c r="Q175" s="36">
        <v>46041</v>
      </c>
      <c r="R175" s="35" t="s">
        <v>31</v>
      </c>
      <c r="S175" s="35"/>
      <c r="T175" s="35"/>
    </row>
    <row r="176" spans="1:20" ht="15.6" x14ac:dyDescent="0.3">
      <c r="A176" s="35" t="s">
        <v>19</v>
      </c>
      <c r="B176" s="35" t="s">
        <v>290</v>
      </c>
      <c r="C176" s="35" t="s">
        <v>291</v>
      </c>
      <c r="D176" s="35" t="s">
        <v>292</v>
      </c>
      <c r="E176" s="35" t="s">
        <v>47</v>
      </c>
      <c r="F176" s="35" t="s">
        <v>58</v>
      </c>
      <c r="G176" s="35" t="s">
        <v>295</v>
      </c>
      <c r="H176" s="35" t="s">
        <v>56</v>
      </c>
      <c r="I176" s="35" t="s">
        <v>27</v>
      </c>
      <c r="J176" s="35">
        <v>447</v>
      </c>
      <c r="K176" s="35" t="s">
        <v>123</v>
      </c>
      <c r="L176" s="35">
        <v>5</v>
      </c>
      <c r="M176" s="37">
        <v>17700</v>
      </c>
      <c r="N176" s="38">
        <f t="shared" si="3"/>
        <v>3540</v>
      </c>
      <c r="O176" s="35" t="s">
        <v>29</v>
      </c>
      <c r="P176" s="35" t="s">
        <v>30</v>
      </c>
      <c r="Q176" s="36">
        <v>46041</v>
      </c>
      <c r="R176" s="35" t="s">
        <v>31</v>
      </c>
      <c r="S176" s="35"/>
      <c r="T176" s="35"/>
    </row>
    <row r="177" spans="1:20" ht="15.6" x14ac:dyDescent="0.3">
      <c r="A177" s="35" t="s">
        <v>19</v>
      </c>
      <c r="B177" s="35" t="s">
        <v>290</v>
      </c>
      <c r="C177" s="35" t="s">
        <v>291</v>
      </c>
      <c r="D177" s="35" t="s">
        <v>292</v>
      </c>
      <c r="E177" s="35" t="s">
        <v>47</v>
      </c>
      <c r="F177" s="35" t="s">
        <v>58</v>
      </c>
      <c r="G177" s="35" t="s">
        <v>296</v>
      </c>
      <c r="H177" s="35" t="s">
        <v>56</v>
      </c>
      <c r="I177" s="35" t="s">
        <v>27</v>
      </c>
      <c r="J177" s="35">
        <v>447</v>
      </c>
      <c r="K177" s="35" t="s">
        <v>123</v>
      </c>
      <c r="L177" s="35">
        <v>5</v>
      </c>
      <c r="M177" s="37">
        <v>39830</v>
      </c>
      <c r="N177" s="38">
        <f t="shared" si="3"/>
        <v>7966</v>
      </c>
      <c r="O177" s="35" t="s">
        <v>29</v>
      </c>
      <c r="P177" s="35" t="s">
        <v>30</v>
      </c>
      <c r="Q177" s="36">
        <v>46041</v>
      </c>
      <c r="R177" s="35" t="s">
        <v>31</v>
      </c>
      <c r="S177" s="35"/>
      <c r="T177" s="35"/>
    </row>
    <row r="178" spans="1:20" ht="15.6" x14ac:dyDescent="0.3">
      <c r="A178" s="35" t="s">
        <v>19</v>
      </c>
      <c r="B178" s="35" t="s">
        <v>290</v>
      </c>
      <c r="C178" s="35" t="s">
        <v>291</v>
      </c>
      <c r="D178" s="35" t="s">
        <v>292</v>
      </c>
      <c r="E178" s="35" t="s">
        <v>47</v>
      </c>
      <c r="F178" s="35" t="s">
        <v>58</v>
      </c>
      <c r="G178" s="35" t="s">
        <v>297</v>
      </c>
      <c r="H178" s="35" t="s">
        <v>56</v>
      </c>
      <c r="I178" s="35" t="s">
        <v>27</v>
      </c>
      <c r="J178" s="35">
        <v>447</v>
      </c>
      <c r="K178" s="35" t="s">
        <v>123</v>
      </c>
      <c r="L178" s="35">
        <v>5</v>
      </c>
      <c r="M178" s="37">
        <v>24790</v>
      </c>
      <c r="N178" s="38">
        <f t="shared" si="3"/>
        <v>4958</v>
      </c>
      <c r="O178" s="35" t="s">
        <v>29</v>
      </c>
      <c r="P178" s="35" t="s">
        <v>30</v>
      </c>
      <c r="Q178" s="36">
        <v>46041</v>
      </c>
      <c r="R178" s="35" t="s">
        <v>31</v>
      </c>
      <c r="S178" s="35"/>
      <c r="T178" s="35"/>
    </row>
    <row r="179" spans="1:20" ht="15.6" x14ac:dyDescent="0.3">
      <c r="A179" s="35" t="s">
        <v>19</v>
      </c>
      <c r="B179" s="35" t="s">
        <v>290</v>
      </c>
      <c r="C179" s="35" t="s">
        <v>291</v>
      </c>
      <c r="D179" s="35" t="s">
        <v>292</v>
      </c>
      <c r="E179" s="35" t="s">
        <v>47</v>
      </c>
      <c r="F179" s="35" t="s">
        <v>58</v>
      </c>
      <c r="G179" s="35" t="s">
        <v>298</v>
      </c>
      <c r="H179" s="35" t="s">
        <v>56</v>
      </c>
      <c r="I179" s="35" t="s">
        <v>27</v>
      </c>
      <c r="J179" s="35">
        <v>447</v>
      </c>
      <c r="K179" s="35" t="s">
        <v>123</v>
      </c>
      <c r="L179" s="35">
        <v>5</v>
      </c>
      <c r="M179" s="37">
        <v>17700</v>
      </c>
      <c r="N179" s="38">
        <f t="shared" si="3"/>
        <v>3540</v>
      </c>
      <c r="O179" s="35" t="s">
        <v>29</v>
      </c>
      <c r="P179" s="35" t="s">
        <v>30</v>
      </c>
      <c r="Q179" s="36">
        <v>46041</v>
      </c>
      <c r="R179" s="35" t="s">
        <v>31</v>
      </c>
      <c r="S179" s="35"/>
      <c r="T179" s="35"/>
    </row>
    <row r="180" spans="1:20" ht="15.6" x14ac:dyDescent="0.3">
      <c r="A180" s="35" t="s">
        <v>19</v>
      </c>
      <c r="B180" s="35" t="s">
        <v>290</v>
      </c>
      <c r="C180" s="35" t="s">
        <v>291</v>
      </c>
      <c r="D180" s="35" t="s">
        <v>292</v>
      </c>
      <c r="E180" s="35" t="s">
        <v>47</v>
      </c>
      <c r="F180" s="35" t="s">
        <v>58</v>
      </c>
      <c r="G180" s="35" t="s">
        <v>258</v>
      </c>
      <c r="H180" s="35" t="s">
        <v>56</v>
      </c>
      <c r="I180" s="35" t="s">
        <v>27</v>
      </c>
      <c r="J180" s="35">
        <v>447</v>
      </c>
      <c r="K180" s="35" t="s">
        <v>123</v>
      </c>
      <c r="L180" s="35">
        <v>5</v>
      </c>
      <c r="M180" s="37">
        <v>17700</v>
      </c>
      <c r="N180" s="38">
        <f t="shared" si="3"/>
        <v>3540</v>
      </c>
      <c r="O180" s="35" t="s">
        <v>29</v>
      </c>
      <c r="P180" s="35" t="s">
        <v>30</v>
      </c>
      <c r="Q180" s="36">
        <v>46041</v>
      </c>
      <c r="R180" s="35" t="s">
        <v>31</v>
      </c>
      <c r="S180" s="35"/>
      <c r="T180" s="35"/>
    </row>
    <row r="181" spans="1:20" ht="15.6" x14ac:dyDescent="0.3">
      <c r="A181" s="35" t="s">
        <v>19</v>
      </c>
      <c r="B181" s="35" t="s">
        <v>299</v>
      </c>
      <c r="C181" s="35" t="s">
        <v>300</v>
      </c>
      <c r="D181" s="35" t="s">
        <v>292</v>
      </c>
      <c r="E181" s="35" t="s">
        <v>40</v>
      </c>
      <c r="F181" s="35" t="s">
        <v>36</v>
      </c>
      <c r="G181" s="35" t="s">
        <v>136</v>
      </c>
      <c r="H181" s="35" t="s">
        <v>26</v>
      </c>
      <c r="I181" s="35" t="s">
        <v>27</v>
      </c>
      <c r="J181" s="35">
        <v>448</v>
      </c>
      <c r="K181" s="35" t="s">
        <v>123</v>
      </c>
      <c r="L181" s="35">
        <v>40</v>
      </c>
      <c r="M181" s="37">
        <v>0</v>
      </c>
      <c r="N181" s="38">
        <f t="shared" si="3"/>
        <v>0</v>
      </c>
      <c r="O181" s="35" t="s">
        <v>29</v>
      </c>
      <c r="P181" s="35" t="s">
        <v>30</v>
      </c>
      <c r="Q181" s="36">
        <v>46052</v>
      </c>
      <c r="R181" s="35" t="s">
        <v>31</v>
      </c>
      <c r="S181" s="35" t="s">
        <v>301</v>
      </c>
      <c r="T181" s="36">
        <v>45706</v>
      </c>
    </row>
    <row r="182" spans="1:20" ht="15.6" x14ac:dyDescent="0.3">
      <c r="A182" s="35" t="s">
        <v>19</v>
      </c>
      <c r="B182" s="35" t="s">
        <v>299</v>
      </c>
      <c r="C182" s="35" t="s">
        <v>300</v>
      </c>
      <c r="D182" s="35" t="s">
        <v>292</v>
      </c>
      <c r="E182" s="35" t="s">
        <v>40</v>
      </c>
      <c r="F182" s="35" t="s">
        <v>36</v>
      </c>
      <c r="G182" s="35" t="s">
        <v>302</v>
      </c>
      <c r="H182" s="35" t="s">
        <v>26</v>
      </c>
      <c r="I182" s="35" t="s">
        <v>27</v>
      </c>
      <c r="J182" s="35">
        <v>448</v>
      </c>
      <c r="K182" s="35" t="s">
        <v>123</v>
      </c>
      <c r="L182" s="35">
        <v>40</v>
      </c>
      <c r="M182" s="37">
        <v>0</v>
      </c>
      <c r="N182" s="38">
        <f t="shared" si="3"/>
        <v>0</v>
      </c>
      <c r="O182" s="35" t="s">
        <v>29</v>
      </c>
      <c r="P182" s="35" t="s">
        <v>30</v>
      </c>
      <c r="Q182" s="36">
        <v>46052</v>
      </c>
      <c r="R182" s="35" t="s">
        <v>31</v>
      </c>
      <c r="S182" s="35" t="s">
        <v>301</v>
      </c>
      <c r="T182" s="36">
        <v>45706</v>
      </c>
    </row>
    <row r="183" spans="1:20" ht="15.6" x14ac:dyDescent="0.3">
      <c r="A183" s="35" t="s">
        <v>19</v>
      </c>
      <c r="B183" s="35" t="s">
        <v>303</v>
      </c>
      <c r="C183" s="35" t="s">
        <v>304</v>
      </c>
      <c r="D183" s="35" t="s">
        <v>292</v>
      </c>
      <c r="E183" s="35" t="s">
        <v>40</v>
      </c>
      <c r="F183" s="35" t="s">
        <v>36</v>
      </c>
      <c r="G183" s="35" t="s">
        <v>136</v>
      </c>
      <c r="H183" s="35" t="s">
        <v>26</v>
      </c>
      <c r="I183" s="35" t="s">
        <v>27</v>
      </c>
      <c r="J183" s="35">
        <v>449</v>
      </c>
      <c r="K183" s="35" t="s">
        <v>123</v>
      </c>
      <c r="L183" s="35">
        <v>40</v>
      </c>
      <c r="M183" s="37">
        <v>0</v>
      </c>
      <c r="N183" s="38">
        <f t="shared" si="3"/>
        <v>0</v>
      </c>
      <c r="O183" s="35" t="s">
        <v>29</v>
      </c>
      <c r="P183" s="35" t="s">
        <v>30</v>
      </c>
      <c r="Q183" s="36">
        <v>46052</v>
      </c>
      <c r="R183" s="35" t="s">
        <v>31</v>
      </c>
      <c r="S183" s="35" t="s">
        <v>305</v>
      </c>
      <c r="T183" s="36">
        <v>45706</v>
      </c>
    </row>
    <row r="184" spans="1:20" ht="15.6" x14ac:dyDescent="0.3">
      <c r="A184" s="35" t="s">
        <v>19</v>
      </c>
      <c r="B184" s="35" t="s">
        <v>303</v>
      </c>
      <c r="C184" s="35" t="s">
        <v>304</v>
      </c>
      <c r="D184" s="35" t="s">
        <v>292</v>
      </c>
      <c r="E184" s="35" t="s">
        <v>40</v>
      </c>
      <c r="F184" s="35" t="s">
        <v>36</v>
      </c>
      <c r="G184" s="35" t="s">
        <v>302</v>
      </c>
      <c r="H184" s="35" t="s">
        <v>26</v>
      </c>
      <c r="I184" s="35" t="s">
        <v>27</v>
      </c>
      <c r="J184" s="35">
        <v>449</v>
      </c>
      <c r="K184" s="35" t="s">
        <v>123</v>
      </c>
      <c r="L184" s="35">
        <v>40</v>
      </c>
      <c r="M184" s="37">
        <v>0</v>
      </c>
      <c r="N184" s="38">
        <f t="shared" si="3"/>
        <v>0</v>
      </c>
      <c r="O184" s="35" t="s">
        <v>29</v>
      </c>
      <c r="P184" s="35" t="s">
        <v>30</v>
      </c>
      <c r="Q184" s="36">
        <v>46052</v>
      </c>
      <c r="R184" s="35" t="s">
        <v>31</v>
      </c>
      <c r="S184" s="35" t="s">
        <v>305</v>
      </c>
      <c r="T184" s="36">
        <v>45706</v>
      </c>
    </row>
    <row r="185" spans="1:20" ht="15.6" x14ac:dyDescent="0.3">
      <c r="A185" s="35" t="s">
        <v>19</v>
      </c>
      <c r="B185" s="35" t="s">
        <v>306</v>
      </c>
      <c r="C185" s="35" t="s">
        <v>307</v>
      </c>
      <c r="D185" s="35" t="s">
        <v>292</v>
      </c>
      <c r="E185" s="35" t="s">
        <v>47</v>
      </c>
      <c r="F185" s="35" t="s">
        <v>58</v>
      </c>
      <c r="G185" s="35" t="s">
        <v>289</v>
      </c>
      <c r="H185" s="35" t="s">
        <v>26</v>
      </c>
      <c r="I185" s="35" t="s">
        <v>64</v>
      </c>
      <c r="J185" s="35">
        <v>159</v>
      </c>
      <c r="K185" s="35" t="s">
        <v>123</v>
      </c>
      <c r="L185" s="35">
        <v>20</v>
      </c>
      <c r="M185" s="37">
        <v>62000</v>
      </c>
      <c r="N185" s="38">
        <f t="shared" si="3"/>
        <v>3100</v>
      </c>
      <c r="O185" s="35" t="s">
        <v>29</v>
      </c>
      <c r="P185" s="35" t="s">
        <v>30</v>
      </c>
      <c r="Q185" s="36">
        <v>46101</v>
      </c>
      <c r="R185" s="35" t="s">
        <v>31</v>
      </c>
      <c r="S185" s="35"/>
      <c r="T185" s="35"/>
    </row>
    <row r="186" spans="1:20" ht="15.6" x14ac:dyDescent="0.3">
      <c r="A186" s="35" t="s">
        <v>19</v>
      </c>
      <c r="B186" s="35" t="s">
        <v>306</v>
      </c>
      <c r="C186" s="35" t="s">
        <v>307</v>
      </c>
      <c r="D186" s="35" t="s">
        <v>292</v>
      </c>
      <c r="E186" s="35" t="s">
        <v>47</v>
      </c>
      <c r="F186" s="35" t="s">
        <v>58</v>
      </c>
      <c r="G186" s="35" t="s">
        <v>308</v>
      </c>
      <c r="H186" s="35" t="s">
        <v>26</v>
      </c>
      <c r="I186" s="35" t="s">
        <v>64</v>
      </c>
      <c r="J186" s="35">
        <v>159</v>
      </c>
      <c r="K186" s="35" t="s">
        <v>123</v>
      </c>
      <c r="L186" s="35">
        <v>15</v>
      </c>
      <c r="M186" s="37">
        <v>46500</v>
      </c>
      <c r="N186" s="38">
        <f t="shared" si="3"/>
        <v>3100</v>
      </c>
      <c r="O186" s="35" t="s">
        <v>29</v>
      </c>
      <c r="P186" s="35" t="s">
        <v>30</v>
      </c>
      <c r="Q186" s="36">
        <v>46101</v>
      </c>
      <c r="R186" s="35" t="s">
        <v>31</v>
      </c>
      <c r="S186" s="35"/>
      <c r="T186" s="35"/>
    </row>
    <row r="187" spans="1:20" ht="15.6" x14ac:dyDescent="0.3">
      <c r="A187" s="35" t="s">
        <v>19</v>
      </c>
      <c r="B187" s="35" t="s">
        <v>306</v>
      </c>
      <c r="C187" s="35" t="s">
        <v>307</v>
      </c>
      <c r="D187" s="35" t="s">
        <v>292</v>
      </c>
      <c r="E187" s="35" t="s">
        <v>47</v>
      </c>
      <c r="F187" s="35" t="s">
        <v>58</v>
      </c>
      <c r="G187" s="35" t="s">
        <v>309</v>
      </c>
      <c r="H187" s="35" t="s">
        <v>26</v>
      </c>
      <c r="I187" s="35" t="s">
        <v>64</v>
      </c>
      <c r="J187" s="35">
        <v>159</v>
      </c>
      <c r="K187" s="35" t="s">
        <v>123</v>
      </c>
      <c r="L187" s="35">
        <v>1</v>
      </c>
      <c r="M187" s="37">
        <v>3100</v>
      </c>
      <c r="N187" s="38">
        <f t="shared" si="3"/>
        <v>3100</v>
      </c>
      <c r="O187" s="35" t="s">
        <v>29</v>
      </c>
      <c r="P187" s="35" t="s">
        <v>30</v>
      </c>
      <c r="Q187" s="36">
        <v>46101</v>
      </c>
      <c r="R187" s="35" t="s">
        <v>31</v>
      </c>
      <c r="S187" s="35"/>
      <c r="T187" s="35"/>
    </row>
    <row r="188" spans="1:20" ht="15.6" x14ac:dyDescent="0.3">
      <c r="A188" s="35" t="s">
        <v>19</v>
      </c>
      <c r="B188" s="35" t="s">
        <v>306</v>
      </c>
      <c r="C188" s="35" t="s">
        <v>307</v>
      </c>
      <c r="D188" s="35" t="s">
        <v>292</v>
      </c>
      <c r="E188" s="35" t="s">
        <v>47</v>
      </c>
      <c r="F188" s="35" t="s">
        <v>58</v>
      </c>
      <c r="G188" s="35" t="s">
        <v>295</v>
      </c>
      <c r="H188" s="35" t="s">
        <v>26</v>
      </c>
      <c r="I188" s="35" t="s">
        <v>64</v>
      </c>
      <c r="J188" s="35">
        <v>159</v>
      </c>
      <c r="K188" s="35" t="s">
        <v>123</v>
      </c>
      <c r="L188" s="35">
        <v>5</v>
      </c>
      <c r="M188" s="37">
        <v>15500</v>
      </c>
      <c r="N188" s="38">
        <f t="shared" si="3"/>
        <v>3100</v>
      </c>
      <c r="O188" s="35" t="s">
        <v>29</v>
      </c>
      <c r="P188" s="35" t="s">
        <v>30</v>
      </c>
      <c r="Q188" s="36">
        <v>46101</v>
      </c>
      <c r="R188" s="35" t="s">
        <v>31</v>
      </c>
      <c r="S188" s="35"/>
      <c r="T188" s="35"/>
    </row>
    <row r="189" spans="1:20" ht="15.6" x14ac:dyDescent="0.3">
      <c r="A189" s="35" t="s">
        <v>19</v>
      </c>
      <c r="B189" s="35" t="s">
        <v>306</v>
      </c>
      <c r="C189" s="35" t="s">
        <v>307</v>
      </c>
      <c r="D189" s="35" t="s">
        <v>292</v>
      </c>
      <c r="E189" s="35" t="s">
        <v>47</v>
      </c>
      <c r="F189" s="35" t="s">
        <v>58</v>
      </c>
      <c r="G189" s="35" t="s">
        <v>310</v>
      </c>
      <c r="H189" s="35" t="s">
        <v>26</v>
      </c>
      <c r="I189" s="35" t="s">
        <v>64</v>
      </c>
      <c r="J189" s="35">
        <v>159</v>
      </c>
      <c r="K189" s="35" t="s">
        <v>123</v>
      </c>
      <c r="L189" s="35">
        <v>3</v>
      </c>
      <c r="M189" s="37">
        <v>9300</v>
      </c>
      <c r="N189" s="38">
        <f t="shared" si="3"/>
        <v>3100</v>
      </c>
      <c r="O189" s="35" t="s">
        <v>29</v>
      </c>
      <c r="P189" s="35" t="s">
        <v>30</v>
      </c>
      <c r="Q189" s="36">
        <v>46101</v>
      </c>
      <c r="R189" s="35" t="s">
        <v>31</v>
      </c>
      <c r="S189" s="35"/>
      <c r="T189" s="35"/>
    </row>
    <row r="190" spans="1:20" ht="15.6" x14ac:dyDescent="0.3">
      <c r="A190" s="35" t="s">
        <v>19</v>
      </c>
      <c r="B190" s="35" t="s">
        <v>311</v>
      </c>
      <c r="C190" s="35" t="s">
        <v>312</v>
      </c>
      <c r="D190" s="35" t="s">
        <v>292</v>
      </c>
      <c r="E190" s="35" t="s">
        <v>147</v>
      </c>
      <c r="F190" s="35" t="s">
        <v>48</v>
      </c>
      <c r="G190" s="35" t="s">
        <v>313</v>
      </c>
      <c r="H190" s="35" t="s">
        <v>26</v>
      </c>
      <c r="I190" s="35" t="s">
        <v>64</v>
      </c>
      <c r="J190" s="35">
        <v>160</v>
      </c>
      <c r="K190" s="35" t="s">
        <v>28</v>
      </c>
      <c r="L190" s="35">
        <v>12</v>
      </c>
      <c r="M190" s="37">
        <v>110100</v>
      </c>
      <c r="N190" s="38">
        <f t="shared" si="3"/>
        <v>9175</v>
      </c>
      <c r="O190" s="35" t="s">
        <v>29</v>
      </c>
      <c r="P190" s="35" t="s">
        <v>30</v>
      </c>
      <c r="Q190" s="36">
        <v>46071</v>
      </c>
      <c r="R190" s="35" t="s">
        <v>31</v>
      </c>
      <c r="S190" s="35"/>
      <c r="T190" s="35"/>
    </row>
    <row r="191" spans="1:20" ht="15.6" x14ac:dyDescent="0.3">
      <c r="A191" s="35" t="s">
        <v>19</v>
      </c>
      <c r="B191" s="35" t="s">
        <v>311</v>
      </c>
      <c r="C191" s="35" t="s">
        <v>312</v>
      </c>
      <c r="D191" s="35" t="s">
        <v>292</v>
      </c>
      <c r="E191" s="35" t="s">
        <v>147</v>
      </c>
      <c r="F191" s="35" t="s">
        <v>48</v>
      </c>
      <c r="G191" s="35" t="s">
        <v>171</v>
      </c>
      <c r="H191" s="35" t="s">
        <v>26</v>
      </c>
      <c r="I191" s="35" t="s">
        <v>64</v>
      </c>
      <c r="J191" s="35">
        <v>160</v>
      </c>
      <c r="K191" s="35" t="s">
        <v>28</v>
      </c>
      <c r="L191" s="35">
        <v>24</v>
      </c>
      <c r="M191" s="37">
        <v>146160</v>
      </c>
      <c r="N191" s="38">
        <f t="shared" si="3"/>
        <v>6090</v>
      </c>
      <c r="O191" s="35" t="s">
        <v>29</v>
      </c>
      <c r="P191" s="35" t="s">
        <v>30</v>
      </c>
      <c r="Q191" s="36">
        <v>46071</v>
      </c>
      <c r="R191" s="35" t="s">
        <v>31</v>
      </c>
      <c r="S191" s="35"/>
      <c r="T191" s="35"/>
    </row>
    <row r="192" spans="1:20" ht="15.6" x14ac:dyDescent="0.3">
      <c r="A192" s="35" t="s">
        <v>19</v>
      </c>
      <c r="B192" s="35" t="s">
        <v>311</v>
      </c>
      <c r="C192" s="35" t="s">
        <v>312</v>
      </c>
      <c r="D192" s="35" t="s">
        <v>292</v>
      </c>
      <c r="E192" s="35" t="s">
        <v>147</v>
      </c>
      <c r="F192" s="35" t="s">
        <v>48</v>
      </c>
      <c r="G192" s="35" t="s">
        <v>166</v>
      </c>
      <c r="H192" s="35" t="s">
        <v>26</v>
      </c>
      <c r="I192" s="35" t="s">
        <v>64</v>
      </c>
      <c r="J192" s="35">
        <v>160</v>
      </c>
      <c r="K192" s="35" t="s">
        <v>28</v>
      </c>
      <c r="L192" s="35">
        <v>36</v>
      </c>
      <c r="M192" s="37">
        <v>330300</v>
      </c>
      <c r="N192" s="38">
        <f t="shared" si="3"/>
        <v>9175</v>
      </c>
      <c r="O192" s="35" t="s">
        <v>29</v>
      </c>
      <c r="P192" s="35" t="s">
        <v>30</v>
      </c>
      <c r="Q192" s="36">
        <v>46071</v>
      </c>
      <c r="R192" s="35" t="s">
        <v>31</v>
      </c>
      <c r="S192" s="35"/>
      <c r="T192" s="35"/>
    </row>
    <row r="193" spans="1:20" ht="15.6" x14ac:dyDescent="0.3">
      <c r="A193" s="35" t="s">
        <v>19</v>
      </c>
      <c r="B193" s="35" t="s">
        <v>311</v>
      </c>
      <c r="C193" s="35" t="s">
        <v>312</v>
      </c>
      <c r="D193" s="35" t="s">
        <v>292</v>
      </c>
      <c r="E193" s="35" t="s">
        <v>147</v>
      </c>
      <c r="F193" s="35" t="s">
        <v>48</v>
      </c>
      <c r="G193" s="35" t="s">
        <v>169</v>
      </c>
      <c r="H193" s="35" t="s">
        <v>26</v>
      </c>
      <c r="I193" s="35" t="s">
        <v>64</v>
      </c>
      <c r="J193" s="35">
        <v>160</v>
      </c>
      <c r="K193" s="35" t="s">
        <v>28</v>
      </c>
      <c r="L193" s="35">
        <v>12</v>
      </c>
      <c r="M193" s="37">
        <v>73392</v>
      </c>
      <c r="N193" s="38">
        <f t="shared" si="3"/>
        <v>6116</v>
      </c>
      <c r="O193" s="35" t="s">
        <v>29</v>
      </c>
      <c r="P193" s="35" t="s">
        <v>30</v>
      </c>
      <c r="Q193" s="36">
        <v>46071</v>
      </c>
      <c r="R193" s="35" t="s">
        <v>31</v>
      </c>
      <c r="S193" s="35"/>
      <c r="T193" s="35"/>
    </row>
    <row r="194" spans="1:20" ht="15.6" x14ac:dyDescent="0.3">
      <c r="A194" s="35" t="s">
        <v>19</v>
      </c>
      <c r="B194" s="35" t="s">
        <v>311</v>
      </c>
      <c r="C194" s="35" t="s">
        <v>312</v>
      </c>
      <c r="D194" s="35" t="s">
        <v>292</v>
      </c>
      <c r="E194" s="35" t="s">
        <v>147</v>
      </c>
      <c r="F194" s="35" t="s">
        <v>48</v>
      </c>
      <c r="G194" s="35" t="s">
        <v>230</v>
      </c>
      <c r="H194" s="35" t="s">
        <v>26</v>
      </c>
      <c r="I194" s="35" t="s">
        <v>64</v>
      </c>
      <c r="J194" s="35">
        <v>160</v>
      </c>
      <c r="K194" s="35" t="s">
        <v>28</v>
      </c>
      <c r="L194" s="35">
        <v>48</v>
      </c>
      <c r="M194" s="37">
        <v>293568</v>
      </c>
      <c r="N194" s="38">
        <f t="shared" si="3"/>
        <v>6116</v>
      </c>
      <c r="O194" s="35" t="s">
        <v>29</v>
      </c>
      <c r="P194" s="35" t="s">
        <v>30</v>
      </c>
      <c r="Q194" s="36">
        <v>46071</v>
      </c>
      <c r="R194" s="35" t="s">
        <v>31</v>
      </c>
      <c r="S194" s="35"/>
      <c r="T194" s="35"/>
    </row>
    <row r="195" spans="1:20" ht="15.6" x14ac:dyDescent="0.3">
      <c r="A195" s="35" t="s">
        <v>19</v>
      </c>
      <c r="B195" s="35" t="s">
        <v>311</v>
      </c>
      <c r="C195" s="35" t="s">
        <v>312</v>
      </c>
      <c r="D195" s="35" t="s">
        <v>292</v>
      </c>
      <c r="E195" s="35" t="s">
        <v>147</v>
      </c>
      <c r="F195" s="35" t="s">
        <v>48</v>
      </c>
      <c r="G195" s="35" t="s">
        <v>231</v>
      </c>
      <c r="H195" s="35" t="s">
        <v>26</v>
      </c>
      <c r="I195" s="35" t="s">
        <v>64</v>
      </c>
      <c r="J195" s="35">
        <v>160</v>
      </c>
      <c r="K195" s="35" t="s">
        <v>28</v>
      </c>
      <c r="L195" s="35">
        <v>36</v>
      </c>
      <c r="M195" s="37">
        <v>242208</v>
      </c>
      <c r="N195" s="38">
        <f t="shared" si="3"/>
        <v>6728</v>
      </c>
      <c r="O195" s="35" t="s">
        <v>29</v>
      </c>
      <c r="P195" s="35" t="s">
        <v>30</v>
      </c>
      <c r="Q195" s="36">
        <v>46071</v>
      </c>
      <c r="R195" s="35" t="s">
        <v>31</v>
      </c>
      <c r="S195" s="35"/>
      <c r="T195" s="35"/>
    </row>
    <row r="196" spans="1:20" ht="15.6" x14ac:dyDescent="0.3">
      <c r="A196" s="35" t="s">
        <v>19</v>
      </c>
      <c r="B196" s="35" t="s">
        <v>306</v>
      </c>
      <c r="C196" s="35" t="s">
        <v>307</v>
      </c>
      <c r="D196" s="35" t="s">
        <v>314</v>
      </c>
      <c r="E196" s="35" t="s">
        <v>47</v>
      </c>
      <c r="F196" s="35" t="s">
        <v>58</v>
      </c>
      <c r="G196" s="35" t="s">
        <v>315</v>
      </c>
      <c r="H196" s="35" t="s">
        <v>26</v>
      </c>
      <c r="I196" s="35" t="s">
        <v>27</v>
      </c>
      <c r="J196" s="35">
        <v>450</v>
      </c>
      <c r="K196" s="35" t="s">
        <v>28</v>
      </c>
      <c r="L196" s="35">
        <v>15</v>
      </c>
      <c r="M196" s="37">
        <v>0</v>
      </c>
      <c r="N196" s="38">
        <f t="shared" si="3"/>
        <v>0</v>
      </c>
      <c r="O196" s="35" t="s">
        <v>29</v>
      </c>
      <c r="P196" s="35" t="s">
        <v>30</v>
      </c>
      <c r="Q196" s="36">
        <v>46081</v>
      </c>
      <c r="R196" s="35" t="s">
        <v>31</v>
      </c>
      <c r="S196" s="35" t="s">
        <v>316</v>
      </c>
      <c r="T196" s="36">
        <v>46020</v>
      </c>
    </row>
    <row r="197" spans="1:20" ht="15.6" x14ac:dyDescent="0.3">
      <c r="A197" s="35" t="s">
        <v>19</v>
      </c>
      <c r="B197" s="35" t="s">
        <v>306</v>
      </c>
      <c r="C197" s="35" t="s">
        <v>307</v>
      </c>
      <c r="D197" s="35" t="s">
        <v>314</v>
      </c>
      <c r="E197" s="35" t="s">
        <v>47</v>
      </c>
      <c r="F197" s="35" t="s">
        <v>58</v>
      </c>
      <c r="G197" s="35" t="s">
        <v>317</v>
      </c>
      <c r="H197" s="35" t="s">
        <v>26</v>
      </c>
      <c r="I197" s="35" t="s">
        <v>27</v>
      </c>
      <c r="J197" s="35">
        <v>450</v>
      </c>
      <c r="K197" s="35" t="s">
        <v>28</v>
      </c>
      <c r="L197" s="35">
        <v>1</v>
      </c>
      <c r="M197" s="37">
        <v>0</v>
      </c>
      <c r="N197" s="38">
        <f t="shared" si="3"/>
        <v>0</v>
      </c>
      <c r="O197" s="35" t="s">
        <v>29</v>
      </c>
      <c r="P197" s="35" t="s">
        <v>30</v>
      </c>
      <c r="Q197" s="36">
        <v>46081</v>
      </c>
      <c r="R197" s="35" t="s">
        <v>31</v>
      </c>
      <c r="S197" s="35" t="s">
        <v>316</v>
      </c>
      <c r="T197" s="36">
        <v>46020</v>
      </c>
    </row>
    <row r="198" spans="1:20" ht="15.6" x14ac:dyDescent="0.3">
      <c r="A198" s="35" t="s">
        <v>19</v>
      </c>
      <c r="B198" s="35" t="s">
        <v>306</v>
      </c>
      <c r="C198" s="35" t="s">
        <v>307</v>
      </c>
      <c r="D198" s="35" t="s">
        <v>314</v>
      </c>
      <c r="E198" s="35" t="s">
        <v>47</v>
      </c>
      <c r="F198" s="35" t="s">
        <v>58</v>
      </c>
      <c r="G198" s="35" t="s">
        <v>318</v>
      </c>
      <c r="H198" s="35" t="s">
        <v>26</v>
      </c>
      <c r="I198" s="35" t="s">
        <v>27</v>
      </c>
      <c r="J198" s="35">
        <v>450</v>
      </c>
      <c r="K198" s="35" t="s">
        <v>28</v>
      </c>
      <c r="L198" s="35">
        <v>20</v>
      </c>
      <c r="M198" s="37">
        <v>0</v>
      </c>
      <c r="N198" s="38">
        <f t="shared" si="3"/>
        <v>0</v>
      </c>
      <c r="O198" s="35" t="s">
        <v>29</v>
      </c>
      <c r="P198" s="35" t="s">
        <v>30</v>
      </c>
      <c r="Q198" s="36">
        <v>46081</v>
      </c>
      <c r="R198" s="35" t="s">
        <v>31</v>
      </c>
      <c r="S198" s="35" t="s">
        <v>316</v>
      </c>
      <c r="T198" s="36">
        <v>46020</v>
      </c>
    </row>
    <row r="199" spans="1:20" ht="15.6" x14ac:dyDescent="0.3">
      <c r="A199" s="35" t="s">
        <v>19</v>
      </c>
      <c r="B199" s="35" t="s">
        <v>306</v>
      </c>
      <c r="C199" s="35" t="s">
        <v>307</v>
      </c>
      <c r="D199" s="35" t="s">
        <v>314</v>
      </c>
      <c r="E199" s="35" t="s">
        <v>47</v>
      </c>
      <c r="F199" s="35" t="s">
        <v>58</v>
      </c>
      <c r="G199" s="35" t="s">
        <v>319</v>
      </c>
      <c r="H199" s="35" t="s">
        <v>26</v>
      </c>
      <c r="I199" s="35" t="s">
        <v>27</v>
      </c>
      <c r="J199" s="35">
        <v>450</v>
      </c>
      <c r="K199" s="35" t="s">
        <v>28</v>
      </c>
      <c r="L199" s="35">
        <v>10</v>
      </c>
      <c r="M199" s="37">
        <v>0</v>
      </c>
      <c r="N199" s="38">
        <f t="shared" si="3"/>
        <v>0</v>
      </c>
      <c r="O199" s="35" t="s">
        <v>29</v>
      </c>
      <c r="P199" s="35" t="s">
        <v>30</v>
      </c>
      <c r="Q199" s="36">
        <v>46081</v>
      </c>
      <c r="R199" s="35" t="s">
        <v>31</v>
      </c>
      <c r="S199" s="35" t="s">
        <v>316</v>
      </c>
      <c r="T199" s="36">
        <v>46020</v>
      </c>
    </row>
    <row r="200" spans="1:20" ht="15.6" x14ac:dyDescent="0.3">
      <c r="A200" s="35" t="s">
        <v>19</v>
      </c>
      <c r="B200" s="35" t="s">
        <v>81</v>
      </c>
      <c r="C200" s="35" t="s">
        <v>82</v>
      </c>
      <c r="D200" s="35" t="s">
        <v>314</v>
      </c>
      <c r="E200" s="41" t="s">
        <v>23</v>
      </c>
      <c r="F200" s="35" t="s">
        <v>24</v>
      </c>
      <c r="G200" s="35" t="s">
        <v>253</v>
      </c>
      <c r="H200" s="35" t="s">
        <v>56</v>
      </c>
      <c r="I200" s="35" t="s">
        <v>27</v>
      </c>
      <c r="J200" s="35">
        <v>451</v>
      </c>
      <c r="K200" s="35" t="s">
        <v>123</v>
      </c>
      <c r="L200" s="35">
        <v>20</v>
      </c>
      <c r="M200" s="37">
        <v>80000</v>
      </c>
      <c r="N200" s="38">
        <f t="shared" si="3"/>
        <v>4000</v>
      </c>
      <c r="O200" s="35" t="s">
        <v>29</v>
      </c>
      <c r="P200" s="35" t="s">
        <v>30</v>
      </c>
      <c r="Q200" s="36">
        <v>46132</v>
      </c>
      <c r="R200" s="35" t="s">
        <v>31</v>
      </c>
      <c r="S200" s="35"/>
      <c r="T200" s="35"/>
    </row>
    <row r="201" spans="1:20" ht="15.6" x14ac:dyDescent="0.3">
      <c r="A201" s="35" t="s">
        <v>19</v>
      </c>
      <c r="B201" s="35" t="s">
        <v>81</v>
      </c>
      <c r="C201" s="35" t="s">
        <v>82</v>
      </c>
      <c r="D201" s="35" t="s">
        <v>314</v>
      </c>
      <c r="E201" s="41" t="s">
        <v>23</v>
      </c>
      <c r="F201" s="35" t="s">
        <v>24</v>
      </c>
      <c r="G201" s="35" t="s">
        <v>320</v>
      </c>
      <c r="H201" s="35" t="s">
        <v>56</v>
      </c>
      <c r="I201" s="35" t="s">
        <v>27</v>
      </c>
      <c r="J201" s="35">
        <v>451</v>
      </c>
      <c r="K201" s="35" t="s">
        <v>123</v>
      </c>
      <c r="L201" s="35">
        <v>10</v>
      </c>
      <c r="M201" s="37">
        <v>40000</v>
      </c>
      <c r="N201" s="38">
        <f t="shared" si="3"/>
        <v>4000</v>
      </c>
      <c r="O201" s="35" t="s">
        <v>29</v>
      </c>
      <c r="P201" s="35" t="s">
        <v>30</v>
      </c>
      <c r="Q201" s="36">
        <v>46132</v>
      </c>
      <c r="R201" s="35" t="s">
        <v>31</v>
      </c>
      <c r="S201" s="35"/>
      <c r="T201" s="35"/>
    </row>
    <row r="202" spans="1:20" ht="15.6" x14ac:dyDescent="0.3">
      <c r="A202" s="35" t="s">
        <v>19</v>
      </c>
      <c r="B202" s="35" t="s">
        <v>81</v>
      </c>
      <c r="C202" s="35" t="s">
        <v>82</v>
      </c>
      <c r="D202" s="35" t="s">
        <v>314</v>
      </c>
      <c r="E202" s="41" t="s">
        <v>23</v>
      </c>
      <c r="F202" s="35" t="s">
        <v>24</v>
      </c>
      <c r="G202" s="35" t="s">
        <v>321</v>
      </c>
      <c r="H202" s="35" t="s">
        <v>56</v>
      </c>
      <c r="I202" s="35" t="s">
        <v>27</v>
      </c>
      <c r="J202" s="35">
        <v>451</v>
      </c>
      <c r="K202" s="35" t="s">
        <v>123</v>
      </c>
      <c r="L202" s="35">
        <v>120</v>
      </c>
      <c r="M202" s="37">
        <v>1404000</v>
      </c>
      <c r="N202" s="38">
        <f t="shared" si="3"/>
        <v>11700</v>
      </c>
      <c r="O202" s="35" t="s">
        <v>29</v>
      </c>
      <c r="P202" s="35" t="s">
        <v>30</v>
      </c>
      <c r="Q202" s="36">
        <v>46132</v>
      </c>
      <c r="R202" s="35" t="s">
        <v>31</v>
      </c>
      <c r="S202" s="35"/>
      <c r="T202" s="35"/>
    </row>
    <row r="203" spans="1:20" ht="15.6" x14ac:dyDescent="0.3">
      <c r="A203" s="35" t="s">
        <v>19</v>
      </c>
      <c r="B203" s="35" t="s">
        <v>81</v>
      </c>
      <c r="C203" s="35" t="s">
        <v>82</v>
      </c>
      <c r="D203" s="35" t="s">
        <v>314</v>
      </c>
      <c r="E203" s="41" t="s">
        <v>23</v>
      </c>
      <c r="F203" s="35" t="s">
        <v>24</v>
      </c>
      <c r="G203" s="35" t="s">
        <v>322</v>
      </c>
      <c r="H203" s="35" t="s">
        <v>56</v>
      </c>
      <c r="I203" s="35" t="s">
        <v>27</v>
      </c>
      <c r="J203" s="35">
        <v>451</v>
      </c>
      <c r="K203" s="35" t="s">
        <v>123</v>
      </c>
      <c r="L203" s="35">
        <v>10</v>
      </c>
      <c r="M203" s="37">
        <v>149000</v>
      </c>
      <c r="N203" s="38">
        <f t="shared" si="3"/>
        <v>14900</v>
      </c>
      <c r="O203" s="35" t="s">
        <v>29</v>
      </c>
      <c r="P203" s="35" t="s">
        <v>30</v>
      </c>
      <c r="Q203" s="36">
        <v>46132</v>
      </c>
      <c r="R203" s="35" t="s">
        <v>31</v>
      </c>
      <c r="S203" s="35"/>
      <c r="T203" s="35"/>
    </row>
    <row r="204" spans="1:20" ht="15.6" x14ac:dyDescent="0.3">
      <c r="A204" s="35" t="s">
        <v>19</v>
      </c>
      <c r="B204" s="35" t="s">
        <v>273</v>
      </c>
      <c r="C204" s="35" t="s">
        <v>274</v>
      </c>
      <c r="D204" s="35" t="s">
        <v>314</v>
      </c>
      <c r="E204" s="35" t="s">
        <v>40</v>
      </c>
      <c r="F204" s="35" t="s">
        <v>36</v>
      </c>
      <c r="G204" s="35" t="s">
        <v>242</v>
      </c>
      <c r="H204" s="35" t="s">
        <v>56</v>
      </c>
      <c r="I204" s="35" t="s">
        <v>27</v>
      </c>
      <c r="J204" s="35">
        <v>452</v>
      </c>
      <c r="K204" s="35" t="s">
        <v>123</v>
      </c>
      <c r="L204" s="35">
        <v>20</v>
      </c>
      <c r="M204" s="37">
        <v>170000</v>
      </c>
      <c r="N204" s="38">
        <f t="shared" si="3"/>
        <v>8500</v>
      </c>
      <c r="O204" s="35" t="s">
        <v>29</v>
      </c>
      <c r="P204" s="35" t="s">
        <v>30</v>
      </c>
      <c r="Q204" s="36">
        <v>46042</v>
      </c>
      <c r="R204" s="35" t="s">
        <v>31</v>
      </c>
      <c r="S204" s="35"/>
      <c r="T204" s="35"/>
    </row>
    <row r="205" spans="1:20" ht="15.6" x14ac:dyDescent="0.3">
      <c r="A205" s="35" t="s">
        <v>19</v>
      </c>
      <c r="B205" s="35" t="s">
        <v>323</v>
      </c>
      <c r="C205" s="35" t="s">
        <v>324</v>
      </c>
      <c r="D205" s="35" t="s">
        <v>314</v>
      </c>
      <c r="E205" s="35" t="s">
        <v>325</v>
      </c>
      <c r="F205" s="35" t="s">
        <v>54</v>
      </c>
      <c r="G205" s="35" t="s">
        <v>308</v>
      </c>
      <c r="H205" s="35" t="s">
        <v>56</v>
      </c>
      <c r="I205" s="35" t="s">
        <v>27</v>
      </c>
      <c r="J205" s="35">
        <v>453</v>
      </c>
      <c r="K205" s="35" t="s">
        <v>123</v>
      </c>
      <c r="L205" s="35">
        <v>10</v>
      </c>
      <c r="M205" s="43">
        <v>53320</v>
      </c>
      <c r="N205" s="38">
        <f t="shared" ref="N205:N268" si="4">M205/L205</f>
        <v>5332</v>
      </c>
      <c r="O205" s="35" t="s">
        <v>29</v>
      </c>
      <c r="P205" s="35" t="s">
        <v>30</v>
      </c>
      <c r="Q205" s="36">
        <v>46102</v>
      </c>
      <c r="R205" s="35" t="s">
        <v>31</v>
      </c>
      <c r="S205" s="35"/>
      <c r="T205" s="35"/>
    </row>
    <row r="206" spans="1:20" ht="15.6" x14ac:dyDescent="0.3">
      <c r="A206" s="35" t="s">
        <v>19</v>
      </c>
      <c r="B206" s="35" t="s">
        <v>323</v>
      </c>
      <c r="C206" s="35" t="s">
        <v>324</v>
      </c>
      <c r="D206" s="35" t="s">
        <v>314</v>
      </c>
      <c r="E206" s="35" t="s">
        <v>325</v>
      </c>
      <c r="F206" s="35" t="s">
        <v>54</v>
      </c>
      <c r="G206" s="35" t="s">
        <v>309</v>
      </c>
      <c r="H206" s="35" t="s">
        <v>56</v>
      </c>
      <c r="I206" s="35" t="s">
        <v>27</v>
      </c>
      <c r="J206" s="35">
        <v>453</v>
      </c>
      <c r="K206" s="35" t="s">
        <v>123</v>
      </c>
      <c r="L206" s="35">
        <v>2</v>
      </c>
      <c r="M206" s="37">
        <v>14219</v>
      </c>
      <c r="N206" s="38">
        <f t="shared" si="4"/>
        <v>7109.5</v>
      </c>
      <c r="O206" s="35" t="s">
        <v>29</v>
      </c>
      <c r="P206" s="35" t="s">
        <v>30</v>
      </c>
      <c r="Q206" s="36">
        <v>46102</v>
      </c>
      <c r="R206" s="35" t="s">
        <v>31</v>
      </c>
      <c r="S206" s="35"/>
      <c r="T206" s="35"/>
    </row>
    <row r="207" spans="1:20" ht="15.6" x14ac:dyDescent="0.3">
      <c r="A207" s="35" t="s">
        <v>19</v>
      </c>
      <c r="B207" s="35" t="s">
        <v>323</v>
      </c>
      <c r="C207" s="35" t="s">
        <v>324</v>
      </c>
      <c r="D207" s="35" t="s">
        <v>314</v>
      </c>
      <c r="E207" s="35" t="s">
        <v>325</v>
      </c>
      <c r="F207" s="35" t="s">
        <v>54</v>
      </c>
      <c r="G207" s="35" t="s">
        <v>326</v>
      </c>
      <c r="H207" s="35" t="s">
        <v>56</v>
      </c>
      <c r="I207" s="35" t="s">
        <v>27</v>
      </c>
      <c r="J207" s="35">
        <v>453</v>
      </c>
      <c r="K207" s="35" t="s">
        <v>123</v>
      </c>
      <c r="L207" s="35">
        <v>5</v>
      </c>
      <c r="M207" s="37">
        <v>31103</v>
      </c>
      <c r="N207" s="38">
        <f t="shared" si="4"/>
        <v>6220.6</v>
      </c>
      <c r="O207" s="35" t="s">
        <v>29</v>
      </c>
      <c r="P207" s="35" t="s">
        <v>30</v>
      </c>
      <c r="Q207" s="36">
        <v>46102</v>
      </c>
      <c r="R207" s="35" t="s">
        <v>31</v>
      </c>
      <c r="S207" s="35"/>
      <c r="T207" s="35"/>
    </row>
    <row r="208" spans="1:20" ht="15.6" x14ac:dyDescent="0.3">
      <c r="A208" s="35" t="s">
        <v>19</v>
      </c>
      <c r="B208" s="35" t="s">
        <v>323</v>
      </c>
      <c r="C208" s="35" t="s">
        <v>324</v>
      </c>
      <c r="D208" s="35" t="s">
        <v>314</v>
      </c>
      <c r="E208" s="35" t="s">
        <v>325</v>
      </c>
      <c r="F208" s="35" t="s">
        <v>54</v>
      </c>
      <c r="G208" s="35" t="s">
        <v>327</v>
      </c>
      <c r="H208" s="35" t="s">
        <v>56</v>
      </c>
      <c r="I208" s="35" t="s">
        <v>27</v>
      </c>
      <c r="J208" s="35">
        <v>453</v>
      </c>
      <c r="K208" s="35" t="s">
        <v>123</v>
      </c>
      <c r="L208" s="35">
        <v>5</v>
      </c>
      <c r="M208" s="37">
        <v>44433</v>
      </c>
      <c r="N208" s="38">
        <f t="shared" si="4"/>
        <v>8886.6</v>
      </c>
      <c r="O208" s="35" t="s">
        <v>29</v>
      </c>
      <c r="P208" s="35" t="s">
        <v>30</v>
      </c>
      <c r="Q208" s="36">
        <v>46102</v>
      </c>
      <c r="R208" s="35" t="s">
        <v>31</v>
      </c>
      <c r="S208" s="35"/>
      <c r="T208" s="35"/>
    </row>
    <row r="209" spans="1:20" ht="15.6" x14ac:dyDescent="0.3">
      <c r="A209" s="35" t="s">
        <v>19</v>
      </c>
      <c r="B209" s="35" t="s">
        <v>328</v>
      </c>
      <c r="C209" s="35" t="s">
        <v>329</v>
      </c>
      <c r="D209" s="35" t="s">
        <v>314</v>
      </c>
      <c r="E209" s="35" t="s">
        <v>88</v>
      </c>
      <c r="F209" s="35" t="s">
        <v>24</v>
      </c>
      <c r="G209" s="35" t="s">
        <v>59</v>
      </c>
      <c r="H209" s="35" t="s">
        <v>56</v>
      </c>
      <c r="I209" s="35" t="s">
        <v>27</v>
      </c>
      <c r="J209" s="35">
        <v>454</v>
      </c>
      <c r="K209" s="35" t="s">
        <v>7</v>
      </c>
      <c r="L209" s="35">
        <v>2</v>
      </c>
      <c r="M209" s="37">
        <v>56000</v>
      </c>
      <c r="N209" s="38">
        <f t="shared" si="4"/>
        <v>28000</v>
      </c>
      <c r="O209" s="35" t="s">
        <v>29</v>
      </c>
      <c r="P209" s="35" t="s">
        <v>30</v>
      </c>
      <c r="Q209" s="36">
        <v>46049</v>
      </c>
      <c r="R209" s="35" t="s">
        <v>31</v>
      </c>
      <c r="S209" s="35"/>
      <c r="T209" s="35"/>
    </row>
    <row r="210" spans="1:20" ht="15.6" x14ac:dyDescent="0.3">
      <c r="A210" s="35" t="s">
        <v>19</v>
      </c>
      <c r="B210" s="35" t="s">
        <v>330</v>
      </c>
      <c r="C210" s="35" t="s">
        <v>331</v>
      </c>
      <c r="D210" s="35" t="s">
        <v>314</v>
      </c>
      <c r="E210" s="35" t="s">
        <v>88</v>
      </c>
      <c r="F210" s="35" t="s">
        <v>24</v>
      </c>
      <c r="G210" s="35" t="s">
        <v>115</v>
      </c>
      <c r="H210" s="35" t="s">
        <v>56</v>
      </c>
      <c r="I210" s="35" t="s">
        <v>27</v>
      </c>
      <c r="J210" s="35">
        <v>455</v>
      </c>
      <c r="K210" s="35" t="s">
        <v>7</v>
      </c>
      <c r="L210" s="35">
        <v>7</v>
      </c>
      <c r="M210" s="37">
        <v>196000</v>
      </c>
      <c r="N210" s="38">
        <f t="shared" si="4"/>
        <v>28000</v>
      </c>
      <c r="O210" s="35" t="s">
        <v>29</v>
      </c>
      <c r="P210" s="35" t="s">
        <v>30</v>
      </c>
      <c r="Q210" s="36">
        <v>46101</v>
      </c>
      <c r="R210" s="35" t="s">
        <v>31</v>
      </c>
      <c r="S210" s="35"/>
      <c r="T210" s="35"/>
    </row>
    <row r="211" spans="1:20" ht="15.6" x14ac:dyDescent="0.3">
      <c r="A211" s="35" t="s">
        <v>19</v>
      </c>
      <c r="B211" s="35" t="s">
        <v>330</v>
      </c>
      <c r="C211" s="35" t="s">
        <v>331</v>
      </c>
      <c r="D211" s="35" t="s">
        <v>314</v>
      </c>
      <c r="E211" s="35" t="s">
        <v>88</v>
      </c>
      <c r="F211" s="35" t="s">
        <v>24</v>
      </c>
      <c r="G211" s="35" t="s">
        <v>332</v>
      </c>
      <c r="H211" s="35" t="s">
        <v>26</v>
      </c>
      <c r="I211" s="35" t="s">
        <v>27</v>
      </c>
      <c r="J211" s="35">
        <v>455</v>
      </c>
      <c r="K211" s="35" t="s">
        <v>123</v>
      </c>
      <c r="L211" s="35">
        <v>20</v>
      </c>
      <c r="M211" s="37">
        <v>228800</v>
      </c>
      <c r="N211" s="38">
        <f t="shared" si="4"/>
        <v>11440</v>
      </c>
      <c r="O211" s="35" t="s">
        <v>29</v>
      </c>
      <c r="P211" s="35" t="s">
        <v>30</v>
      </c>
      <c r="Q211" s="36">
        <v>46101</v>
      </c>
      <c r="R211" s="35" t="s">
        <v>31</v>
      </c>
      <c r="S211" s="35"/>
      <c r="T211" s="35"/>
    </row>
    <row r="212" spans="1:20" ht="15.6" x14ac:dyDescent="0.3">
      <c r="A212" s="35" t="s">
        <v>19</v>
      </c>
      <c r="B212" s="35" t="s">
        <v>330</v>
      </c>
      <c r="C212" s="35" t="s">
        <v>331</v>
      </c>
      <c r="D212" s="35" t="s">
        <v>314</v>
      </c>
      <c r="E212" s="35" t="s">
        <v>88</v>
      </c>
      <c r="F212" s="35" t="s">
        <v>24</v>
      </c>
      <c r="G212" s="35" t="s">
        <v>333</v>
      </c>
      <c r="H212" s="35" t="s">
        <v>26</v>
      </c>
      <c r="I212" s="35" t="s">
        <v>27</v>
      </c>
      <c r="J212" s="35">
        <v>455</v>
      </c>
      <c r="K212" s="35" t="s">
        <v>123</v>
      </c>
      <c r="L212" s="35">
        <v>20</v>
      </c>
      <c r="M212" s="37">
        <v>96000</v>
      </c>
      <c r="N212" s="38">
        <f t="shared" si="4"/>
        <v>4800</v>
      </c>
      <c r="O212" s="35" t="s">
        <v>29</v>
      </c>
      <c r="P212" s="35" t="s">
        <v>30</v>
      </c>
      <c r="Q212" s="36">
        <v>46101</v>
      </c>
      <c r="R212" s="35" t="s">
        <v>31</v>
      </c>
      <c r="S212" s="35"/>
      <c r="T212" s="35"/>
    </row>
    <row r="213" spans="1:20" ht="15.6" x14ac:dyDescent="0.3">
      <c r="A213" s="35" t="s">
        <v>19</v>
      </c>
      <c r="B213" s="35" t="s">
        <v>334</v>
      </c>
      <c r="C213" s="35" t="s">
        <v>335</v>
      </c>
      <c r="D213" s="35" t="s">
        <v>336</v>
      </c>
      <c r="E213" s="35" t="s">
        <v>47</v>
      </c>
      <c r="F213" s="35" t="s">
        <v>58</v>
      </c>
      <c r="G213" s="35" t="s">
        <v>337</v>
      </c>
      <c r="H213" s="35" t="s">
        <v>26</v>
      </c>
      <c r="I213" s="35" t="s">
        <v>27</v>
      </c>
      <c r="J213" s="35">
        <v>456</v>
      </c>
      <c r="K213" s="35" t="s">
        <v>123</v>
      </c>
      <c r="L213" s="35">
        <v>11</v>
      </c>
      <c r="M213" s="37">
        <v>59730</v>
      </c>
      <c r="N213" s="38">
        <f t="shared" si="4"/>
        <v>5430</v>
      </c>
      <c r="O213" s="35" t="s">
        <v>29</v>
      </c>
      <c r="P213" s="35" t="s">
        <v>30</v>
      </c>
      <c r="Q213" s="36">
        <v>46111</v>
      </c>
      <c r="R213" s="35" t="s">
        <v>31</v>
      </c>
      <c r="S213" s="35"/>
      <c r="T213" s="35"/>
    </row>
    <row r="214" spans="1:20" ht="15.6" x14ac:dyDescent="0.3">
      <c r="A214" s="35" t="s">
        <v>19</v>
      </c>
      <c r="B214" s="35" t="s">
        <v>334</v>
      </c>
      <c r="C214" s="35" t="s">
        <v>335</v>
      </c>
      <c r="D214" s="35" t="s">
        <v>336</v>
      </c>
      <c r="E214" s="35" t="s">
        <v>47</v>
      </c>
      <c r="F214" s="35" t="s">
        <v>58</v>
      </c>
      <c r="G214" s="35" t="s">
        <v>338</v>
      </c>
      <c r="H214" s="35" t="s">
        <v>26</v>
      </c>
      <c r="I214" s="35" t="s">
        <v>27</v>
      </c>
      <c r="J214" s="35">
        <v>456</v>
      </c>
      <c r="K214" s="35" t="s">
        <v>123</v>
      </c>
      <c r="L214" s="35">
        <v>20</v>
      </c>
      <c r="M214" s="37">
        <v>81460</v>
      </c>
      <c r="N214" s="38">
        <f t="shared" si="4"/>
        <v>4073</v>
      </c>
      <c r="O214" s="35" t="s">
        <v>29</v>
      </c>
      <c r="P214" s="35" t="s">
        <v>30</v>
      </c>
      <c r="Q214" s="36">
        <v>46111</v>
      </c>
      <c r="R214" s="35" t="s">
        <v>31</v>
      </c>
      <c r="S214" s="35"/>
      <c r="T214" s="35"/>
    </row>
    <row r="215" spans="1:20" ht="15.6" x14ac:dyDescent="0.3">
      <c r="A215" s="35" t="s">
        <v>19</v>
      </c>
      <c r="B215" s="35" t="s">
        <v>334</v>
      </c>
      <c r="C215" s="35" t="s">
        <v>335</v>
      </c>
      <c r="D215" s="35" t="s">
        <v>336</v>
      </c>
      <c r="E215" s="35" t="s">
        <v>47</v>
      </c>
      <c r="F215" s="35" t="s">
        <v>58</v>
      </c>
      <c r="G215" s="35" t="s">
        <v>339</v>
      </c>
      <c r="H215" s="35" t="s">
        <v>26</v>
      </c>
      <c r="I215" s="35" t="s">
        <v>27</v>
      </c>
      <c r="J215" s="35">
        <v>456</v>
      </c>
      <c r="K215" s="35" t="s">
        <v>123</v>
      </c>
      <c r="L215" s="35">
        <v>7</v>
      </c>
      <c r="M215" s="37">
        <v>38010</v>
      </c>
      <c r="N215" s="38">
        <f t="shared" si="4"/>
        <v>5430</v>
      </c>
      <c r="O215" s="35" t="s">
        <v>29</v>
      </c>
      <c r="P215" s="35" t="s">
        <v>30</v>
      </c>
      <c r="Q215" s="36">
        <v>46111</v>
      </c>
      <c r="R215" s="35" t="s">
        <v>31</v>
      </c>
      <c r="S215" s="35"/>
      <c r="T215" s="35"/>
    </row>
    <row r="216" spans="1:20" ht="15.6" x14ac:dyDescent="0.3">
      <c r="A216" s="35" t="s">
        <v>19</v>
      </c>
      <c r="B216" s="35" t="s">
        <v>334</v>
      </c>
      <c r="C216" s="35" t="s">
        <v>335</v>
      </c>
      <c r="D216" s="35" t="s">
        <v>336</v>
      </c>
      <c r="E216" s="35" t="s">
        <v>47</v>
      </c>
      <c r="F216" s="35" t="s">
        <v>58</v>
      </c>
      <c r="G216" s="35" t="s">
        <v>340</v>
      </c>
      <c r="H216" s="35" t="s">
        <v>26</v>
      </c>
      <c r="I216" s="35" t="s">
        <v>27</v>
      </c>
      <c r="J216" s="35">
        <v>456</v>
      </c>
      <c r="K216" s="35" t="s">
        <v>123</v>
      </c>
      <c r="L216" s="35">
        <v>5</v>
      </c>
      <c r="M216" s="37">
        <v>20365</v>
      </c>
      <c r="N216" s="38">
        <f t="shared" si="4"/>
        <v>4073</v>
      </c>
      <c r="O216" s="35" t="s">
        <v>29</v>
      </c>
      <c r="P216" s="35" t="s">
        <v>30</v>
      </c>
      <c r="Q216" s="36">
        <v>46111</v>
      </c>
      <c r="R216" s="35" t="s">
        <v>31</v>
      </c>
      <c r="S216" s="35"/>
      <c r="T216" s="35"/>
    </row>
    <row r="217" spans="1:20" ht="15.6" x14ac:dyDescent="0.3">
      <c r="A217" s="35" t="s">
        <v>19</v>
      </c>
      <c r="B217" s="35" t="s">
        <v>334</v>
      </c>
      <c r="C217" s="35" t="s">
        <v>335</v>
      </c>
      <c r="D217" s="35" t="s">
        <v>336</v>
      </c>
      <c r="E217" s="35" t="s">
        <v>47</v>
      </c>
      <c r="F217" s="35" t="s">
        <v>58</v>
      </c>
      <c r="G217" s="35" t="s">
        <v>341</v>
      </c>
      <c r="H217" s="35" t="s">
        <v>26</v>
      </c>
      <c r="I217" s="35" t="s">
        <v>27</v>
      </c>
      <c r="J217" s="35">
        <v>456</v>
      </c>
      <c r="K217" s="35" t="s">
        <v>123</v>
      </c>
      <c r="L217" s="35">
        <v>5</v>
      </c>
      <c r="M217" s="37">
        <v>27150</v>
      </c>
      <c r="N217" s="38">
        <f t="shared" si="4"/>
        <v>5430</v>
      </c>
      <c r="O217" s="35" t="s">
        <v>29</v>
      </c>
      <c r="P217" s="35" t="s">
        <v>30</v>
      </c>
      <c r="Q217" s="36">
        <v>46111</v>
      </c>
      <c r="R217" s="35" t="s">
        <v>31</v>
      </c>
      <c r="S217" s="35"/>
      <c r="T217" s="35"/>
    </row>
    <row r="218" spans="1:20" ht="15.6" x14ac:dyDescent="0.3">
      <c r="A218" s="35" t="s">
        <v>19</v>
      </c>
      <c r="B218" s="35" t="s">
        <v>334</v>
      </c>
      <c r="C218" s="35" t="s">
        <v>335</v>
      </c>
      <c r="D218" s="35" t="s">
        <v>336</v>
      </c>
      <c r="E218" s="35" t="s">
        <v>47</v>
      </c>
      <c r="F218" s="35" t="s">
        <v>58</v>
      </c>
      <c r="G218" s="35" t="s">
        <v>342</v>
      </c>
      <c r="H218" s="35" t="s">
        <v>26</v>
      </c>
      <c r="I218" s="35" t="s">
        <v>27</v>
      </c>
      <c r="J218" s="35">
        <v>456</v>
      </c>
      <c r="K218" s="35" t="s">
        <v>123</v>
      </c>
      <c r="L218" s="35">
        <v>5</v>
      </c>
      <c r="M218" s="37">
        <v>20365</v>
      </c>
      <c r="N218" s="38">
        <f t="shared" si="4"/>
        <v>4073</v>
      </c>
      <c r="O218" s="35" t="s">
        <v>29</v>
      </c>
      <c r="P218" s="35" t="s">
        <v>30</v>
      </c>
      <c r="Q218" s="36">
        <v>46111</v>
      </c>
      <c r="R218" s="35" t="s">
        <v>31</v>
      </c>
      <c r="S218" s="35"/>
      <c r="T218" s="35"/>
    </row>
    <row r="219" spans="1:20" ht="15.6" x14ac:dyDescent="0.3">
      <c r="A219" s="35" t="s">
        <v>19</v>
      </c>
      <c r="B219" s="35" t="s">
        <v>334</v>
      </c>
      <c r="C219" s="35" t="s">
        <v>335</v>
      </c>
      <c r="D219" s="35" t="s">
        <v>336</v>
      </c>
      <c r="E219" s="35" t="s">
        <v>47</v>
      </c>
      <c r="F219" s="35" t="s">
        <v>58</v>
      </c>
      <c r="G219" s="35" t="s">
        <v>343</v>
      </c>
      <c r="H219" s="35" t="s">
        <v>26</v>
      </c>
      <c r="I219" s="35" t="s">
        <v>27</v>
      </c>
      <c r="J219" s="35">
        <v>456</v>
      </c>
      <c r="K219" s="35" t="s">
        <v>123</v>
      </c>
      <c r="L219" s="35">
        <v>10</v>
      </c>
      <c r="M219" s="37">
        <v>47510</v>
      </c>
      <c r="N219" s="38">
        <f t="shared" si="4"/>
        <v>4751</v>
      </c>
      <c r="O219" s="35" t="s">
        <v>29</v>
      </c>
      <c r="P219" s="35" t="s">
        <v>30</v>
      </c>
      <c r="Q219" s="36">
        <v>46111</v>
      </c>
      <c r="R219" s="35" t="s">
        <v>31</v>
      </c>
      <c r="S219" s="35"/>
      <c r="T219" s="35"/>
    </row>
    <row r="220" spans="1:20" ht="15.6" x14ac:dyDescent="0.3">
      <c r="A220" s="35" t="s">
        <v>19</v>
      </c>
      <c r="B220" s="35" t="s">
        <v>334</v>
      </c>
      <c r="C220" s="35" t="s">
        <v>335</v>
      </c>
      <c r="D220" s="35" t="s">
        <v>336</v>
      </c>
      <c r="E220" s="35" t="s">
        <v>47</v>
      </c>
      <c r="F220" s="35" t="s">
        <v>58</v>
      </c>
      <c r="G220" s="35" t="s">
        <v>344</v>
      </c>
      <c r="H220" s="35" t="s">
        <v>26</v>
      </c>
      <c r="I220" s="35" t="s">
        <v>27</v>
      </c>
      <c r="J220" s="35">
        <v>456</v>
      </c>
      <c r="K220" s="35" t="s">
        <v>123</v>
      </c>
      <c r="L220" s="35">
        <v>5</v>
      </c>
      <c r="M220" s="37">
        <v>20365</v>
      </c>
      <c r="N220" s="38">
        <f t="shared" si="4"/>
        <v>4073</v>
      </c>
      <c r="O220" s="35" t="s">
        <v>29</v>
      </c>
      <c r="P220" s="35" t="s">
        <v>30</v>
      </c>
      <c r="Q220" s="36">
        <v>46111</v>
      </c>
      <c r="R220" s="35" t="s">
        <v>31</v>
      </c>
      <c r="S220" s="35"/>
      <c r="T220" s="35"/>
    </row>
    <row r="221" spans="1:20" ht="15.6" x14ac:dyDescent="0.3">
      <c r="A221" s="35" t="s">
        <v>19</v>
      </c>
      <c r="B221" s="35" t="s">
        <v>334</v>
      </c>
      <c r="C221" s="35" t="s">
        <v>335</v>
      </c>
      <c r="D221" s="35" t="s">
        <v>336</v>
      </c>
      <c r="E221" s="35" t="s">
        <v>47</v>
      </c>
      <c r="F221" s="35" t="s">
        <v>58</v>
      </c>
      <c r="G221" s="35" t="s">
        <v>345</v>
      </c>
      <c r="H221" s="35" t="s">
        <v>26</v>
      </c>
      <c r="I221" s="35" t="s">
        <v>27</v>
      </c>
      <c r="J221" s="35">
        <v>456</v>
      </c>
      <c r="K221" s="35" t="s">
        <v>123</v>
      </c>
      <c r="L221" s="35">
        <v>4</v>
      </c>
      <c r="M221" s="37">
        <v>29684</v>
      </c>
      <c r="N221" s="38">
        <f t="shared" si="4"/>
        <v>7421</v>
      </c>
      <c r="O221" s="35" t="s">
        <v>29</v>
      </c>
      <c r="P221" s="35" t="s">
        <v>30</v>
      </c>
      <c r="Q221" s="36">
        <v>46111</v>
      </c>
      <c r="R221" s="35" t="s">
        <v>31</v>
      </c>
      <c r="S221" s="35"/>
      <c r="T221" s="35"/>
    </row>
    <row r="222" spans="1:20" ht="15.6" x14ac:dyDescent="0.3">
      <c r="A222" s="35" t="s">
        <v>19</v>
      </c>
      <c r="B222" s="35" t="s">
        <v>334</v>
      </c>
      <c r="C222" s="35" t="s">
        <v>335</v>
      </c>
      <c r="D222" s="35" t="s">
        <v>336</v>
      </c>
      <c r="E222" s="35" t="s">
        <v>47</v>
      </c>
      <c r="F222" s="35" t="s">
        <v>58</v>
      </c>
      <c r="G222" s="35" t="s">
        <v>346</v>
      </c>
      <c r="H222" s="35" t="s">
        <v>26</v>
      </c>
      <c r="I222" s="35" t="s">
        <v>27</v>
      </c>
      <c r="J222" s="35">
        <v>456</v>
      </c>
      <c r="K222" s="35" t="s">
        <v>123</v>
      </c>
      <c r="L222" s="35">
        <v>5</v>
      </c>
      <c r="M222" s="37">
        <v>27150</v>
      </c>
      <c r="N222" s="38">
        <f t="shared" si="4"/>
        <v>5430</v>
      </c>
      <c r="O222" s="35" t="s">
        <v>29</v>
      </c>
      <c r="P222" s="35" t="s">
        <v>30</v>
      </c>
      <c r="Q222" s="36">
        <v>46111</v>
      </c>
      <c r="R222" s="35" t="s">
        <v>31</v>
      </c>
      <c r="S222" s="35"/>
      <c r="T222" s="35"/>
    </row>
    <row r="223" spans="1:20" ht="15.6" x14ac:dyDescent="0.3">
      <c r="A223" s="35" t="s">
        <v>19</v>
      </c>
      <c r="B223" s="35" t="s">
        <v>347</v>
      </c>
      <c r="C223" s="35" t="s">
        <v>348</v>
      </c>
      <c r="D223" s="35" t="s">
        <v>336</v>
      </c>
      <c r="E223" s="35" t="s">
        <v>47</v>
      </c>
      <c r="F223" s="35" t="s">
        <v>58</v>
      </c>
      <c r="G223" s="35" t="s">
        <v>349</v>
      </c>
      <c r="H223" s="35" t="s">
        <v>26</v>
      </c>
      <c r="I223" s="35" t="s">
        <v>27</v>
      </c>
      <c r="J223" s="35">
        <v>457</v>
      </c>
      <c r="K223" s="35" t="s">
        <v>123</v>
      </c>
      <c r="L223" s="35">
        <v>7</v>
      </c>
      <c r="M223" s="37">
        <v>0</v>
      </c>
      <c r="N223" s="38">
        <f t="shared" si="4"/>
        <v>0</v>
      </c>
      <c r="O223" s="35" t="s">
        <v>29</v>
      </c>
      <c r="P223" s="35" t="s">
        <v>30</v>
      </c>
      <c r="Q223" s="36">
        <v>46142</v>
      </c>
      <c r="R223" s="35" t="s">
        <v>31</v>
      </c>
      <c r="S223" s="35"/>
      <c r="T223" s="35"/>
    </row>
    <row r="224" spans="1:20" ht="15.6" x14ac:dyDescent="0.3">
      <c r="A224" s="35" t="s">
        <v>19</v>
      </c>
      <c r="B224" s="35" t="s">
        <v>347</v>
      </c>
      <c r="C224" s="35" t="s">
        <v>348</v>
      </c>
      <c r="D224" s="35" t="s">
        <v>336</v>
      </c>
      <c r="E224" s="35" t="s">
        <v>47</v>
      </c>
      <c r="F224" s="35" t="s">
        <v>58</v>
      </c>
      <c r="G224" s="35" t="s">
        <v>350</v>
      </c>
      <c r="H224" s="35" t="s">
        <v>26</v>
      </c>
      <c r="I224" s="35" t="s">
        <v>27</v>
      </c>
      <c r="J224" s="35">
        <v>457</v>
      </c>
      <c r="K224" s="35" t="s">
        <v>123</v>
      </c>
      <c r="L224" s="35">
        <v>40</v>
      </c>
      <c r="M224" s="37">
        <v>0</v>
      </c>
      <c r="N224" s="38">
        <f t="shared" si="4"/>
        <v>0</v>
      </c>
      <c r="O224" s="35" t="s">
        <v>29</v>
      </c>
      <c r="P224" s="35" t="s">
        <v>30</v>
      </c>
      <c r="Q224" s="36">
        <v>46142</v>
      </c>
      <c r="R224" s="35" t="s">
        <v>31</v>
      </c>
      <c r="S224" s="35"/>
      <c r="T224" s="35"/>
    </row>
    <row r="225" spans="1:20" ht="15.6" x14ac:dyDescent="0.3">
      <c r="A225" s="35" t="s">
        <v>19</v>
      </c>
      <c r="B225" s="35" t="s">
        <v>347</v>
      </c>
      <c r="C225" s="35" t="s">
        <v>348</v>
      </c>
      <c r="D225" s="35" t="s">
        <v>336</v>
      </c>
      <c r="E225" s="35" t="s">
        <v>47</v>
      </c>
      <c r="F225" s="35" t="s">
        <v>58</v>
      </c>
      <c r="G225" s="35" t="s">
        <v>341</v>
      </c>
      <c r="H225" s="35" t="s">
        <v>26</v>
      </c>
      <c r="I225" s="35" t="s">
        <v>27</v>
      </c>
      <c r="J225" s="35">
        <v>457</v>
      </c>
      <c r="K225" s="35" t="s">
        <v>123</v>
      </c>
      <c r="L225" s="35">
        <v>2</v>
      </c>
      <c r="M225" s="37">
        <v>0</v>
      </c>
      <c r="N225" s="38">
        <f t="shared" si="4"/>
        <v>0</v>
      </c>
      <c r="O225" s="35" t="s">
        <v>29</v>
      </c>
      <c r="P225" s="35" t="s">
        <v>30</v>
      </c>
      <c r="Q225" s="36">
        <v>46142</v>
      </c>
      <c r="R225" s="35" t="s">
        <v>31</v>
      </c>
      <c r="S225" s="35"/>
      <c r="T225" s="35"/>
    </row>
    <row r="226" spans="1:20" ht="15.6" x14ac:dyDescent="0.3">
      <c r="A226" s="35" t="s">
        <v>19</v>
      </c>
      <c r="B226" s="35" t="s">
        <v>347</v>
      </c>
      <c r="C226" s="35" t="s">
        <v>348</v>
      </c>
      <c r="D226" s="35" t="s">
        <v>336</v>
      </c>
      <c r="E226" s="35" t="s">
        <v>47</v>
      </c>
      <c r="F226" s="35" t="s">
        <v>58</v>
      </c>
      <c r="G226" s="35" t="s">
        <v>342</v>
      </c>
      <c r="H226" s="35" t="s">
        <v>26</v>
      </c>
      <c r="I226" s="35" t="s">
        <v>27</v>
      </c>
      <c r="J226" s="35">
        <v>457</v>
      </c>
      <c r="K226" s="35" t="s">
        <v>123</v>
      </c>
      <c r="L226" s="35">
        <v>15</v>
      </c>
      <c r="M226" s="37">
        <v>0</v>
      </c>
      <c r="N226" s="38">
        <f t="shared" si="4"/>
        <v>0</v>
      </c>
      <c r="O226" s="35" t="s">
        <v>29</v>
      </c>
      <c r="P226" s="35" t="s">
        <v>30</v>
      </c>
      <c r="Q226" s="36">
        <v>46142</v>
      </c>
      <c r="R226" s="35" t="s">
        <v>31</v>
      </c>
      <c r="S226" s="35"/>
      <c r="T226" s="35"/>
    </row>
    <row r="227" spans="1:20" ht="15.6" x14ac:dyDescent="0.3">
      <c r="A227" s="35" t="s">
        <v>19</v>
      </c>
      <c r="B227" s="35" t="s">
        <v>347</v>
      </c>
      <c r="C227" s="35" t="s">
        <v>348</v>
      </c>
      <c r="D227" s="35" t="s">
        <v>336</v>
      </c>
      <c r="E227" s="35" t="s">
        <v>47</v>
      </c>
      <c r="F227" s="35" t="s">
        <v>58</v>
      </c>
      <c r="G227" s="35" t="s">
        <v>351</v>
      </c>
      <c r="H227" s="35" t="s">
        <v>26</v>
      </c>
      <c r="I227" s="35" t="s">
        <v>27</v>
      </c>
      <c r="J227" s="35">
        <v>457</v>
      </c>
      <c r="K227" s="35" t="s">
        <v>123</v>
      </c>
      <c r="L227" s="35">
        <v>20</v>
      </c>
      <c r="M227" s="37">
        <v>0</v>
      </c>
      <c r="N227" s="38">
        <f t="shared" si="4"/>
        <v>0</v>
      </c>
      <c r="O227" s="35" t="s">
        <v>29</v>
      </c>
      <c r="P227" s="35" t="s">
        <v>30</v>
      </c>
      <c r="Q227" s="36">
        <v>46142</v>
      </c>
      <c r="R227" s="35" t="s">
        <v>31</v>
      </c>
      <c r="S227" s="35"/>
      <c r="T227" s="35"/>
    </row>
    <row r="228" spans="1:20" ht="15.6" x14ac:dyDescent="0.3">
      <c r="A228" s="35" t="s">
        <v>19</v>
      </c>
      <c r="B228" s="35" t="s">
        <v>347</v>
      </c>
      <c r="C228" s="35" t="s">
        <v>348</v>
      </c>
      <c r="D228" s="35" t="s">
        <v>336</v>
      </c>
      <c r="E228" s="35" t="s">
        <v>47</v>
      </c>
      <c r="F228" s="35" t="s">
        <v>58</v>
      </c>
      <c r="G228" s="35" t="s">
        <v>352</v>
      </c>
      <c r="H228" s="35" t="s">
        <v>26</v>
      </c>
      <c r="I228" s="35" t="s">
        <v>27</v>
      </c>
      <c r="J228" s="35">
        <v>457</v>
      </c>
      <c r="K228" s="35" t="s">
        <v>123</v>
      </c>
      <c r="L228" s="35">
        <v>1</v>
      </c>
      <c r="M228" s="37">
        <v>0</v>
      </c>
      <c r="N228" s="38">
        <f t="shared" si="4"/>
        <v>0</v>
      </c>
      <c r="O228" s="35" t="s">
        <v>29</v>
      </c>
      <c r="P228" s="35" t="s">
        <v>30</v>
      </c>
      <c r="Q228" s="36">
        <v>46142</v>
      </c>
      <c r="R228" s="35" t="s">
        <v>31</v>
      </c>
      <c r="S228" s="35"/>
      <c r="T228" s="35"/>
    </row>
    <row r="229" spans="1:20" ht="15.6" x14ac:dyDescent="0.3">
      <c r="A229" s="35" t="s">
        <v>19</v>
      </c>
      <c r="B229" s="35" t="s">
        <v>347</v>
      </c>
      <c r="C229" s="35" t="s">
        <v>348</v>
      </c>
      <c r="D229" s="35" t="s">
        <v>336</v>
      </c>
      <c r="E229" s="35" t="s">
        <v>47</v>
      </c>
      <c r="F229" s="35" t="s">
        <v>58</v>
      </c>
      <c r="G229" s="35" t="s">
        <v>353</v>
      </c>
      <c r="H229" s="35" t="s">
        <v>26</v>
      </c>
      <c r="I229" s="35" t="s">
        <v>27</v>
      </c>
      <c r="J229" s="35">
        <v>457</v>
      </c>
      <c r="K229" s="35" t="s">
        <v>123</v>
      </c>
      <c r="L229" s="35">
        <v>30</v>
      </c>
      <c r="M229" s="37">
        <v>0</v>
      </c>
      <c r="N229" s="38">
        <f t="shared" si="4"/>
        <v>0</v>
      </c>
      <c r="O229" s="35" t="s">
        <v>29</v>
      </c>
      <c r="P229" s="35" t="s">
        <v>30</v>
      </c>
      <c r="Q229" s="36">
        <v>46142</v>
      </c>
      <c r="R229" s="35" t="s">
        <v>31</v>
      </c>
      <c r="S229" s="35"/>
      <c r="T229" s="35"/>
    </row>
    <row r="230" spans="1:20" ht="15.6" x14ac:dyDescent="0.3">
      <c r="A230" s="35" t="s">
        <v>19</v>
      </c>
      <c r="B230" s="35" t="s">
        <v>347</v>
      </c>
      <c r="C230" s="35" t="s">
        <v>348</v>
      </c>
      <c r="D230" s="35" t="s">
        <v>336</v>
      </c>
      <c r="E230" s="35" t="s">
        <v>47</v>
      </c>
      <c r="F230" s="35" t="s">
        <v>58</v>
      </c>
      <c r="G230" s="35" t="s">
        <v>345</v>
      </c>
      <c r="H230" s="35" t="s">
        <v>26</v>
      </c>
      <c r="I230" s="35" t="s">
        <v>27</v>
      </c>
      <c r="J230" s="35">
        <v>457</v>
      </c>
      <c r="K230" s="35" t="s">
        <v>123</v>
      </c>
      <c r="L230" s="35">
        <v>3</v>
      </c>
      <c r="M230" s="37">
        <v>0</v>
      </c>
      <c r="N230" s="38">
        <f t="shared" si="4"/>
        <v>0</v>
      </c>
      <c r="O230" s="35" t="s">
        <v>29</v>
      </c>
      <c r="P230" s="35" t="s">
        <v>30</v>
      </c>
      <c r="Q230" s="36">
        <v>46142</v>
      </c>
      <c r="R230" s="35" t="s">
        <v>31</v>
      </c>
      <c r="S230" s="35"/>
      <c r="T230" s="35"/>
    </row>
    <row r="231" spans="1:20" ht="15.6" x14ac:dyDescent="0.3">
      <c r="A231" s="35" t="s">
        <v>19</v>
      </c>
      <c r="B231" s="35" t="s">
        <v>347</v>
      </c>
      <c r="C231" s="35" t="s">
        <v>348</v>
      </c>
      <c r="D231" s="35" t="s">
        <v>336</v>
      </c>
      <c r="E231" s="35" t="s">
        <v>47</v>
      </c>
      <c r="F231" s="35" t="s">
        <v>58</v>
      </c>
      <c r="G231" s="35" t="s">
        <v>354</v>
      </c>
      <c r="H231" s="35" t="s">
        <v>26</v>
      </c>
      <c r="I231" s="35" t="s">
        <v>27</v>
      </c>
      <c r="J231" s="35">
        <v>457</v>
      </c>
      <c r="K231" s="35" t="s">
        <v>123</v>
      </c>
      <c r="L231" s="35">
        <v>15</v>
      </c>
      <c r="M231" s="37">
        <v>0</v>
      </c>
      <c r="N231" s="38">
        <f t="shared" si="4"/>
        <v>0</v>
      </c>
      <c r="O231" s="35" t="s">
        <v>29</v>
      </c>
      <c r="P231" s="35" t="s">
        <v>30</v>
      </c>
      <c r="Q231" s="36">
        <v>46142</v>
      </c>
      <c r="R231" s="35" t="s">
        <v>31</v>
      </c>
      <c r="S231" s="35"/>
      <c r="T231" s="35"/>
    </row>
    <row r="232" spans="1:20" ht="15.6" x14ac:dyDescent="0.3">
      <c r="A232" s="35" t="s">
        <v>19</v>
      </c>
      <c r="B232" s="35" t="s">
        <v>347</v>
      </c>
      <c r="C232" s="35" t="s">
        <v>348</v>
      </c>
      <c r="D232" s="35" t="s">
        <v>336</v>
      </c>
      <c r="E232" s="35" t="s">
        <v>47</v>
      </c>
      <c r="F232" s="35" t="s">
        <v>58</v>
      </c>
      <c r="G232" s="35" t="s">
        <v>337</v>
      </c>
      <c r="H232" s="35" t="s">
        <v>26</v>
      </c>
      <c r="I232" s="35" t="s">
        <v>27</v>
      </c>
      <c r="J232" s="35">
        <v>457</v>
      </c>
      <c r="K232" s="35" t="s">
        <v>123</v>
      </c>
      <c r="L232" s="35">
        <v>3</v>
      </c>
      <c r="M232" s="37">
        <v>0</v>
      </c>
      <c r="N232" s="38">
        <f t="shared" si="4"/>
        <v>0</v>
      </c>
      <c r="O232" s="35" t="s">
        <v>29</v>
      </c>
      <c r="P232" s="35" t="s">
        <v>30</v>
      </c>
      <c r="Q232" s="36">
        <v>46142</v>
      </c>
      <c r="R232" s="35" t="s">
        <v>31</v>
      </c>
      <c r="S232" s="35"/>
      <c r="T232" s="35"/>
    </row>
    <row r="233" spans="1:20" ht="15.6" x14ac:dyDescent="0.3">
      <c r="A233" s="35" t="s">
        <v>19</v>
      </c>
      <c r="B233" s="35" t="s">
        <v>347</v>
      </c>
      <c r="C233" s="35" t="s">
        <v>348</v>
      </c>
      <c r="D233" s="35" t="s">
        <v>336</v>
      </c>
      <c r="E233" s="35" t="s">
        <v>47</v>
      </c>
      <c r="F233" s="35" t="s">
        <v>58</v>
      </c>
      <c r="G233" s="35" t="s">
        <v>338</v>
      </c>
      <c r="H233" s="35" t="s">
        <v>26</v>
      </c>
      <c r="I233" s="35" t="s">
        <v>27</v>
      </c>
      <c r="J233" s="35">
        <v>457</v>
      </c>
      <c r="K233" s="35" t="s">
        <v>123</v>
      </c>
      <c r="L233" s="35">
        <v>20</v>
      </c>
      <c r="M233" s="37">
        <v>0</v>
      </c>
      <c r="N233" s="38">
        <f t="shared" si="4"/>
        <v>0</v>
      </c>
      <c r="O233" s="35" t="s">
        <v>29</v>
      </c>
      <c r="P233" s="35" t="s">
        <v>30</v>
      </c>
      <c r="Q233" s="36">
        <v>46142</v>
      </c>
      <c r="R233" s="35" t="s">
        <v>31</v>
      </c>
      <c r="S233" s="35"/>
      <c r="T233" s="35"/>
    </row>
    <row r="234" spans="1:20" ht="15.6" x14ac:dyDescent="0.3">
      <c r="A234" s="35" t="s">
        <v>19</v>
      </c>
      <c r="B234" s="35" t="s">
        <v>347</v>
      </c>
      <c r="C234" s="35" t="s">
        <v>348</v>
      </c>
      <c r="D234" s="35" t="s">
        <v>336</v>
      </c>
      <c r="E234" s="35" t="s">
        <v>47</v>
      </c>
      <c r="F234" s="35" t="s">
        <v>58</v>
      </c>
      <c r="G234" s="35" t="s">
        <v>355</v>
      </c>
      <c r="H234" s="35" t="s">
        <v>26</v>
      </c>
      <c r="I234" s="35" t="s">
        <v>27</v>
      </c>
      <c r="J234" s="35">
        <v>457</v>
      </c>
      <c r="K234" s="35" t="s">
        <v>123</v>
      </c>
      <c r="L234" s="35">
        <v>1</v>
      </c>
      <c r="M234" s="37">
        <v>0</v>
      </c>
      <c r="N234" s="38">
        <f t="shared" si="4"/>
        <v>0</v>
      </c>
      <c r="O234" s="35" t="s">
        <v>29</v>
      </c>
      <c r="P234" s="35" t="s">
        <v>30</v>
      </c>
      <c r="Q234" s="36">
        <v>46142</v>
      </c>
      <c r="R234" s="35" t="s">
        <v>31</v>
      </c>
      <c r="S234" s="35"/>
      <c r="T234" s="35"/>
    </row>
    <row r="235" spans="1:20" ht="15.6" x14ac:dyDescent="0.3">
      <c r="A235" s="35" t="s">
        <v>19</v>
      </c>
      <c r="B235" s="35" t="s">
        <v>347</v>
      </c>
      <c r="C235" s="35" t="s">
        <v>348</v>
      </c>
      <c r="D235" s="35" t="s">
        <v>336</v>
      </c>
      <c r="E235" s="35" t="s">
        <v>47</v>
      </c>
      <c r="F235" s="35" t="s">
        <v>58</v>
      </c>
      <c r="G235" s="35" t="s">
        <v>356</v>
      </c>
      <c r="H235" s="35" t="s">
        <v>26</v>
      </c>
      <c r="I235" s="35" t="s">
        <v>27</v>
      </c>
      <c r="J235" s="35">
        <v>457</v>
      </c>
      <c r="K235" s="35" t="s">
        <v>123</v>
      </c>
      <c r="L235" s="35">
        <v>5</v>
      </c>
      <c r="M235" s="37">
        <v>0</v>
      </c>
      <c r="N235" s="38">
        <f t="shared" si="4"/>
        <v>0</v>
      </c>
      <c r="O235" s="35" t="s">
        <v>29</v>
      </c>
      <c r="P235" s="35" t="s">
        <v>30</v>
      </c>
      <c r="Q235" s="36">
        <v>46142</v>
      </c>
      <c r="R235" s="35" t="s">
        <v>31</v>
      </c>
      <c r="S235" s="35"/>
      <c r="T235" s="35"/>
    </row>
    <row r="236" spans="1:20" ht="15.6" x14ac:dyDescent="0.3">
      <c r="A236" s="35" t="s">
        <v>19</v>
      </c>
      <c r="B236" s="35" t="s">
        <v>347</v>
      </c>
      <c r="C236" s="35" t="s">
        <v>348</v>
      </c>
      <c r="D236" s="35" t="s">
        <v>336</v>
      </c>
      <c r="E236" s="35" t="s">
        <v>47</v>
      </c>
      <c r="F236" s="35" t="s">
        <v>58</v>
      </c>
      <c r="G236" s="35" t="s">
        <v>357</v>
      </c>
      <c r="H236" s="35" t="s">
        <v>26</v>
      </c>
      <c r="I236" s="35" t="s">
        <v>27</v>
      </c>
      <c r="J236" s="35">
        <v>457</v>
      </c>
      <c r="K236" s="35" t="s">
        <v>123</v>
      </c>
      <c r="L236" s="35">
        <v>1</v>
      </c>
      <c r="M236" s="37">
        <v>0</v>
      </c>
      <c r="N236" s="38">
        <f t="shared" si="4"/>
        <v>0</v>
      </c>
      <c r="O236" s="35" t="s">
        <v>29</v>
      </c>
      <c r="P236" s="35" t="s">
        <v>30</v>
      </c>
      <c r="Q236" s="36">
        <v>46142</v>
      </c>
      <c r="R236" s="35" t="s">
        <v>31</v>
      </c>
      <c r="S236" s="35"/>
      <c r="T236" s="35"/>
    </row>
    <row r="237" spans="1:20" ht="15.6" x14ac:dyDescent="0.3">
      <c r="A237" s="35" t="s">
        <v>19</v>
      </c>
      <c r="B237" s="35" t="s">
        <v>347</v>
      </c>
      <c r="C237" s="35" t="s">
        <v>348</v>
      </c>
      <c r="D237" s="35" t="s">
        <v>336</v>
      </c>
      <c r="E237" s="35" t="s">
        <v>47</v>
      </c>
      <c r="F237" s="35" t="s">
        <v>58</v>
      </c>
      <c r="G237" s="35" t="s">
        <v>358</v>
      </c>
      <c r="H237" s="35" t="s">
        <v>26</v>
      </c>
      <c r="I237" s="35" t="s">
        <v>27</v>
      </c>
      <c r="J237" s="35">
        <v>457</v>
      </c>
      <c r="K237" s="35" t="s">
        <v>123</v>
      </c>
      <c r="L237" s="35">
        <v>10</v>
      </c>
      <c r="M237" s="37">
        <v>0</v>
      </c>
      <c r="N237" s="38">
        <f t="shared" si="4"/>
        <v>0</v>
      </c>
      <c r="O237" s="35" t="s">
        <v>29</v>
      </c>
      <c r="P237" s="35" t="s">
        <v>30</v>
      </c>
      <c r="Q237" s="36">
        <v>46142</v>
      </c>
      <c r="R237" s="35" t="s">
        <v>31</v>
      </c>
      <c r="S237" s="35"/>
      <c r="T237" s="35"/>
    </row>
    <row r="238" spans="1:20" ht="15.6" x14ac:dyDescent="0.3">
      <c r="A238" s="35" t="s">
        <v>19</v>
      </c>
      <c r="B238" s="35" t="s">
        <v>347</v>
      </c>
      <c r="C238" s="35" t="s">
        <v>348</v>
      </c>
      <c r="D238" s="35" t="s">
        <v>336</v>
      </c>
      <c r="E238" s="35" t="s">
        <v>47</v>
      </c>
      <c r="F238" s="35" t="s">
        <v>58</v>
      </c>
      <c r="G238" s="35" t="s">
        <v>359</v>
      </c>
      <c r="H238" s="35" t="s">
        <v>26</v>
      </c>
      <c r="I238" s="35" t="s">
        <v>27</v>
      </c>
      <c r="J238" s="35">
        <v>457</v>
      </c>
      <c r="K238" s="35" t="s">
        <v>123</v>
      </c>
      <c r="L238" s="35">
        <v>6</v>
      </c>
      <c r="M238" s="37">
        <v>0</v>
      </c>
      <c r="N238" s="38">
        <f t="shared" si="4"/>
        <v>0</v>
      </c>
      <c r="O238" s="35" t="s">
        <v>29</v>
      </c>
      <c r="P238" s="35" t="s">
        <v>30</v>
      </c>
      <c r="Q238" s="36">
        <v>46142</v>
      </c>
      <c r="R238" s="35" t="s">
        <v>31</v>
      </c>
      <c r="S238" s="35"/>
      <c r="T238" s="35"/>
    </row>
    <row r="239" spans="1:20" ht="15.6" x14ac:dyDescent="0.3">
      <c r="A239" s="35" t="s">
        <v>19</v>
      </c>
      <c r="B239" s="35" t="s">
        <v>347</v>
      </c>
      <c r="C239" s="35" t="s">
        <v>348</v>
      </c>
      <c r="D239" s="35" t="s">
        <v>336</v>
      </c>
      <c r="E239" s="35" t="s">
        <v>47</v>
      </c>
      <c r="F239" s="35" t="s">
        <v>58</v>
      </c>
      <c r="G239" s="35" t="s">
        <v>360</v>
      </c>
      <c r="H239" s="35" t="s">
        <v>26</v>
      </c>
      <c r="I239" s="35" t="s">
        <v>27</v>
      </c>
      <c r="J239" s="35">
        <v>457</v>
      </c>
      <c r="K239" s="35" t="s">
        <v>123</v>
      </c>
      <c r="L239" s="35">
        <v>40</v>
      </c>
      <c r="M239" s="37">
        <v>0</v>
      </c>
      <c r="N239" s="38">
        <f t="shared" si="4"/>
        <v>0</v>
      </c>
      <c r="O239" s="35" t="s">
        <v>29</v>
      </c>
      <c r="P239" s="35" t="s">
        <v>30</v>
      </c>
      <c r="Q239" s="36">
        <v>46142</v>
      </c>
      <c r="R239" s="35" t="s">
        <v>31</v>
      </c>
      <c r="S239" s="35"/>
      <c r="T239" s="35"/>
    </row>
    <row r="240" spans="1:20" ht="15.6" x14ac:dyDescent="0.3">
      <c r="A240" s="35" t="s">
        <v>19</v>
      </c>
      <c r="B240" s="35" t="s">
        <v>347</v>
      </c>
      <c r="C240" s="35" t="s">
        <v>348</v>
      </c>
      <c r="D240" s="35" t="s">
        <v>336</v>
      </c>
      <c r="E240" s="35" t="s">
        <v>47</v>
      </c>
      <c r="F240" s="35" t="s">
        <v>58</v>
      </c>
      <c r="G240" s="35" t="s">
        <v>361</v>
      </c>
      <c r="H240" s="35" t="s">
        <v>26</v>
      </c>
      <c r="I240" s="35" t="s">
        <v>27</v>
      </c>
      <c r="J240" s="35">
        <v>457</v>
      </c>
      <c r="K240" s="35" t="s">
        <v>123</v>
      </c>
      <c r="L240" s="35">
        <v>5</v>
      </c>
      <c r="M240" s="37">
        <v>0</v>
      </c>
      <c r="N240" s="38">
        <f t="shared" si="4"/>
        <v>0</v>
      </c>
      <c r="O240" s="35" t="s">
        <v>29</v>
      </c>
      <c r="P240" s="35" t="s">
        <v>30</v>
      </c>
      <c r="Q240" s="36">
        <v>46142</v>
      </c>
      <c r="R240" s="35" t="s">
        <v>31</v>
      </c>
      <c r="S240" s="35"/>
      <c r="T240" s="35"/>
    </row>
    <row r="241" spans="1:20" ht="15.6" x14ac:dyDescent="0.3">
      <c r="A241" s="35" t="s">
        <v>19</v>
      </c>
      <c r="B241" s="35" t="s">
        <v>347</v>
      </c>
      <c r="C241" s="35" t="s">
        <v>348</v>
      </c>
      <c r="D241" s="35" t="s">
        <v>336</v>
      </c>
      <c r="E241" s="35" t="s">
        <v>47</v>
      </c>
      <c r="F241" s="35" t="s">
        <v>58</v>
      </c>
      <c r="G241" s="35" t="s">
        <v>362</v>
      </c>
      <c r="H241" s="35" t="s">
        <v>26</v>
      </c>
      <c r="I241" s="35" t="s">
        <v>27</v>
      </c>
      <c r="J241" s="35">
        <v>457</v>
      </c>
      <c r="K241" s="35" t="s">
        <v>123</v>
      </c>
      <c r="L241" s="35">
        <v>10</v>
      </c>
      <c r="M241" s="37">
        <v>0</v>
      </c>
      <c r="N241" s="38">
        <f t="shared" si="4"/>
        <v>0</v>
      </c>
      <c r="O241" s="35" t="s">
        <v>29</v>
      </c>
      <c r="P241" s="35" t="s">
        <v>30</v>
      </c>
      <c r="Q241" s="36">
        <v>46142</v>
      </c>
      <c r="R241" s="35" t="s">
        <v>31</v>
      </c>
      <c r="S241" s="35"/>
      <c r="T241" s="35"/>
    </row>
    <row r="242" spans="1:20" ht="15.6" x14ac:dyDescent="0.3">
      <c r="A242" s="35" t="s">
        <v>19</v>
      </c>
      <c r="B242" s="35" t="s">
        <v>347</v>
      </c>
      <c r="C242" s="35" t="s">
        <v>348</v>
      </c>
      <c r="D242" s="35" t="s">
        <v>336</v>
      </c>
      <c r="E242" s="35" t="s">
        <v>47</v>
      </c>
      <c r="F242" s="35" t="s">
        <v>58</v>
      </c>
      <c r="G242" s="35" t="s">
        <v>363</v>
      </c>
      <c r="H242" s="35" t="s">
        <v>26</v>
      </c>
      <c r="I242" s="35" t="s">
        <v>27</v>
      </c>
      <c r="J242" s="35">
        <v>457</v>
      </c>
      <c r="K242" s="35" t="s">
        <v>123</v>
      </c>
      <c r="L242" s="35">
        <v>100</v>
      </c>
      <c r="M242" s="37">
        <v>0</v>
      </c>
      <c r="N242" s="38">
        <f t="shared" si="4"/>
        <v>0</v>
      </c>
      <c r="O242" s="35" t="s">
        <v>29</v>
      </c>
      <c r="P242" s="35" t="s">
        <v>30</v>
      </c>
      <c r="Q242" s="36">
        <v>46142</v>
      </c>
      <c r="R242" s="35" t="s">
        <v>31</v>
      </c>
      <c r="S242" s="35"/>
      <c r="T242" s="35"/>
    </row>
    <row r="243" spans="1:20" ht="15.6" x14ac:dyDescent="0.3">
      <c r="A243" s="35" t="s">
        <v>19</v>
      </c>
      <c r="B243" s="35" t="s">
        <v>347</v>
      </c>
      <c r="C243" s="35" t="s">
        <v>348</v>
      </c>
      <c r="D243" s="35" t="s">
        <v>336</v>
      </c>
      <c r="E243" s="35" t="s">
        <v>47</v>
      </c>
      <c r="F243" s="35" t="s">
        <v>58</v>
      </c>
      <c r="G243" s="35" t="s">
        <v>364</v>
      </c>
      <c r="H243" s="35" t="s">
        <v>26</v>
      </c>
      <c r="I243" s="35" t="s">
        <v>27</v>
      </c>
      <c r="J243" s="35">
        <v>457</v>
      </c>
      <c r="K243" s="35" t="s">
        <v>123</v>
      </c>
      <c r="L243" s="35">
        <v>80</v>
      </c>
      <c r="M243" s="37">
        <v>0</v>
      </c>
      <c r="N243" s="38">
        <f t="shared" si="4"/>
        <v>0</v>
      </c>
      <c r="O243" s="35" t="s">
        <v>29</v>
      </c>
      <c r="P243" s="35" t="s">
        <v>30</v>
      </c>
      <c r="Q243" s="36">
        <v>46142</v>
      </c>
      <c r="R243" s="35" t="s">
        <v>31</v>
      </c>
      <c r="S243" s="35"/>
      <c r="T243" s="35"/>
    </row>
    <row r="244" spans="1:20" ht="15.6" x14ac:dyDescent="0.3">
      <c r="A244" s="35" t="s">
        <v>19</v>
      </c>
      <c r="B244" s="35" t="s">
        <v>347</v>
      </c>
      <c r="C244" s="35" t="s">
        <v>348</v>
      </c>
      <c r="D244" s="35" t="s">
        <v>336</v>
      </c>
      <c r="E244" s="35" t="s">
        <v>47</v>
      </c>
      <c r="F244" s="35" t="s">
        <v>58</v>
      </c>
      <c r="G244" s="35" t="s">
        <v>365</v>
      </c>
      <c r="H244" s="35" t="s">
        <v>26</v>
      </c>
      <c r="I244" s="35" t="s">
        <v>27</v>
      </c>
      <c r="J244" s="35">
        <v>458</v>
      </c>
      <c r="K244" s="35" t="s">
        <v>123</v>
      </c>
      <c r="L244" s="35">
        <v>2</v>
      </c>
      <c r="M244" s="37">
        <v>0</v>
      </c>
      <c r="N244" s="38">
        <f t="shared" si="4"/>
        <v>0</v>
      </c>
      <c r="O244" s="35" t="s">
        <v>29</v>
      </c>
      <c r="P244" s="35" t="s">
        <v>30</v>
      </c>
      <c r="Q244" s="36">
        <v>46142</v>
      </c>
      <c r="R244" s="35" t="s">
        <v>31</v>
      </c>
      <c r="S244" s="35"/>
      <c r="T244" s="35"/>
    </row>
    <row r="245" spans="1:20" ht="15.6" x14ac:dyDescent="0.3">
      <c r="A245" s="35" t="s">
        <v>19</v>
      </c>
      <c r="B245" s="35" t="s">
        <v>347</v>
      </c>
      <c r="C245" s="35" t="s">
        <v>348</v>
      </c>
      <c r="D245" s="35" t="s">
        <v>336</v>
      </c>
      <c r="E245" s="35" t="s">
        <v>47</v>
      </c>
      <c r="F245" s="35" t="s">
        <v>58</v>
      </c>
      <c r="G245" s="35" t="s">
        <v>366</v>
      </c>
      <c r="H245" s="35" t="s">
        <v>26</v>
      </c>
      <c r="I245" s="35" t="s">
        <v>27</v>
      </c>
      <c r="J245" s="35">
        <v>458</v>
      </c>
      <c r="K245" s="35" t="s">
        <v>123</v>
      </c>
      <c r="L245" s="35">
        <v>10</v>
      </c>
      <c r="M245" s="37">
        <v>0</v>
      </c>
      <c r="N245" s="38">
        <f t="shared" si="4"/>
        <v>0</v>
      </c>
      <c r="O245" s="35" t="s">
        <v>29</v>
      </c>
      <c r="P245" s="35" t="s">
        <v>30</v>
      </c>
      <c r="Q245" s="36">
        <v>46142</v>
      </c>
      <c r="R245" s="35" t="s">
        <v>31</v>
      </c>
      <c r="S245" s="35"/>
      <c r="T245" s="35"/>
    </row>
    <row r="246" spans="1:20" ht="15.6" x14ac:dyDescent="0.3">
      <c r="A246" s="35" t="s">
        <v>19</v>
      </c>
      <c r="B246" s="35" t="s">
        <v>347</v>
      </c>
      <c r="C246" s="35" t="s">
        <v>348</v>
      </c>
      <c r="D246" s="35" t="s">
        <v>336</v>
      </c>
      <c r="E246" s="35" t="s">
        <v>47</v>
      </c>
      <c r="F246" s="35" t="s">
        <v>58</v>
      </c>
      <c r="G246" s="35" t="s">
        <v>367</v>
      </c>
      <c r="H246" s="35" t="s">
        <v>26</v>
      </c>
      <c r="I246" s="35" t="s">
        <v>27</v>
      </c>
      <c r="J246" s="35">
        <v>458</v>
      </c>
      <c r="K246" s="35" t="s">
        <v>123</v>
      </c>
      <c r="L246" s="35">
        <v>5</v>
      </c>
      <c r="M246" s="37">
        <v>0</v>
      </c>
      <c r="N246" s="38">
        <f t="shared" si="4"/>
        <v>0</v>
      </c>
      <c r="O246" s="35" t="s">
        <v>29</v>
      </c>
      <c r="P246" s="35" t="s">
        <v>30</v>
      </c>
      <c r="Q246" s="36">
        <v>46142</v>
      </c>
      <c r="R246" s="35" t="s">
        <v>31</v>
      </c>
      <c r="S246" s="35"/>
      <c r="T246" s="35"/>
    </row>
    <row r="247" spans="1:20" ht="15.6" x14ac:dyDescent="0.3">
      <c r="A247" s="35" t="s">
        <v>19</v>
      </c>
      <c r="B247" s="35" t="s">
        <v>347</v>
      </c>
      <c r="C247" s="35" t="s">
        <v>348</v>
      </c>
      <c r="D247" s="35" t="s">
        <v>336</v>
      </c>
      <c r="E247" s="35" t="s">
        <v>47</v>
      </c>
      <c r="F247" s="35" t="s">
        <v>58</v>
      </c>
      <c r="G247" s="35" t="s">
        <v>368</v>
      </c>
      <c r="H247" s="35" t="s">
        <v>26</v>
      </c>
      <c r="I247" s="35" t="s">
        <v>27</v>
      </c>
      <c r="J247" s="35">
        <v>458</v>
      </c>
      <c r="K247" s="35" t="s">
        <v>123</v>
      </c>
      <c r="L247" s="35">
        <v>1</v>
      </c>
      <c r="M247" s="37">
        <v>0</v>
      </c>
      <c r="N247" s="38">
        <f t="shared" si="4"/>
        <v>0</v>
      </c>
      <c r="O247" s="35" t="s">
        <v>29</v>
      </c>
      <c r="P247" s="35" t="s">
        <v>30</v>
      </c>
      <c r="Q247" s="36">
        <v>46142</v>
      </c>
      <c r="R247" s="35" t="s">
        <v>31</v>
      </c>
      <c r="S247" s="35"/>
      <c r="T247" s="35"/>
    </row>
    <row r="248" spans="1:20" ht="15.6" x14ac:dyDescent="0.3">
      <c r="A248" s="35" t="s">
        <v>19</v>
      </c>
      <c r="B248" s="35" t="s">
        <v>347</v>
      </c>
      <c r="C248" s="35" t="s">
        <v>348</v>
      </c>
      <c r="D248" s="35" t="s">
        <v>336</v>
      </c>
      <c r="E248" s="35" t="s">
        <v>47</v>
      </c>
      <c r="F248" s="35" t="s">
        <v>58</v>
      </c>
      <c r="G248" s="35" t="s">
        <v>369</v>
      </c>
      <c r="H248" s="35" t="s">
        <v>26</v>
      </c>
      <c r="I248" s="35" t="s">
        <v>27</v>
      </c>
      <c r="J248" s="35">
        <v>458</v>
      </c>
      <c r="K248" s="35" t="s">
        <v>123</v>
      </c>
      <c r="L248" s="35">
        <v>20</v>
      </c>
      <c r="M248" s="37">
        <v>0</v>
      </c>
      <c r="N248" s="38">
        <f t="shared" si="4"/>
        <v>0</v>
      </c>
      <c r="O248" s="35" t="s">
        <v>29</v>
      </c>
      <c r="P248" s="35" t="s">
        <v>30</v>
      </c>
      <c r="Q248" s="36">
        <v>46142</v>
      </c>
      <c r="R248" s="35" t="s">
        <v>31</v>
      </c>
      <c r="S248" s="35"/>
      <c r="T248" s="35"/>
    </row>
    <row r="249" spans="1:20" ht="15.6" x14ac:dyDescent="0.3">
      <c r="A249" s="35" t="s">
        <v>19</v>
      </c>
      <c r="B249" s="35" t="s">
        <v>347</v>
      </c>
      <c r="C249" s="35" t="s">
        <v>348</v>
      </c>
      <c r="D249" s="35" t="s">
        <v>336</v>
      </c>
      <c r="E249" s="35" t="s">
        <v>47</v>
      </c>
      <c r="F249" s="35" t="s">
        <v>58</v>
      </c>
      <c r="G249" s="35" t="s">
        <v>364</v>
      </c>
      <c r="H249" s="35" t="s">
        <v>26</v>
      </c>
      <c r="I249" s="35" t="s">
        <v>27</v>
      </c>
      <c r="J249" s="35">
        <v>458</v>
      </c>
      <c r="K249" s="35" t="s">
        <v>123</v>
      </c>
      <c r="L249" s="35">
        <v>80</v>
      </c>
      <c r="M249" s="37">
        <v>0</v>
      </c>
      <c r="N249" s="38">
        <f t="shared" si="4"/>
        <v>0</v>
      </c>
      <c r="O249" s="35" t="s">
        <v>29</v>
      </c>
      <c r="P249" s="35" t="s">
        <v>30</v>
      </c>
      <c r="Q249" s="36">
        <v>46142</v>
      </c>
      <c r="R249" s="35" t="s">
        <v>31</v>
      </c>
      <c r="S249" s="35"/>
      <c r="T249" s="35"/>
    </row>
    <row r="250" spans="1:20" ht="15.6" x14ac:dyDescent="0.3">
      <c r="A250" s="35" t="s">
        <v>19</v>
      </c>
      <c r="B250" s="35" t="s">
        <v>347</v>
      </c>
      <c r="C250" s="35" t="s">
        <v>348</v>
      </c>
      <c r="D250" s="35" t="s">
        <v>336</v>
      </c>
      <c r="E250" s="35" t="s">
        <v>47</v>
      </c>
      <c r="F250" s="35" t="s">
        <v>58</v>
      </c>
      <c r="G250" s="35" t="s">
        <v>356</v>
      </c>
      <c r="H250" s="35" t="s">
        <v>26</v>
      </c>
      <c r="I250" s="35" t="s">
        <v>27</v>
      </c>
      <c r="J250" s="35">
        <v>458</v>
      </c>
      <c r="K250" s="35" t="s">
        <v>123</v>
      </c>
      <c r="L250" s="35">
        <v>15</v>
      </c>
      <c r="M250" s="37">
        <v>0</v>
      </c>
      <c r="N250" s="38">
        <f t="shared" si="4"/>
        <v>0</v>
      </c>
      <c r="O250" s="35" t="s">
        <v>29</v>
      </c>
      <c r="P250" s="35" t="s">
        <v>30</v>
      </c>
      <c r="Q250" s="36">
        <v>46142</v>
      </c>
      <c r="R250" s="35" t="s">
        <v>31</v>
      </c>
      <c r="S250" s="35"/>
      <c r="T250" s="35"/>
    </row>
    <row r="251" spans="1:20" ht="15.6" x14ac:dyDescent="0.3">
      <c r="A251" s="35" t="s">
        <v>19</v>
      </c>
      <c r="B251" s="35" t="s">
        <v>347</v>
      </c>
      <c r="C251" s="35" t="s">
        <v>348</v>
      </c>
      <c r="D251" s="35" t="s">
        <v>336</v>
      </c>
      <c r="E251" s="35" t="s">
        <v>47</v>
      </c>
      <c r="F251" s="35" t="s">
        <v>58</v>
      </c>
      <c r="G251" s="35" t="s">
        <v>370</v>
      </c>
      <c r="H251" s="35" t="s">
        <v>26</v>
      </c>
      <c r="I251" s="35" t="s">
        <v>27</v>
      </c>
      <c r="J251" s="35">
        <v>458</v>
      </c>
      <c r="K251" s="35" t="s">
        <v>123</v>
      </c>
      <c r="L251" s="35">
        <v>1</v>
      </c>
      <c r="M251" s="37">
        <v>0</v>
      </c>
      <c r="N251" s="38">
        <f t="shared" si="4"/>
        <v>0</v>
      </c>
      <c r="O251" s="35" t="s">
        <v>29</v>
      </c>
      <c r="P251" s="35" t="s">
        <v>30</v>
      </c>
      <c r="Q251" s="36">
        <v>46142</v>
      </c>
      <c r="R251" s="35" t="s">
        <v>31</v>
      </c>
      <c r="S251" s="35"/>
      <c r="T251" s="35"/>
    </row>
    <row r="252" spans="1:20" ht="15.6" x14ac:dyDescent="0.3">
      <c r="A252" s="35" t="s">
        <v>19</v>
      </c>
      <c r="B252" s="35" t="s">
        <v>347</v>
      </c>
      <c r="C252" s="35" t="s">
        <v>348</v>
      </c>
      <c r="D252" s="35" t="s">
        <v>336</v>
      </c>
      <c r="E252" s="35" t="s">
        <v>47</v>
      </c>
      <c r="F252" s="35" t="s">
        <v>58</v>
      </c>
      <c r="G252" s="35" t="s">
        <v>371</v>
      </c>
      <c r="H252" s="35" t="s">
        <v>26</v>
      </c>
      <c r="I252" s="35" t="s">
        <v>27</v>
      </c>
      <c r="J252" s="35">
        <v>458</v>
      </c>
      <c r="K252" s="35" t="s">
        <v>123</v>
      </c>
      <c r="L252" s="35">
        <v>25</v>
      </c>
      <c r="M252" s="37">
        <v>0</v>
      </c>
      <c r="N252" s="38">
        <f t="shared" si="4"/>
        <v>0</v>
      </c>
      <c r="O252" s="35" t="s">
        <v>29</v>
      </c>
      <c r="P252" s="35" t="s">
        <v>30</v>
      </c>
      <c r="Q252" s="36">
        <v>46142</v>
      </c>
      <c r="R252" s="35" t="s">
        <v>31</v>
      </c>
      <c r="S252" s="35"/>
      <c r="T252" s="35"/>
    </row>
    <row r="253" spans="1:20" ht="15.6" x14ac:dyDescent="0.3">
      <c r="A253" s="35" t="s">
        <v>19</v>
      </c>
      <c r="B253" s="35" t="s">
        <v>347</v>
      </c>
      <c r="C253" s="35" t="s">
        <v>348</v>
      </c>
      <c r="D253" s="35" t="s">
        <v>336</v>
      </c>
      <c r="E253" s="35" t="s">
        <v>47</v>
      </c>
      <c r="F253" s="35" t="s">
        <v>58</v>
      </c>
      <c r="G253" s="35" t="s">
        <v>372</v>
      </c>
      <c r="H253" s="35" t="s">
        <v>26</v>
      </c>
      <c r="I253" s="35" t="s">
        <v>27</v>
      </c>
      <c r="J253" s="35">
        <v>458</v>
      </c>
      <c r="K253" s="35" t="s">
        <v>123</v>
      </c>
      <c r="L253" s="35">
        <v>40</v>
      </c>
      <c r="M253" s="37">
        <v>0</v>
      </c>
      <c r="N253" s="38">
        <f t="shared" si="4"/>
        <v>0</v>
      </c>
      <c r="O253" s="35" t="s">
        <v>29</v>
      </c>
      <c r="P253" s="35" t="s">
        <v>30</v>
      </c>
      <c r="Q253" s="36">
        <v>46142</v>
      </c>
      <c r="R253" s="35" t="s">
        <v>31</v>
      </c>
      <c r="S253" s="35"/>
      <c r="T253" s="35"/>
    </row>
    <row r="254" spans="1:20" ht="15.6" x14ac:dyDescent="0.3">
      <c r="A254" s="35" t="s">
        <v>19</v>
      </c>
      <c r="B254" s="35" t="s">
        <v>347</v>
      </c>
      <c r="C254" s="35" t="s">
        <v>348</v>
      </c>
      <c r="D254" s="35" t="s">
        <v>336</v>
      </c>
      <c r="E254" s="35" t="s">
        <v>47</v>
      </c>
      <c r="F254" s="35" t="s">
        <v>58</v>
      </c>
      <c r="G254" s="35" t="s">
        <v>359</v>
      </c>
      <c r="H254" s="35" t="s">
        <v>26</v>
      </c>
      <c r="I254" s="35" t="s">
        <v>27</v>
      </c>
      <c r="J254" s="35">
        <v>458</v>
      </c>
      <c r="K254" s="35" t="s">
        <v>123</v>
      </c>
      <c r="L254" s="35">
        <v>9</v>
      </c>
      <c r="M254" s="37">
        <v>0</v>
      </c>
      <c r="N254" s="38">
        <f t="shared" si="4"/>
        <v>0</v>
      </c>
      <c r="O254" s="35" t="s">
        <v>29</v>
      </c>
      <c r="P254" s="35" t="s">
        <v>30</v>
      </c>
      <c r="Q254" s="36">
        <v>46142</v>
      </c>
      <c r="R254" s="35" t="s">
        <v>31</v>
      </c>
      <c r="S254" s="35"/>
      <c r="T254" s="35"/>
    </row>
    <row r="255" spans="1:20" ht="15.6" x14ac:dyDescent="0.3">
      <c r="A255" s="35" t="s">
        <v>19</v>
      </c>
      <c r="B255" s="35" t="s">
        <v>347</v>
      </c>
      <c r="C255" s="35" t="s">
        <v>348</v>
      </c>
      <c r="D255" s="35" t="s">
        <v>336</v>
      </c>
      <c r="E255" s="35" t="s">
        <v>47</v>
      </c>
      <c r="F255" s="35" t="s">
        <v>58</v>
      </c>
      <c r="G255" s="35" t="s">
        <v>361</v>
      </c>
      <c r="H255" s="35" t="s">
        <v>26</v>
      </c>
      <c r="I255" s="35" t="s">
        <v>27</v>
      </c>
      <c r="J255" s="35">
        <v>458</v>
      </c>
      <c r="K255" s="35" t="s">
        <v>123</v>
      </c>
      <c r="L255" s="35">
        <v>6</v>
      </c>
      <c r="M255" s="37">
        <v>0</v>
      </c>
      <c r="N255" s="38">
        <f t="shared" si="4"/>
        <v>0</v>
      </c>
      <c r="O255" s="35" t="s">
        <v>29</v>
      </c>
      <c r="P255" s="35" t="s">
        <v>30</v>
      </c>
      <c r="Q255" s="36">
        <v>46142</v>
      </c>
      <c r="R255" s="35" t="s">
        <v>31</v>
      </c>
      <c r="S255" s="35"/>
      <c r="T255" s="35"/>
    </row>
    <row r="256" spans="1:20" ht="15.6" x14ac:dyDescent="0.3">
      <c r="A256" s="35" t="s">
        <v>19</v>
      </c>
      <c r="B256" s="35" t="s">
        <v>347</v>
      </c>
      <c r="C256" s="35" t="s">
        <v>348</v>
      </c>
      <c r="D256" s="35" t="s">
        <v>336</v>
      </c>
      <c r="E256" s="35" t="s">
        <v>47</v>
      </c>
      <c r="F256" s="35" t="s">
        <v>58</v>
      </c>
      <c r="G256" s="35" t="s">
        <v>373</v>
      </c>
      <c r="H256" s="35" t="s">
        <v>26</v>
      </c>
      <c r="I256" s="35" t="s">
        <v>27</v>
      </c>
      <c r="J256" s="35">
        <v>458</v>
      </c>
      <c r="K256" s="35" t="s">
        <v>123</v>
      </c>
      <c r="L256" s="35">
        <v>5</v>
      </c>
      <c r="M256" s="37">
        <v>0</v>
      </c>
      <c r="N256" s="38">
        <f t="shared" si="4"/>
        <v>0</v>
      </c>
      <c r="O256" s="35" t="s">
        <v>29</v>
      </c>
      <c r="P256" s="35" t="s">
        <v>30</v>
      </c>
      <c r="Q256" s="36">
        <v>46142</v>
      </c>
      <c r="R256" s="35" t="s">
        <v>31</v>
      </c>
      <c r="S256" s="35"/>
      <c r="T256" s="35"/>
    </row>
    <row r="257" spans="1:20" ht="15.6" x14ac:dyDescent="0.3">
      <c r="A257" s="35" t="s">
        <v>19</v>
      </c>
      <c r="B257" s="35" t="s">
        <v>347</v>
      </c>
      <c r="C257" s="35" t="s">
        <v>348</v>
      </c>
      <c r="D257" s="35" t="s">
        <v>336</v>
      </c>
      <c r="E257" s="35" t="s">
        <v>47</v>
      </c>
      <c r="F257" s="35" t="s">
        <v>58</v>
      </c>
      <c r="G257" s="35" t="s">
        <v>342</v>
      </c>
      <c r="H257" s="35" t="s">
        <v>26</v>
      </c>
      <c r="I257" s="35" t="s">
        <v>27</v>
      </c>
      <c r="J257" s="35">
        <v>459</v>
      </c>
      <c r="K257" s="35" t="s">
        <v>123</v>
      </c>
      <c r="L257" s="35">
        <v>5</v>
      </c>
      <c r="M257" s="37">
        <v>0</v>
      </c>
      <c r="N257" s="38">
        <f t="shared" si="4"/>
        <v>0</v>
      </c>
      <c r="O257" s="35" t="s">
        <v>29</v>
      </c>
      <c r="P257" s="35" t="s">
        <v>30</v>
      </c>
      <c r="Q257" s="36">
        <v>46142</v>
      </c>
      <c r="R257" s="35" t="s">
        <v>31</v>
      </c>
      <c r="S257" s="35"/>
      <c r="T257" s="35"/>
    </row>
    <row r="258" spans="1:20" ht="15.6" x14ac:dyDescent="0.3">
      <c r="A258" s="35" t="s">
        <v>19</v>
      </c>
      <c r="B258" s="35" t="s">
        <v>347</v>
      </c>
      <c r="C258" s="35" t="s">
        <v>348</v>
      </c>
      <c r="D258" s="35" t="s">
        <v>336</v>
      </c>
      <c r="E258" s="35" t="s">
        <v>47</v>
      </c>
      <c r="F258" s="35" t="s">
        <v>58</v>
      </c>
      <c r="G258" s="35" t="s">
        <v>338</v>
      </c>
      <c r="H258" s="35" t="s">
        <v>26</v>
      </c>
      <c r="I258" s="35" t="s">
        <v>27</v>
      </c>
      <c r="J258" s="35">
        <v>459</v>
      </c>
      <c r="K258" s="35" t="s">
        <v>123</v>
      </c>
      <c r="L258" s="35">
        <v>10</v>
      </c>
      <c r="M258" s="37">
        <v>0</v>
      </c>
      <c r="N258" s="38">
        <f t="shared" si="4"/>
        <v>0</v>
      </c>
      <c r="O258" s="35" t="s">
        <v>29</v>
      </c>
      <c r="P258" s="35" t="s">
        <v>30</v>
      </c>
      <c r="Q258" s="36">
        <v>46142</v>
      </c>
      <c r="R258" s="35" t="s">
        <v>31</v>
      </c>
      <c r="S258" s="35"/>
      <c r="T258" s="35"/>
    </row>
    <row r="259" spans="1:20" ht="15.6" x14ac:dyDescent="0.3">
      <c r="A259" s="35" t="s">
        <v>19</v>
      </c>
      <c r="B259" s="35" t="s">
        <v>347</v>
      </c>
      <c r="C259" s="35" t="s">
        <v>348</v>
      </c>
      <c r="D259" s="35" t="s">
        <v>336</v>
      </c>
      <c r="E259" s="35" t="s">
        <v>47</v>
      </c>
      <c r="F259" s="35" t="s">
        <v>58</v>
      </c>
      <c r="G259" s="35" t="s">
        <v>364</v>
      </c>
      <c r="H259" s="35" t="s">
        <v>26</v>
      </c>
      <c r="I259" s="35" t="s">
        <v>27</v>
      </c>
      <c r="J259" s="35">
        <v>459</v>
      </c>
      <c r="K259" s="35" t="s">
        <v>123</v>
      </c>
      <c r="L259" s="35">
        <v>20</v>
      </c>
      <c r="M259" s="37">
        <v>0</v>
      </c>
      <c r="N259" s="38">
        <f t="shared" si="4"/>
        <v>0</v>
      </c>
      <c r="O259" s="35" t="s">
        <v>29</v>
      </c>
      <c r="P259" s="35" t="s">
        <v>30</v>
      </c>
      <c r="Q259" s="36">
        <v>46142</v>
      </c>
      <c r="R259" s="35" t="s">
        <v>31</v>
      </c>
      <c r="S259" s="35"/>
      <c r="T259" s="35"/>
    </row>
    <row r="260" spans="1:20" ht="15.6" x14ac:dyDescent="0.3">
      <c r="A260" s="35" t="s">
        <v>19</v>
      </c>
      <c r="B260" s="35" t="s">
        <v>347</v>
      </c>
      <c r="C260" s="35" t="s">
        <v>348</v>
      </c>
      <c r="D260" s="35" t="s">
        <v>336</v>
      </c>
      <c r="E260" s="35" t="s">
        <v>47</v>
      </c>
      <c r="F260" s="35" t="s">
        <v>58</v>
      </c>
      <c r="G260" s="35" t="s">
        <v>357</v>
      </c>
      <c r="H260" s="35" t="s">
        <v>26</v>
      </c>
      <c r="I260" s="35" t="s">
        <v>27</v>
      </c>
      <c r="J260" s="35">
        <v>459</v>
      </c>
      <c r="K260" s="35" t="s">
        <v>123</v>
      </c>
      <c r="L260" s="35">
        <v>3</v>
      </c>
      <c r="M260" s="37">
        <v>0</v>
      </c>
      <c r="N260" s="38">
        <f t="shared" si="4"/>
        <v>0</v>
      </c>
      <c r="O260" s="35" t="s">
        <v>29</v>
      </c>
      <c r="P260" s="35" t="s">
        <v>30</v>
      </c>
      <c r="Q260" s="36">
        <v>46142</v>
      </c>
      <c r="R260" s="35" t="s">
        <v>31</v>
      </c>
      <c r="S260" s="35"/>
      <c r="T260" s="35"/>
    </row>
    <row r="261" spans="1:20" ht="15.6" x14ac:dyDescent="0.3">
      <c r="A261" s="35" t="s">
        <v>19</v>
      </c>
      <c r="B261" s="35" t="s">
        <v>347</v>
      </c>
      <c r="C261" s="35" t="s">
        <v>348</v>
      </c>
      <c r="D261" s="35" t="s">
        <v>336</v>
      </c>
      <c r="E261" s="35" t="s">
        <v>47</v>
      </c>
      <c r="F261" s="35" t="s">
        <v>58</v>
      </c>
      <c r="G261" s="35" t="s">
        <v>358</v>
      </c>
      <c r="H261" s="35" t="s">
        <v>26</v>
      </c>
      <c r="I261" s="35" t="s">
        <v>27</v>
      </c>
      <c r="J261" s="35">
        <v>459</v>
      </c>
      <c r="K261" s="35" t="s">
        <v>123</v>
      </c>
      <c r="L261" s="35">
        <v>10</v>
      </c>
      <c r="M261" s="37">
        <v>0</v>
      </c>
      <c r="N261" s="38">
        <f t="shared" si="4"/>
        <v>0</v>
      </c>
      <c r="O261" s="35" t="s">
        <v>29</v>
      </c>
      <c r="P261" s="35" t="s">
        <v>30</v>
      </c>
      <c r="Q261" s="36">
        <v>46142</v>
      </c>
      <c r="R261" s="35" t="s">
        <v>31</v>
      </c>
      <c r="S261" s="35"/>
      <c r="T261" s="35"/>
    </row>
    <row r="262" spans="1:20" ht="15.6" x14ac:dyDescent="0.3">
      <c r="A262" s="35" t="s">
        <v>19</v>
      </c>
      <c r="B262" s="35" t="s">
        <v>347</v>
      </c>
      <c r="C262" s="35" t="s">
        <v>348</v>
      </c>
      <c r="D262" s="35" t="s">
        <v>336</v>
      </c>
      <c r="E262" s="35" t="s">
        <v>47</v>
      </c>
      <c r="F262" s="35" t="s">
        <v>58</v>
      </c>
      <c r="G262" s="35" t="s">
        <v>360</v>
      </c>
      <c r="H262" s="35" t="s">
        <v>26</v>
      </c>
      <c r="I262" s="35" t="s">
        <v>27</v>
      </c>
      <c r="J262" s="35">
        <v>459</v>
      </c>
      <c r="K262" s="35" t="s">
        <v>123</v>
      </c>
      <c r="L262" s="35">
        <v>10</v>
      </c>
      <c r="M262" s="37">
        <v>0</v>
      </c>
      <c r="N262" s="38">
        <f t="shared" si="4"/>
        <v>0</v>
      </c>
      <c r="O262" s="35" t="s">
        <v>29</v>
      </c>
      <c r="P262" s="35" t="s">
        <v>30</v>
      </c>
      <c r="Q262" s="36">
        <v>46142</v>
      </c>
      <c r="R262" s="35" t="s">
        <v>31</v>
      </c>
      <c r="S262" s="35"/>
      <c r="T262" s="35"/>
    </row>
    <row r="263" spans="1:20" ht="15.6" x14ac:dyDescent="0.3">
      <c r="A263" s="35" t="s">
        <v>19</v>
      </c>
      <c r="B263" s="35" t="s">
        <v>347</v>
      </c>
      <c r="C263" s="35" t="s">
        <v>348</v>
      </c>
      <c r="D263" s="35" t="s">
        <v>336</v>
      </c>
      <c r="E263" s="35" t="s">
        <v>47</v>
      </c>
      <c r="F263" s="35" t="s">
        <v>58</v>
      </c>
      <c r="G263" s="35" t="s">
        <v>361</v>
      </c>
      <c r="H263" s="35" t="s">
        <v>26</v>
      </c>
      <c r="I263" s="35" t="s">
        <v>27</v>
      </c>
      <c r="J263" s="35">
        <v>459</v>
      </c>
      <c r="K263" s="35" t="s">
        <v>123</v>
      </c>
      <c r="L263" s="35">
        <v>1</v>
      </c>
      <c r="M263" s="37">
        <v>0</v>
      </c>
      <c r="N263" s="38">
        <f t="shared" si="4"/>
        <v>0</v>
      </c>
      <c r="O263" s="35" t="s">
        <v>29</v>
      </c>
      <c r="P263" s="35" t="s">
        <v>30</v>
      </c>
      <c r="Q263" s="36">
        <v>46142</v>
      </c>
      <c r="R263" s="35" t="s">
        <v>31</v>
      </c>
      <c r="S263" s="35"/>
      <c r="T263" s="35"/>
    </row>
    <row r="264" spans="1:20" ht="15.6" x14ac:dyDescent="0.3">
      <c r="A264" s="35" t="s">
        <v>19</v>
      </c>
      <c r="B264" s="35" t="s">
        <v>374</v>
      </c>
      <c r="C264" s="35" t="s">
        <v>375</v>
      </c>
      <c r="D264" s="35" t="s">
        <v>336</v>
      </c>
      <c r="E264" s="41" t="s">
        <v>23</v>
      </c>
      <c r="F264" s="35" t="s">
        <v>54</v>
      </c>
      <c r="G264" s="35" t="s">
        <v>41</v>
      </c>
      <c r="H264" s="35" t="s">
        <v>26</v>
      </c>
      <c r="I264" s="35" t="s">
        <v>27</v>
      </c>
      <c r="J264" s="35">
        <v>460</v>
      </c>
      <c r="K264" s="35" t="s">
        <v>28</v>
      </c>
      <c r="L264" s="35">
        <v>200</v>
      </c>
      <c r="M264" s="37">
        <v>0</v>
      </c>
      <c r="N264" s="38">
        <f t="shared" si="4"/>
        <v>0</v>
      </c>
      <c r="O264" s="35" t="s">
        <v>29</v>
      </c>
      <c r="P264" s="35" t="s">
        <v>30</v>
      </c>
      <c r="Q264" s="36">
        <v>46045</v>
      </c>
      <c r="R264" s="35" t="s">
        <v>31</v>
      </c>
      <c r="S264" s="35" t="s">
        <v>376</v>
      </c>
      <c r="T264" s="36">
        <v>45968</v>
      </c>
    </row>
    <row r="265" spans="1:20" ht="15.6" x14ac:dyDescent="0.3">
      <c r="A265" s="35" t="s">
        <v>19</v>
      </c>
      <c r="B265" s="35" t="s">
        <v>374</v>
      </c>
      <c r="C265" s="35" t="s">
        <v>375</v>
      </c>
      <c r="D265" s="35" t="s">
        <v>336</v>
      </c>
      <c r="E265" s="41" t="s">
        <v>23</v>
      </c>
      <c r="F265" s="35" t="s">
        <v>54</v>
      </c>
      <c r="G265" s="35" t="s">
        <v>377</v>
      </c>
      <c r="H265" s="35" t="s">
        <v>26</v>
      </c>
      <c r="I265" s="35" t="s">
        <v>27</v>
      </c>
      <c r="J265" s="35">
        <v>460</v>
      </c>
      <c r="K265" s="35" t="s">
        <v>7</v>
      </c>
      <c r="L265" s="35">
        <v>15</v>
      </c>
      <c r="M265" s="37">
        <v>0</v>
      </c>
      <c r="N265" s="38">
        <f t="shared" si="4"/>
        <v>0</v>
      </c>
      <c r="O265" s="35" t="s">
        <v>29</v>
      </c>
      <c r="P265" s="35" t="s">
        <v>30</v>
      </c>
      <c r="Q265" s="36">
        <v>46045</v>
      </c>
      <c r="R265" s="35" t="s">
        <v>31</v>
      </c>
      <c r="S265" s="35" t="s">
        <v>376</v>
      </c>
      <c r="T265" s="36">
        <v>45968</v>
      </c>
    </row>
    <row r="266" spans="1:20" ht="15.6" x14ac:dyDescent="0.3">
      <c r="A266" s="35" t="s">
        <v>19</v>
      </c>
      <c r="B266" s="35" t="s">
        <v>374</v>
      </c>
      <c r="C266" s="35" t="s">
        <v>375</v>
      </c>
      <c r="D266" s="35" t="s">
        <v>336</v>
      </c>
      <c r="E266" s="41" t="s">
        <v>23</v>
      </c>
      <c r="F266" s="35" t="s">
        <v>54</v>
      </c>
      <c r="G266" s="35" t="s">
        <v>275</v>
      </c>
      <c r="H266" s="35" t="s">
        <v>56</v>
      </c>
      <c r="I266" s="35" t="s">
        <v>64</v>
      </c>
      <c r="J266" s="35">
        <v>161</v>
      </c>
      <c r="K266" s="35" t="s">
        <v>276</v>
      </c>
      <c r="L266" s="35">
        <v>20</v>
      </c>
      <c r="M266" s="37">
        <v>351368</v>
      </c>
      <c r="N266" s="38">
        <f t="shared" si="4"/>
        <v>17568.400000000001</v>
      </c>
      <c r="O266" s="35" t="s">
        <v>29</v>
      </c>
      <c r="P266" s="35" t="s">
        <v>30</v>
      </c>
      <c r="Q266" s="36">
        <v>46103</v>
      </c>
      <c r="R266" s="35" t="s">
        <v>31</v>
      </c>
      <c r="S266" s="35"/>
      <c r="T266" s="35"/>
    </row>
    <row r="267" spans="1:20" ht="15.6" x14ac:dyDescent="0.3">
      <c r="A267" s="35" t="s">
        <v>19</v>
      </c>
      <c r="B267" s="35" t="s">
        <v>374</v>
      </c>
      <c r="C267" s="35" t="s">
        <v>375</v>
      </c>
      <c r="D267" s="35" t="s">
        <v>336</v>
      </c>
      <c r="E267" s="41" t="s">
        <v>23</v>
      </c>
      <c r="F267" s="35" t="s">
        <v>54</v>
      </c>
      <c r="G267" s="35" t="s">
        <v>296</v>
      </c>
      <c r="H267" s="35" t="s">
        <v>56</v>
      </c>
      <c r="I267" s="35" t="s">
        <v>64</v>
      </c>
      <c r="J267" s="35">
        <v>161</v>
      </c>
      <c r="K267" s="35" t="s">
        <v>123</v>
      </c>
      <c r="L267" s="35">
        <v>40</v>
      </c>
      <c r="M267" s="37">
        <v>355816</v>
      </c>
      <c r="N267" s="38">
        <f t="shared" si="4"/>
        <v>8895.4</v>
      </c>
      <c r="O267" s="35" t="s">
        <v>29</v>
      </c>
      <c r="P267" s="35" t="s">
        <v>30</v>
      </c>
      <c r="Q267" s="36">
        <v>46103</v>
      </c>
      <c r="R267" s="35" t="s">
        <v>31</v>
      </c>
      <c r="S267" s="35"/>
      <c r="T267" s="35"/>
    </row>
    <row r="268" spans="1:20" ht="15.6" x14ac:dyDescent="0.3">
      <c r="A268" s="35" t="s">
        <v>19</v>
      </c>
      <c r="B268" s="35" t="s">
        <v>374</v>
      </c>
      <c r="C268" s="35" t="s">
        <v>375</v>
      </c>
      <c r="D268" s="35" t="s">
        <v>336</v>
      </c>
      <c r="E268" s="41" t="s">
        <v>23</v>
      </c>
      <c r="F268" s="35" t="s">
        <v>54</v>
      </c>
      <c r="G268" s="35" t="s">
        <v>378</v>
      </c>
      <c r="H268" s="35" t="s">
        <v>56</v>
      </c>
      <c r="I268" s="35" t="s">
        <v>64</v>
      </c>
      <c r="J268" s="35">
        <v>161</v>
      </c>
      <c r="K268" s="35" t="s">
        <v>123</v>
      </c>
      <c r="L268" s="35">
        <v>12</v>
      </c>
      <c r="M268" s="37">
        <v>128094</v>
      </c>
      <c r="N268" s="38">
        <f t="shared" si="4"/>
        <v>10674.5</v>
      </c>
      <c r="O268" s="35" t="s">
        <v>29</v>
      </c>
      <c r="P268" s="35" t="s">
        <v>30</v>
      </c>
      <c r="Q268" s="36">
        <v>46103</v>
      </c>
      <c r="R268" s="35" t="s">
        <v>31</v>
      </c>
      <c r="S268" s="35"/>
      <c r="T268" s="35"/>
    </row>
    <row r="269" spans="1:20" ht="15.6" x14ac:dyDescent="0.3">
      <c r="A269" s="35" t="s">
        <v>19</v>
      </c>
      <c r="B269" s="35" t="s">
        <v>374</v>
      </c>
      <c r="C269" s="35" t="s">
        <v>375</v>
      </c>
      <c r="D269" s="35" t="s">
        <v>336</v>
      </c>
      <c r="E269" s="41" t="s">
        <v>23</v>
      </c>
      <c r="F269" s="35" t="s">
        <v>54</v>
      </c>
      <c r="G269" s="35" t="s">
        <v>379</v>
      </c>
      <c r="H269" s="35" t="s">
        <v>56</v>
      </c>
      <c r="I269" s="35" t="s">
        <v>64</v>
      </c>
      <c r="J269" s="35">
        <v>161</v>
      </c>
      <c r="K269" s="35" t="s">
        <v>123</v>
      </c>
      <c r="L269" s="35">
        <v>120</v>
      </c>
      <c r="M269" s="37">
        <v>512375</v>
      </c>
      <c r="N269" s="38">
        <f t="shared" ref="N269:N332" si="5">M269/L269</f>
        <v>4269.791666666667</v>
      </c>
      <c r="O269" s="35" t="s">
        <v>29</v>
      </c>
      <c r="P269" s="35" t="s">
        <v>30</v>
      </c>
      <c r="Q269" s="36">
        <v>46103</v>
      </c>
      <c r="R269" s="35" t="s">
        <v>31</v>
      </c>
      <c r="S269" s="35"/>
      <c r="T269" s="35"/>
    </row>
    <row r="270" spans="1:20" ht="15.6" x14ac:dyDescent="0.3">
      <c r="A270" s="35" t="s">
        <v>19</v>
      </c>
      <c r="B270" s="35" t="s">
        <v>20</v>
      </c>
      <c r="C270" s="35" t="s">
        <v>21</v>
      </c>
      <c r="D270" s="35" t="s">
        <v>380</v>
      </c>
      <c r="E270" s="41" t="s">
        <v>23</v>
      </c>
      <c r="F270" s="35" t="s">
        <v>24</v>
      </c>
      <c r="G270" s="35" t="s">
        <v>242</v>
      </c>
      <c r="H270" s="35" t="s">
        <v>26</v>
      </c>
      <c r="I270" s="35" t="s">
        <v>64</v>
      </c>
      <c r="J270" s="35">
        <v>162</v>
      </c>
      <c r="K270" s="35" t="s">
        <v>123</v>
      </c>
      <c r="L270" s="35">
        <v>40</v>
      </c>
      <c r="M270" s="37">
        <v>320000</v>
      </c>
      <c r="N270" s="38">
        <f t="shared" si="5"/>
        <v>8000</v>
      </c>
      <c r="O270" s="35" t="s">
        <v>29</v>
      </c>
      <c r="P270" s="35" t="s">
        <v>30</v>
      </c>
      <c r="Q270" s="36">
        <v>46142</v>
      </c>
      <c r="R270" s="35" t="s">
        <v>31</v>
      </c>
      <c r="S270" s="35"/>
      <c r="T270" s="35"/>
    </row>
    <row r="271" spans="1:20" ht="15.6" x14ac:dyDescent="0.3">
      <c r="A271" s="35" t="s">
        <v>19</v>
      </c>
      <c r="B271" s="35" t="s">
        <v>38</v>
      </c>
      <c r="C271" s="35" t="s">
        <v>39</v>
      </c>
      <c r="D271" s="35" t="s">
        <v>380</v>
      </c>
      <c r="E271" s="35" t="s">
        <v>40</v>
      </c>
      <c r="F271" s="35" t="s">
        <v>36</v>
      </c>
      <c r="G271" s="35" t="s">
        <v>382</v>
      </c>
      <c r="H271" s="35" t="s">
        <v>56</v>
      </c>
      <c r="I271" s="35" t="s">
        <v>64</v>
      </c>
      <c r="J271" s="35">
        <v>164</v>
      </c>
      <c r="K271" s="35" t="s">
        <v>123</v>
      </c>
      <c r="L271" s="35">
        <v>500</v>
      </c>
      <c r="M271" s="37">
        <v>2125000</v>
      </c>
      <c r="N271" s="38">
        <f t="shared" si="5"/>
        <v>4250</v>
      </c>
      <c r="O271" s="35" t="s">
        <v>29</v>
      </c>
      <c r="P271" s="35" t="s">
        <v>30</v>
      </c>
      <c r="Q271" s="36">
        <v>46161</v>
      </c>
      <c r="R271" s="35" t="s">
        <v>31</v>
      </c>
      <c r="S271" s="35"/>
      <c r="T271" s="35"/>
    </row>
    <row r="272" spans="1:20" ht="15.6" x14ac:dyDescent="0.3">
      <c r="A272" s="35" t="s">
        <v>19</v>
      </c>
      <c r="B272" s="35" t="s">
        <v>119</v>
      </c>
      <c r="C272" s="35" t="s">
        <v>120</v>
      </c>
      <c r="D272" s="35" t="s">
        <v>380</v>
      </c>
      <c r="E272" s="35" t="s">
        <v>47</v>
      </c>
      <c r="F272" s="35" t="s">
        <v>54</v>
      </c>
      <c r="G272" s="35" t="s">
        <v>327</v>
      </c>
      <c r="H272" s="35" t="s">
        <v>56</v>
      </c>
      <c r="I272" s="35" t="s">
        <v>64</v>
      </c>
      <c r="J272" s="35">
        <v>165</v>
      </c>
      <c r="K272" s="35" t="s">
        <v>123</v>
      </c>
      <c r="L272" s="35">
        <v>5</v>
      </c>
      <c r="M272" s="37">
        <v>43911</v>
      </c>
      <c r="N272" s="38">
        <f t="shared" si="5"/>
        <v>8782.2000000000007</v>
      </c>
      <c r="O272" s="35" t="s">
        <v>29</v>
      </c>
      <c r="P272" s="35" t="s">
        <v>30</v>
      </c>
      <c r="Q272" s="36">
        <v>46104</v>
      </c>
      <c r="R272" s="35" t="s">
        <v>31</v>
      </c>
      <c r="S272" s="35"/>
      <c r="T272" s="35"/>
    </row>
    <row r="273" spans="1:20" ht="15.6" x14ac:dyDescent="0.3">
      <c r="A273" s="35" t="s">
        <v>19</v>
      </c>
      <c r="B273" s="35" t="s">
        <v>383</v>
      </c>
      <c r="C273" s="35" t="s">
        <v>384</v>
      </c>
      <c r="D273" s="35" t="s">
        <v>385</v>
      </c>
      <c r="E273" s="35" t="s">
        <v>47</v>
      </c>
      <c r="F273" s="35" t="s">
        <v>58</v>
      </c>
      <c r="G273" s="35" t="s">
        <v>289</v>
      </c>
      <c r="H273" s="35" t="s">
        <v>26</v>
      </c>
      <c r="I273" s="35" t="s">
        <v>27</v>
      </c>
      <c r="J273" s="35">
        <v>461</v>
      </c>
      <c r="K273" s="35" t="s">
        <v>123</v>
      </c>
      <c r="L273" s="35">
        <v>100</v>
      </c>
      <c r="M273" s="37">
        <v>264000</v>
      </c>
      <c r="N273" s="38">
        <f t="shared" si="5"/>
        <v>2640</v>
      </c>
      <c r="O273" s="35" t="s">
        <v>29</v>
      </c>
      <c r="P273" s="35" t="s">
        <v>30</v>
      </c>
      <c r="Q273" s="36">
        <v>46067</v>
      </c>
      <c r="R273" s="35" t="s">
        <v>31</v>
      </c>
      <c r="S273" s="35"/>
      <c r="T273" s="35"/>
    </row>
    <row r="274" spans="1:20" ht="15.6" x14ac:dyDescent="0.3">
      <c r="A274" s="35" t="s">
        <v>19</v>
      </c>
      <c r="B274" s="35" t="s">
        <v>386</v>
      </c>
      <c r="C274" s="35" t="s">
        <v>387</v>
      </c>
      <c r="D274" s="35" t="s">
        <v>385</v>
      </c>
      <c r="E274" s="35" t="s">
        <v>47</v>
      </c>
      <c r="F274" s="35" t="s">
        <v>58</v>
      </c>
      <c r="G274" s="35" t="s">
        <v>388</v>
      </c>
      <c r="H274" s="35" t="s">
        <v>26</v>
      </c>
      <c r="I274" s="35" t="s">
        <v>27</v>
      </c>
      <c r="J274" s="35">
        <v>462</v>
      </c>
      <c r="K274" s="35" t="s">
        <v>123</v>
      </c>
      <c r="L274" s="35">
        <v>40</v>
      </c>
      <c r="M274" s="37">
        <v>0</v>
      </c>
      <c r="N274" s="38">
        <f t="shared" si="5"/>
        <v>0</v>
      </c>
      <c r="O274" s="35" t="s">
        <v>29</v>
      </c>
      <c r="P274" s="35" t="s">
        <v>30</v>
      </c>
      <c r="Q274" s="36">
        <v>46045</v>
      </c>
      <c r="R274" s="35" t="s">
        <v>31</v>
      </c>
      <c r="S274" s="35" t="s">
        <v>389</v>
      </c>
      <c r="T274" s="36">
        <v>46045</v>
      </c>
    </row>
    <row r="275" spans="1:20" ht="15.6" x14ac:dyDescent="0.3">
      <c r="A275" s="35" t="s">
        <v>19</v>
      </c>
      <c r="B275" s="35" t="s">
        <v>386</v>
      </c>
      <c r="C275" s="35" t="s">
        <v>387</v>
      </c>
      <c r="D275" s="35" t="s">
        <v>385</v>
      </c>
      <c r="E275" s="35" t="s">
        <v>47</v>
      </c>
      <c r="F275" s="35" t="s">
        <v>58</v>
      </c>
      <c r="G275" s="35" t="s">
        <v>242</v>
      </c>
      <c r="H275" s="35" t="s">
        <v>26</v>
      </c>
      <c r="I275" s="35" t="s">
        <v>27</v>
      </c>
      <c r="J275" s="35">
        <v>462</v>
      </c>
      <c r="K275" s="35" t="s">
        <v>123</v>
      </c>
      <c r="L275" s="35">
        <v>40</v>
      </c>
      <c r="M275" s="37">
        <v>0</v>
      </c>
      <c r="N275" s="38">
        <f t="shared" si="5"/>
        <v>0</v>
      </c>
      <c r="O275" s="35" t="s">
        <v>29</v>
      </c>
      <c r="P275" s="35" t="s">
        <v>30</v>
      </c>
      <c r="Q275" s="36">
        <v>46045</v>
      </c>
      <c r="R275" s="35" t="s">
        <v>31</v>
      </c>
      <c r="S275" s="35" t="s">
        <v>389</v>
      </c>
      <c r="T275" s="36">
        <v>46045</v>
      </c>
    </row>
    <row r="276" spans="1:20" ht="15.6" x14ac:dyDescent="0.3">
      <c r="A276" s="35" t="s">
        <v>19</v>
      </c>
      <c r="B276" s="35" t="s">
        <v>386</v>
      </c>
      <c r="C276" s="35" t="s">
        <v>387</v>
      </c>
      <c r="D276" s="35" t="s">
        <v>385</v>
      </c>
      <c r="E276" s="35" t="s">
        <v>47</v>
      </c>
      <c r="F276" s="35" t="s">
        <v>58</v>
      </c>
      <c r="G276" s="35" t="s">
        <v>251</v>
      </c>
      <c r="H276" s="35" t="s">
        <v>26</v>
      </c>
      <c r="I276" s="35" t="s">
        <v>27</v>
      </c>
      <c r="J276" s="35">
        <v>462</v>
      </c>
      <c r="K276" s="35" t="s">
        <v>123</v>
      </c>
      <c r="L276" s="35">
        <v>20</v>
      </c>
      <c r="M276" s="37">
        <v>0</v>
      </c>
      <c r="N276" s="38">
        <f t="shared" si="5"/>
        <v>0</v>
      </c>
      <c r="O276" s="35" t="s">
        <v>29</v>
      </c>
      <c r="P276" s="35" t="s">
        <v>30</v>
      </c>
      <c r="Q276" s="36">
        <v>46045</v>
      </c>
      <c r="R276" s="35" t="s">
        <v>31</v>
      </c>
      <c r="S276" s="35" t="s">
        <v>389</v>
      </c>
      <c r="T276" s="36">
        <v>46045</v>
      </c>
    </row>
    <row r="277" spans="1:20" ht="15.6" x14ac:dyDescent="0.3">
      <c r="A277" s="35" t="s">
        <v>19</v>
      </c>
      <c r="B277" s="35" t="s">
        <v>386</v>
      </c>
      <c r="C277" s="35" t="s">
        <v>387</v>
      </c>
      <c r="D277" s="35" t="s">
        <v>385</v>
      </c>
      <c r="E277" s="35" t="s">
        <v>47</v>
      </c>
      <c r="F277" s="35" t="s">
        <v>58</v>
      </c>
      <c r="G277" s="35" t="s">
        <v>253</v>
      </c>
      <c r="H277" s="35" t="s">
        <v>26</v>
      </c>
      <c r="I277" s="35" t="s">
        <v>27</v>
      </c>
      <c r="J277" s="35">
        <v>462</v>
      </c>
      <c r="K277" s="35" t="s">
        <v>123</v>
      </c>
      <c r="L277" s="35">
        <v>20</v>
      </c>
      <c r="M277" s="37">
        <v>0</v>
      </c>
      <c r="N277" s="38">
        <f t="shared" si="5"/>
        <v>0</v>
      </c>
      <c r="O277" s="35" t="s">
        <v>29</v>
      </c>
      <c r="P277" s="35" t="s">
        <v>30</v>
      </c>
      <c r="Q277" s="36">
        <v>46045</v>
      </c>
      <c r="R277" s="35" t="s">
        <v>31</v>
      </c>
      <c r="S277" s="35" t="s">
        <v>389</v>
      </c>
      <c r="T277" s="36">
        <v>46045</v>
      </c>
    </row>
    <row r="278" spans="1:20" ht="15.6" x14ac:dyDescent="0.3">
      <c r="A278" s="35" t="s">
        <v>19</v>
      </c>
      <c r="B278" s="35" t="s">
        <v>311</v>
      </c>
      <c r="C278" s="35" t="s">
        <v>312</v>
      </c>
      <c r="D278" s="35" t="s">
        <v>385</v>
      </c>
      <c r="E278" s="35" t="s">
        <v>147</v>
      </c>
      <c r="F278" s="35" t="s">
        <v>48</v>
      </c>
      <c r="G278" s="35" t="s">
        <v>313</v>
      </c>
      <c r="H278" s="35" t="s">
        <v>26</v>
      </c>
      <c r="I278" s="35" t="s">
        <v>27</v>
      </c>
      <c r="J278" s="35">
        <v>463</v>
      </c>
      <c r="K278" s="35" t="s">
        <v>28</v>
      </c>
      <c r="L278" s="35">
        <v>12</v>
      </c>
      <c r="M278" s="37">
        <v>0</v>
      </c>
      <c r="N278" s="38">
        <f t="shared" si="5"/>
        <v>0</v>
      </c>
      <c r="O278" s="35" t="s">
        <v>29</v>
      </c>
      <c r="P278" s="35" t="s">
        <v>30</v>
      </c>
      <c r="Q278" s="36">
        <v>46075</v>
      </c>
      <c r="R278" s="35" t="s">
        <v>31</v>
      </c>
      <c r="S278" s="35" t="s">
        <v>390</v>
      </c>
      <c r="T278" s="36">
        <v>46041</v>
      </c>
    </row>
    <row r="279" spans="1:20" ht="15.6" x14ac:dyDescent="0.3">
      <c r="A279" s="35" t="s">
        <v>19</v>
      </c>
      <c r="B279" s="35" t="s">
        <v>311</v>
      </c>
      <c r="C279" s="35" t="s">
        <v>312</v>
      </c>
      <c r="D279" s="35" t="s">
        <v>385</v>
      </c>
      <c r="E279" s="35" t="s">
        <v>147</v>
      </c>
      <c r="F279" s="35" t="s">
        <v>48</v>
      </c>
      <c r="G279" s="35" t="s">
        <v>171</v>
      </c>
      <c r="H279" s="35" t="s">
        <v>26</v>
      </c>
      <c r="I279" s="35" t="s">
        <v>27</v>
      </c>
      <c r="J279" s="35">
        <v>463</v>
      </c>
      <c r="K279" s="35" t="s">
        <v>28</v>
      </c>
      <c r="L279" s="35">
        <v>24</v>
      </c>
      <c r="M279" s="37">
        <v>0</v>
      </c>
      <c r="N279" s="38">
        <f t="shared" si="5"/>
        <v>0</v>
      </c>
      <c r="O279" s="35" t="s">
        <v>29</v>
      </c>
      <c r="P279" s="35" t="s">
        <v>30</v>
      </c>
      <c r="Q279" s="36">
        <v>46075</v>
      </c>
      <c r="R279" s="35" t="s">
        <v>31</v>
      </c>
      <c r="S279" s="35" t="s">
        <v>390</v>
      </c>
      <c r="T279" s="36">
        <v>46041</v>
      </c>
    </row>
    <row r="280" spans="1:20" ht="15.6" x14ac:dyDescent="0.3">
      <c r="A280" s="35" t="s">
        <v>19</v>
      </c>
      <c r="B280" s="35" t="s">
        <v>311</v>
      </c>
      <c r="C280" s="35" t="s">
        <v>312</v>
      </c>
      <c r="D280" s="35" t="s">
        <v>385</v>
      </c>
      <c r="E280" s="35" t="s">
        <v>147</v>
      </c>
      <c r="F280" s="35" t="s">
        <v>48</v>
      </c>
      <c r="G280" s="35" t="s">
        <v>166</v>
      </c>
      <c r="H280" s="35" t="s">
        <v>26</v>
      </c>
      <c r="I280" s="35" t="s">
        <v>27</v>
      </c>
      <c r="J280" s="35">
        <v>463</v>
      </c>
      <c r="K280" s="35" t="s">
        <v>28</v>
      </c>
      <c r="L280" s="35">
        <v>36</v>
      </c>
      <c r="M280" s="37">
        <v>0</v>
      </c>
      <c r="N280" s="38">
        <f t="shared" si="5"/>
        <v>0</v>
      </c>
      <c r="O280" s="35" t="s">
        <v>29</v>
      </c>
      <c r="P280" s="35" t="s">
        <v>30</v>
      </c>
      <c r="Q280" s="36">
        <v>46075</v>
      </c>
      <c r="R280" s="35" t="s">
        <v>31</v>
      </c>
      <c r="S280" s="35" t="s">
        <v>390</v>
      </c>
      <c r="T280" s="36">
        <v>46041</v>
      </c>
    </row>
    <row r="281" spans="1:20" ht="15.6" x14ac:dyDescent="0.3">
      <c r="A281" s="35" t="s">
        <v>19</v>
      </c>
      <c r="B281" s="35" t="s">
        <v>311</v>
      </c>
      <c r="C281" s="35" t="s">
        <v>312</v>
      </c>
      <c r="D281" s="35" t="s">
        <v>385</v>
      </c>
      <c r="E281" s="35" t="s">
        <v>147</v>
      </c>
      <c r="F281" s="35" t="s">
        <v>48</v>
      </c>
      <c r="G281" s="35" t="s">
        <v>169</v>
      </c>
      <c r="H281" s="35" t="s">
        <v>26</v>
      </c>
      <c r="I281" s="35" t="s">
        <v>27</v>
      </c>
      <c r="J281" s="35">
        <v>463</v>
      </c>
      <c r="K281" s="35" t="s">
        <v>28</v>
      </c>
      <c r="L281" s="35">
        <v>12</v>
      </c>
      <c r="M281" s="37">
        <v>0</v>
      </c>
      <c r="N281" s="38">
        <f t="shared" si="5"/>
        <v>0</v>
      </c>
      <c r="O281" s="35" t="s">
        <v>29</v>
      </c>
      <c r="P281" s="35" t="s">
        <v>30</v>
      </c>
      <c r="Q281" s="36">
        <v>46075</v>
      </c>
      <c r="R281" s="35" t="s">
        <v>31</v>
      </c>
      <c r="S281" s="35" t="s">
        <v>390</v>
      </c>
      <c r="T281" s="36">
        <v>46041</v>
      </c>
    </row>
    <row r="282" spans="1:20" ht="15.6" x14ac:dyDescent="0.3">
      <c r="A282" s="35" t="s">
        <v>19</v>
      </c>
      <c r="B282" s="35" t="s">
        <v>311</v>
      </c>
      <c r="C282" s="35" t="s">
        <v>312</v>
      </c>
      <c r="D282" s="35" t="s">
        <v>385</v>
      </c>
      <c r="E282" s="35" t="s">
        <v>147</v>
      </c>
      <c r="F282" s="35" t="s">
        <v>48</v>
      </c>
      <c r="G282" s="35" t="s">
        <v>230</v>
      </c>
      <c r="H282" s="35" t="s">
        <v>26</v>
      </c>
      <c r="I282" s="35" t="s">
        <v>27</v>
      </c>
      <c r="J282" s="35">
        <v>463</v>
      </c>
      <c r="K282" s="35" t="s">
        <v>28</v>
      </c>
      <c r="L282" s="35">
        <v>48</v>
      </c>
      <c r="M282" s="37">
        <v>0</v>
      </c>
      <c r="N282" s="38">
        <f t="shared" si="5"/>
        <v>0</v>
      </c>
      <c r="O282" s="35" t="s">
        <v>29</v>
      </c>
      <c r="P282" s="35" t="s">
        <v>30</v>
      </c>
      <c r="Q282" s="36">
        <v>46075</v>
      </c>
      <c r="R282" s="35" t="s">
        <v>31</v>
      </c>
      <c r="S282" s="35" t="s">
        <v>390</v>
      </c>
      <c r="T282" s="36">
        <v>46041</v>
      </c>
    </row>
    <row r="283" spans="1:20" ht="15.6" x14ac:dyDescent="0.3">
      <c r="A283" s="35" t="s">
        <v>19</v>
      </c>
      <c r="B283" s="35" t="s">
        <v>311</v>
      </c>
      <c r="C283" s="35" t="s">
        <v>312</v>
      </c>
      <c r="D283" s="35" t="s">
        <v>385</v>
      </c>
      <c r="E283" s="35" t="s">
        <v>147</v>
      </c>
      <c r="F283" s="35" t="s">
        <v>48</v>
      </c>
      <c r="G283" s="35" t="s">
        <v>231</v>
      </c>
      <c r="H283" s="35" t="s">
        <v>26</v>
      </c>
      <c r="I283" s="35" t="s">
        <v>27</v>
      </c>
      <c r="J283" s="35">
        <v>463</v>
      </c>
      <c r="K283" s="35" t="s">
        <v>28</v>
      </c>
      <c r="L283" s="35">
        <v>36</v>
      </c>
      <c r="M283" s="37">
        <v>0</v>
      </c>
      <c r="N283" s="38">
        <f t="shared" si="5"/>
        <v>0</v>
      </c>
      <c r="O283" s="35" t="s">
        <v>29</v>
      </c>
      <c r="P283" s="35" t="s">
        <v>30</v>
      </c>
      <c r="Q283" s="36">
        <v>46075</v>
      </c>
      <c r="R283" s="35" t="s">
        <v>31</v>
      </c>
      <c r="S283" s="35" t="s">
        <v>390</v>
      </c>
      <c r="T283" s="36">
        <v>46041</v>
      </c>
    </row>
    <row r="284" spans="1:20" ht="15.6" x14ac:dyDescent="0.3">
      <c r="A284" s="35" t="s">
        <v>19</v>
      </c>
      <c r="B284" s="35" t="s">
        <v>391</v>
      </c>
      <c r="C284" s="35" t="s">
        <v>392</v>
      </c>
      <c r="D284" s="35" t="s">
        <v>385</v>
      </c>
      <c r="E284" s="35" t="s">
        <v>147</v>
      </c>
      <c r="F284" s="35" t="s">
        <v>48</v>
      </c>
      <c r="G284" s="35" t="s">
        <v>393</v>
      </c>
      <c r="H284" s="35" t="s">
        <v>56</v>
      </c>
      <c r="I284" s="35" t="s">
        <v>27</v>
      </c>
      <c r="J284" s="35">
        <v>464</v>
      </c>
      <c r="K284" s="35" t="s">
        <v>276</v>
      </c>
      <c r="L284" s="35">
        <v>1</v>
      </c>
      <c r="M284" s="37">
        <v>0</v>
      </c>
      <c r="N284" s="38">
        <f t="shared" si="5"/>
        <v>0</v>
      </c>
      <c r="O284" s="35" t="s">
        <v>29</v>
      </c>
      <c r="P284" s="35" t="s">
        <v>30</v>
      </c>
      <c r="Q284" s="36">
        <v>46045</v>
      </c>
      <c r="R284" s="35" t="s">
        <v>31</v>
      </c>
      <c r="S284" s="35"/>
      <c r="T284" s="35"/>
    </row>
    <row r="285" spans="1:20" ht="15.6" x14ac:dyDescent="0.3">
      <c r="A285" s="35" t="s">
        <v>19</v>
      </c>
      <c r="B285" s="35" t="s">
        <v>391</v>
      </c>
      <c r="C285" s="35" t="s">
        <v>392</v>
      </c>
      <c r="D285" s="35" t="s">
        <v>385</v>
      </c>
      <c r="E285" s="35" t="s">
        <v>147</v>
      </c>
      <c r="F285" s="35" t="s">
        <v>48</v>
      </c>
      <c r="G285" s="35" t="s">
        <v>394</v>
      </c>
      <c r="H285" s="35" t="s">
        <v>56</v>
      </c>
      <c r="I285" s="35" t="s">
        <v>27</v>
      </c>
      <c r="J285" s="35">
        <v>464</v>
      </c>
      <c r="K285" s="35" t="s">
        <v>276</v>
      </c>
      <c r="L285" s="35">
        <v>3</v>
      </c>
      <c r="M285" s="37">
        <v>0</v>
      </c>
      <c r="N285" s="38">
        <f t="shared" si="5"/>
        <v>0</v>
      </c>
      <c r="O285" s="35" t="s">
        <v>29</v>
      </c>
      <c r="P285" s="35" t="s">
        <v>30</v>
      </c>
      <c r="Q285" s="36">
        <v>46045</v>
      </c>
      <c r="R285" s="35" t="s">
        <v>31</v>
      </c>
      <c r="S285" s="35"/>
      <c r="T285" s="35"/>
    </row>
    <row r="286" spans="1:20" ht="15.6" x14ac:dyDescent="0.3">
      <c r="A286" s="35" t="s">
        <v>19</v>
      </c>
      <c r="B286" s="35" t="s">
        <v>391</v>
      </c>
      <c r="C286" s="35" t="s">
        <v>392</v>
      </c>
      <c r="D286" s="35" t="s">
        <v>385</v>
      </c>
      <c r="E286" s="35" t="s">
        <v>147</v>
      </c>
      <c r="F286" s="35" t="s">
        <v>48</v>
      </c>
      <c r="G286" s="35" t="s">
        <v>395</v>
      </c>
      <c r="H286" s="35" t="s">
        <v>56</v>
      </c>
      <c r="I286" s="35" t="s">
        <v>27</v>
      </c>
      <c r="J286" s="35">
        <v>464</v>
      </c>
      <c r="K286" s="35" t="s">
        <v>276</v>
      </c>
      <c r="L286" s="35">
        <v>2</v>
      </c>
      <c r="M286" s="37">
        <v>0</v>
      </c>
      <c r="N286" s="38">
        <f t="shared" si="5"/>
        <v>0</v>
      </c>
      <c r="O286" s="35" t="s">
        <v>29</v>
      </c>
      <c r="P286" s="35" t="s">
        <v>30</v>
      </c>
      <c r="Q286" s="36">
        <v>46045</v>
      </c>
      <c r="R286" s="35" t="s">
        <v>31</v>
      </c>
      <c r="S286" s="35"/>
      <c r="T286" s="35"/>
    </row>
    <row r="287" spans="1:20" ht="15.6" x14ac:dyDescent="0.3">
      <c r="A287" s="35" t="s">
        <v>19</v>
      </c>
      <c r="B287" s="35" t="s">
        <v>391</v>
      </c>
      <c r="C287" s="35" t="s">
        <v>392</v>
      </c>
      <c r="D287" s="35" t="s">
        <v>385</v>
      </c>
      <c r="E287" s="35" t="s">
        <v>147</v>
      </c>
      <c r="F287" s="35" t="s">
        <v>48</v>
      </c>
      <c r="G287" s="35" t="s">
        <v>396</v>
      </c>
      <c r="H287" s="35" t="s">
        <v>56</v>
      </c>
      <c r="I287" s="35" t="s">
        <v>27</v>
      </c>
      <c r="J287" s="35">
        <v>464</v>
      </c>
      <c r="K287" s="35" t="s">
        <v>276</v>
      </c>
      <c r="L287" s="35">
        <v>1</v>
      </c>
      <c r="M287" s="37">
        <v>0</v>
      </c>
      <c r="N287" s="38">
        <f t="shared" si="5"/>
        <v>0</v>
      </c>
      <c r="O287" s="35" t="s">
        <v>29</v>
      </c>
      <c r="P287" s="35" t="s">
        <v>30</v>
      </c>
      <c r="Q287" s="36">
        <v>46045</v>
      </c>
      <c r="R287" s="35" t="s">
        <v>31</v>
      </c>
      <c r="S287" s="35"/>
      <c r="T287" s="35"/>
    </row>
    <row r="288" spans="1:20" ht="15.6" x14ac:dyDescent="0.3">
      <c r="A288" s="35" t="s">
        <v>19</v>
      </c>
      <c r="B288" s="35" t="s">
        <v>391</v>
      </c>
      <c r="C288" s="35" t="s">
        <v>392</v>
      </c>
      <c r="D288" s="35" t="s">
        <v>385</v>
      </c>
      <c r="E288" s="35" t="s">
        <v>147</v>
      </c>
      <c r="F288" s="35" t="s">
        <v>48</v>
      </c>
      <c r="G288" s="35" t="s">
        <v>397</v>
      </c>
      <c r="H288" s="35" t="s">
        <v>56</v>
      </c>
      <c r="I288" s="35" t="s">
        <v>27</v>
      </c>
      <c r="J288" s="35">
        <v>464</v>
      </c>
      <c r="K288" s="35" t="s">
        <v>276</v>
      </c>
      <c r="L288" s="35">
        <v>1</v>
      </c>
      <c r="M288" s="37">
        <v>0</v>
      </c>
      <c r="N288" s="38">
        <f t="shared" si="5"/>
        <v>0</v>
      </c>
      <c r="O288" s="35" t="s">
        <v>29</v>
      </c>
      <c r="P288" s="35" t="s">
        <v>30</v>
      </c>
      <c r="Q288" s="36">
        <v>46045</v>
      </c>
      <c r="R288" s="35" t="s">
        <v>31</v>
      </c>
      <c r="S288" s="35"/>
      <c r="T288" s="35"/>
    </row>
    <row r="289" spans="1:20" ht="15.6" x14ac:dyDescent="0.3">
      <c r="A289" s="35" t="s">
        <v>19</v>
      </c>
      <c r="B289" s="35" t="s">
        <v>391</v>
      </c>
      <c r="C289" s="35" t="s">
        <v>392</v>
      </c>
      <c r="D289" s="35" t="s">
        <v>385</v>
      </c>
      <c r="E289" s="35" t="s">
        <v>147</v>
      </c>
      <c r="F289" s="35" t="s">
        <v>48</v>
      </c>
      <c r="G289" s="35" t="s">
        <v>398</v>
      </c>
      <c r="H289" s="35" t="s">
        <v>56</v>
      </c>
      <c r="I289" s="35" t="s">
        <v>27</v>
      </c>
      <c r="J289" s="35">
        <v>464</v>
      </c>
      <c r="K289" s="35" t="s">
        <v>276</v>
      </c>
      <c r="L289" s="35">
        <v>1</v>
      </c>
      <c r="M289" s="37">
        <v>0</v>
      </c>
      <c r="N289" s="38">
        <f t="shared" si="5"/>
        <v>0</v>
      </c>
      <c r="O289" s="35" t="s">
        <v>29</v>
      </c>
      <c r="P289" s="35" t="s">
        <v>30</v>
      </c>
      <c r="Q289" s="36">
        <v>46045</v>
      </c>
      <c r="R289" s="35" t="s">
        <v>31</v>
      </c>
      <c r="S289" s="35"/>
      <c r="T289" s="35"/>
    </row>
    <row r="290" spans="1:20" ht="15.6" x14ac:dyDescent="0.3">
      <c r="A290" s="35" t="s">
        <v>19</v>
      </c>
      <c r="B290" s="35" t="s">
        <v>391</v>
      </c>
      <c r="C290" s="35" t="s">
        <v>392</v>
      </c>
      <c r="D290" s="35" t="s">
        <v>385</v>
      </c>
      <c r="E290" s="35" t="s">
        <v>147</v>
      </c>
      <c r="F290" s="35" t="s">
        <v>48</v>
      </c>
      <c r="G290" s="35" t="s">
        <v>399</v>
      </c>
      <c r="H290" s="35" t="s">
        <v>56</v>
      </c>
      <c r="I290" s="35" t="s">
        <v>27</v>
      </c>
      <c r="J290" s="35">
        <v>464</v>
      </c>
      <c r="K290" s="35" t="s">
        <v>276</v>
      </c>
      <c r="L290" s="35">
        <v>1</v>
      </c>
      <c r="M290" s="37">
        <v>0</v>
      </c>
      <c r="N290" s="38">
        <f t="shared" si="5"/>
        <v>0</v>
      </c>
      <c r="O290" s="35" t="s">
        <v>29</v>
      </c>
      <c r="P290" s="35" t="s">
        <v>30</v>
      </c>
      <c r="Q290" s="36">
        <v>46045</v>
      </c>
      <c r="R290" s="35" t="s">
        <v>31</v>
      </c>
      <c r="S290" s="35"/>
      <c r="T290" s="35"/>
    </row>
    <row r="291" spans="1:20" ht="15.6" x14ac:dyDescent="0.3">
      <c r="A291" s="35" t="s">
        <v>19</v>
      </c>
      <c r="B291" s="35" t="s">
        <v>391</v>
      </c>
      <c r="C291" s="35" t="s">
        <v>392</v>
      </c>
      <c r="D291" s="35" t="s">
        <v>385</v>
      </c>
      <c r="E291" s="35" t="s">
        <v>147</v>
      </c>
      <c r="F291" s="35" t="s">
        <v>48</v>
      </c>
      <c r="G291" s="35" t="s">
        <v>400</v>
      </c>
      <c r="H291" s="35" t="s">
        <v>56</v>
      </c>
      <c r="I291" s="35" t="s">
        <v>27</v>
      </c>
      <c r="J291" s="35">
        <v>464</v>
      </c>
      <c r="K291" s="35" t="s">
        <v>276</v>
      </c>
      <c r="L291" s="35">
        <v>2</v>
      </c>
      <c r="M291" s="37">
        <v>0</v>
      </c>
      <c r="N291" s="38">
        <f t="shared" si="5"/>
        <v>0</v>
      </c>
      <c r="O291" s="35" t="s">
        <v>29</v>
      </c>
      <c r="P291" s="35" t="s">
        <v>30</v>
      </c>
      <c r="Q291" s="36">
        <v>46045</v>
      </c>
      <c r="R291" s="35" t="s">
        <v>31</v>
      </c>
      <c r="S291" s="35"/>
      <c r="T291" s="35"/>
    </row>
    <row r="292" spans="1:20" ht="15.6" x14ac:dyDescent="0.3">
      <c r="A292" s="35" t="s">
        <v>19</v>
      </c>
      <c r="B292" s="35" t="s">
        <v>391</v>
      </c>
      <c r="C292" s="35" t="s">
        <v>392</v>
      </c>
      <c r="D292" s="35" t="s">
        <v>385</v>
      </c>
      <c r="E292" s="35" t="s">
        <v>147</v>
      </c>
      <c r="F292" s="35" t="s">
        <v>48</v>
      </c>
      <c r="G292" s="35" t="s">
        <v>401</v>
      </c>
      <c r="H292" s="35" t="s">
        <v>56</v>
      </c>
      <c r="I292" s="35" t="s">
        <v>27</v>
      </c>
      <c r="J292" s="35">
        <v>464</v>
      </c>
      <c r="K292" s="35" t="s">
        <v>276</v>
      </c>
      <c r="L292" s="35">
        <v>1</v>
      </c>
      <c r="M292" s="37">
        <v>0</v>
      </c>
      <c r="N292" s="38">
        <f t="shared" si="5"/>
        <v>0</v>
      </c>
      <c r="O292" s="35" t="s">
        <v>29</v>
      </c>
      <c r="P292" s="35" t="s">
        <v>30</v>
      </c>
      <c r="Q292" s="36">
        <v>46045</v>
      </c>
      <c r="R292" s="35" t="s">
        <v>31</v>
      </c>
      <c r="S292" s="35"/>
      <c r="T292" s="35"/>
    </row>
    <row r="293" spans="1:20" ht="15.6" x14ac:dyDescent="0.3">
      <c r="A293" s="35" t="s">
        <v>19</v>
      </c>
      <c r="B293" s="35" t="s">
        <v>391</v>
      </c>
      <c r="C293" s="35" t="s">
        <v>392</v>
      </c>
      <c r="D293" s="35" t="s">
        <v>385</v>
      </c>
      <c r="E293" s="35" t="s">
        <v>147</v>
      </c>
      <c r="F293" s="35" t="s">
        <v>48</v>
      </c>
      <c r="G293" s="35" t="s">
        <v>402</v>
      </c>
      <c r="H293" s="35" t="s">
        <v>56</v>
      </c>
      <c r="I293" s="35" t="s">
        <v>27</v>
      </c>
      <c r="J293" s="35">
        <v>464</v>
      </c>
      <c r="K293" s="35" t="s">
        <v>276</v>
      </c>
      <c r="L293" s="35">
        <v>1</v>
      </c>
      <c r="M293" s="37">
        <v>0</v>
      </c>
      <c r="N293" s="38">
        <f t="shared" si="5"/>
        <v>0</v>
      </c>
      <c r="O293" s="35" t="s">
        <v>29</v>
      </c>
      <c r="P293" s="35" t="s">
        <v>30</v>
      </c>
      <c r="Q293" s="36">
        <v>46045</v>
      </c>
      <c r="R293" s="35" t="s">
        <v>31</v>
      </c>
      <c r="S293" s="35"/>
      <c r="T293" s="35"/>
    </row>
    <row r="294" spans="1:20" ht="15.6" x14ac:dyDescent="0.3">
      <c r="A294" s="35" t="s">
        <v>19</v>
      </c>
      <c r="B294" s="35" t="s">
        <v>20</v>
      </c>
      <c r="C294" s="35" t="s">
        <v>21</v>
      </c>
      <c r="D294" s="35" t="s">
        <v>385</v>
      </c>
      <c r="E294" s="41" t="s">
        <v>23</v>
      </c>
      <c r="F294" s="35" t="s">
        <v>24</v>
      </c>
      <c r="G294" s="35" t="s">
        <v>244</v>
      </c>
      <c r="H294" s="35" t="s">
        <v>56</v>
      </c>
      <c r="I294" s="35" t="s">
        <v>27</v>
      </c>
      <c r="J294" s="35">
        <v>465</v>
      </c>
      <c r="K294" s="35" t="s">
        <v>123</v>
      </c>
      <c r="L294" s="35">
        <v>80</v>
      </c>
      <c r="M294" s="37">
        <v>520000</v>
      </c>
      <c r="N294" s="38">
        <f t="shared" si="5"/>
        <v>6500</v>
      </c>
      <c r="O294" s="35" t="s">
        <v>29</v>
      </c>
      <c r="P294" s="35" t="s">
        <v>30</v>
      </c>
      <c r="Q294" s="36">
        <v>46172</v>
      </c>
      <c r="R294" s="35" t="s">
        <v>31</v>
      </c>
      <c r="S294" s="35"/>
      <c r="T294" s="35"/>
    </row>
    <row r="295" spans="1:20" ht="15.6" x14ac:dyDescent="0.3">
      <c r="A295" s="35" t="s">
        <v>19</v>
      </c>
      <c r="B295" s="35" t="s">
        <v>403</v>
      </c>
      <c r="C295" s="35" t="s">
        <v>404</v>
      </c>
      <c r="D295" s="35" t="s">
        <v>385</v>
      </c>
      <c r="E295" s="35" t="s">
        <v>47</v>
      </c>
      <c r="F295" s="35" t="s">
        <v>58</v>
      </c>
      <c r="G295" s="35" t="s">
        <v>244</v>
      </c>
      <c r="H295" s="35" t="s">
        <v>26</v>
      </c>
      <c r="I295" s="35" t="s">
        <v>64</v>
      </c>
      <c r="J295" s="35">
        <v>166</v>
      </c>
      <c r="K295" s="35" t="s">
        <v>123</v>
      </c>
      <c r="L295" s="35">
        <v>140</v>
      </c>
      <c r="M295" s="37">
        <v>985600</v>
      </c>
      <c r="N295" s="38">
        <f t="shared" si="5"/>
        <v>7040</v>
      </c>
      <c r="O295" s="35" t="s">
        <v>29</v>
      </c>
      <c r="P295" s="35" t="s">
        <v>30</v>
      </c>
      <c r="Q295" s="36">
        <v>46172</v>
      </c>
      <c r="R295" s="35" t="s">
        <v>31</v>
      </c>
      <c r="S295" s="35"/>
      <c r="T295" s="35"/>
    </row>
    <row r="296" spans="1:20" ht="15.6" x14ac:dyDescent="0.3">
      <c r="A296" s="35" t="s">
        <v>19</v>
      </c>
      <c r="B296" s="35" t="s">
        <v>403</v>
      </c>
      <c r="C296" s="35" t="s">
        <v>404</v>
      </c>
      <c r="D296" s="35" t="s">
        <v>385</v>
      </c>
      <c r="E296" s="35" t="s">
        <v>47</v>
      </c>
      <c r="F296" s="35" t="s">
        <v>58</v>
      </c>
      <c r="G296" s="35" t="s">
        <v>327</v>
      </c>
      <c r="H296" s="35" t="s">
        <v>26</v>
      </c>
      <c r="I296" s="35" t="s">
        <v>64</v>
      </c>
      <c r="J296" s="35">
        <v>166</v>
      </c>
      <c r="K296" s="35" t="s">
        <v>123</v>
      </c>
      <c r="L296" s="35">
        <v>10</v>
      </c>
      <c r="M296" s="37">
        <v>70400</v>
      </c>
      <c r="N296" s="38">
        <f t="shared" si="5"/>
        <v>7040</v>
      </c>
      <c r="O296" s="35" t="s">
        <v>29</v>
      </c>
      <c r="P296" s="35" t="s">
        <v>30</v>
      </c>
      <c r="Q296" s="36">
        <v>46172</v>
      </c>
      <c r="R296" s="35" t="s">
        <v>31</v>
      </c>
      <c r="S296" s="35"/>
      <c r="T296" s="35"/>
    </row>
    <row r="297" spans="1:20" ht="15.6" x14ac:dyDescent="0.3">
      <c r="A297" s="35" t="s">
        <v>19</v>
      </c>
      <c r="B297" s="35" t="s">
        <v>405</v>
      </c>
      <c r="C297" s="35" t="s">
        <v>406</v>
      </c>
      <c r="D297" s="35" t="s">
        <v>385</v>
      </c>
      <c r="E297" s="35" t="s">
        <v>47</v>
      </c>
      <c r="F297" s="35" t="s">
        <v>58</v>
      </c>
      <c r="G297" s="35" t="s">
        <v>407</v>
      </c>
      <c r="H297" s="35" t="s">
        <v>56</v>
      </c>
      <c r="I297" s="35" t="s">
        <v>64</v>
      </c>
      <c r="J297" s="35">
        <v>167</v>
      </c>
      <c r="K297" s="35" t="s">
        <v>123</v>
      </c>
      <c r="L297" s="35">
        <v>120</v>
      </c>
      <c r="M297" s="37">
        <v>1580760</v>
      </c>
      <c r="N297" s="38">
        <f t="shared" si="5"/>
        <v>13173</v>
      </c>
      <c r="O297" s="35" t="s">
        <v>29</v>
      </c>
      <c r="P297" s="35" t="s">
        <v>30</v>
      </c>
      <c r="Q297" s="36">
        <v>46164</v>
      </c>
      <c r="R297" s="35" t="s">
        <v>31</v>
      </c>
      <c r="S297" s="35"/>
      <c r="T297" s="35"/>
    </row>
    <row r="298" spans="1:20" ht="15.6" x14ac:dyDescent="0.3">
      <c r="A298" s="35" t="s">
        <v>19</v>
      </c>
      <c r="B298" s="35" t="s">
        <v>405</v>
      </c>
      <c r="C298" s="35" t="s">
        <v>406</v>
      </c>
      <c r="D298" s="35" t="s">
        <v>385</v>
      </c>
      <c r="E298" s="35" t="s">
        <v>47</v>
      </c>
      <c r="F298" s="35" t="s">
        <v>58</v>
      </c>
      <c r="G298" s="35" t="s">
        <v>408</v>
      </c>
      <c r="H298" s="35" t="s">
        <v>56</v>
      </c>
      <c r="I298" s="35" t="s">
        <v>64</v>
      </c>
      <c r="J298" s="35">
        <v>167</v>
      </c>
      <c r="K298" s="35" t="s">
        <v>123</v>
      </c>
      <c r="L298" s="35">
        <v>5</v>
      </c>
      <c r="M298" s="37">
        <v>65865</v>
      </c>
      <c r="N298" s="38">
        <f t="shared" si="5"/>
        <v>13173</v>
      </c>
      <c r="O298" s="35" t="s">
        <v>29</v>
      </c>
      <c r="P298" s="35" t="s">
        <v>30</v>
      </c>
      <c r="Q298" s="36">
        <v>46164</v>
      </c>
      <c r="R298" s="35" t="s">
        <v>31</v>
      </c>
      <c r="S298" s="35"/>
      <c r="T298" s="35"/>
    </row>
    <row r="299" spans="1:20" ht="15.6" x14ac:dyDescent="0.3">
      <c r="A299" s="35" t="s">
        <v>19</v>
      </c>
      <c r="B299" s="35" t="s">
        <v>405</v>
      </c>
      <c r="C299" s="35" t="s">
        <v>406</v>
      </c>
      <c r="D299" s="35" t="s">
        <v>385</v>
      </c>
      <c r="E299" s="35" t="s">
        <v>47</v>
      </c>
      <c r="F299" s="35" t="s">
        <v>58</v>
      </c>
      <c r="G299" s="35" t="s">
        <v>287</v>
      </c>
      <c r="H299" s="35" t="s">
        <v>56</v>
      </c>
      <c r="I299" s="35" t="s">
        <v>64</v>
      </c>
      <c r="J299" s="35">
        <v>167</v>
      </c>
      <c r="K299" s="35" t="s">
        <v>123</v>
      </c>
      <c r="L299" s="35">
        <v>1</v>
      </c>
      <c r="M299" s="37">
        <v>13173</v>
      </c>
      <c r="N299" s="38">
        <f t="shared" si="5"/>
        <v>13173</v>
      </c>
      <c r="O299" s="35" t="s">
        <v>29</v>
      </c>
      <c r="P299" s="35" t="s">
        <v>30</v>
      </c>
      <c r="Q299" s="36">
        <v>46164</v>
      </c>
      <c r="R299" s="35" t="s">
        <v>31</v>
      </c>
      <c r="S299" s="35"/>
      <c r="T299" s="35"/>
    </row>
    <row r="300" spans="1:20" ht="15.6" x14ac:dyDescent="0.3">
      <c r="A300" s="35" t="s">
        <v>19</v>
      </c>
      <c r="B300" s="35" t="s">
        <v>405</v>
      </c>
      <c r="C300" s="35" t="s">
        <v>406</v>
      </c>
      <c r="D300" s="35" t="s">
        <v>385</v>
      </c>
      <c r="E300" s="35" t="s">
        <v>47</v>
      </c>
      <c r="F300" s="35" t="s">
        <v>58</v>
      </c>
      <c r="G300" s="35" t="s">
        <v>409</v>
      </c>
      <c r="H300" s="35" t="s">
        <v>26</v>
      </c>
      <c r="I300" s="35" t="s">
        <v>64</v>
      </c>
      <c r="J300" s="35">
        <v>168</v>
      </c>
      <c r="K300" s="35" t="s">
        <v>123</v>
      </c>
      <c r="L300" s="35">
        <v>60</v>
      </c>
      <c r="M300" s="37">
        <v>202800</v>
      </c>
      <c r="N300" s="38">
        <f t="shared" si="5"/>
        <v>3380</v>
      </c>
      <c r="O300" s="35" t="s">
        <v>29</v>
      </c>
      <c r="P300" s="35" t="s">
        <v>30</v>
      </c>
      <c r="Q300" s="36">
        <v>46164</v>
      </c>
      <c r="R300" s="35" t="s">
        <v>31</v>
      </c>
      <c r="S300" s="35"/>
      <c r="T300" s="35"/>
    </row>
    <row r="301" spans="1:20" ht="15.6" x14ac:dyDescent="0.3">
      <c r="A301" s="35" t="s">
        <v>19</v>
      </c>
      <c r="B301" s="35" t="s">
        <v>405</v>
      </c>
      <c r="C301" s="35" t="s">
        <v>406</v>
      </c>
      <c r="D301" s="35" t="s">
        <v>385</v>
      </c>
      <c r="E301" s="35" t="s">
        <v>47</v>
      </c>
      <c r="F301" s="35" t="s">
        <v>58</v>
      </c>
      <c r="G301" s="35" t="s">
        <v>410</v>
      </c>
      <c r="H301" s="35" t="s">
        <v>26</v>
      </c>
      <c r="I301" s="35" t="s">
        <v>64</v>
      </c>
      <c r="J301" s="35">
        <v>168</v>
      </c>
      <c r="K301" s="35" t="s">
        <v>123</v>
      </c>
      <c r="L301" s="35">
        <v>480</v>
      </c>
      <c r="M301" s="37">
        <v>1281120</v>
      </c>
      <c r="N301" s="38">
        <f t="shared" si="5"/>
        <v>2669</v>
      </c>
      <c r="O301" s="35" t="s">
        <v>29</v>
      </c>
      <c r="P301" s="35" t="s">
        <v>30</v>
      </c>
      <c r="Q301" s="36">
        <v>46164</v>
      </c>
      <c r="R301" s="35" t="s">
        <v>31</v>
      </c>
      <c r="S301" s="35"/>
      <c r="T301" s="35"/>
    </row>
    <row r="302" spans="1:20" ht="15.6" x14ac:dyDescent="0.3">
      <c r="A302" s="35" t="s">
        <v>19</v>
      </c>
      <c r="B302" s="35" t="s">
        <v>405</v>
      </c>
      <c r="C302" s="35" t="s">
        <v>406</v>
      </c>
      <c r="D302" s="35" t="s">
        <v>385</v>
      </c>
      <c r="E302" s="35" t="s">
        <v>47</v>
      </c>
      <c r="F302" s="35" t="s">
        <v>58</v>
      </c>
      <c r="G302" s="35" t="s">
        <v>289</v>
      </c>
      <c r="H302" s="35" t="s">
        <v>26</v>
      </c>
      <c r="I302" s="35" t="s">
        <v>64</v>
      </c>
      <c r="J302" s="35">
        <v>168</v>
      </c>
      <c r="K302" s="35" t="s">
        <v>123</v>
      </c>
      <c r="L302" s="35">
        <v>440</v>
      </c>
      <c r="M302" s="37">
        <v>1174360</v>
      </c>
      <c r="N302" s="38">
        <f t="shared" si="5"/>
        <v>2669</v>
      </c>
      <c r="O302" s="35" t="s">
        <v>29</v>
      </c>
      <c r="P302" s="35" t="s">
        <v>30</v>
      </c>
      <c r="Q302" s="36">
        <v>46164</v>
      </c>
      <c r="R302" s="35" t="s">
        <v>31</v>
      </c>
      <c r="S302" s="35"/>
      <c r="T302" s="35"/>
    </row>
    <row r="303" spans="1:20" ht="15.6" x14ac:dyDescent="0.3">
      <c r="A303" s="35" t="s">
        <v>19</v>
      </c>
      <c r="B303" s="35" t="s">
        <v>386</v>
      </c>
      <c r="C303" s="35" t="s">
        <v>387</v>
      </c>
      <c r="D303" s="35" t="s">
        <v>385</v>
      </c>
      <c r="E303" s="35" t="s">
        <v>47</v>
      </c>
      <c r="F303" s="35" t="s">
        <v>58</v>
      </c>
      <c r="G303" s="35" t="s">
        <v>388</v>
      </c>
      <c r="H303" s="35" t="s">
        <v>26</v>
      </c>
      <c r="I303" s="35" t="s">
        <v>64</v>
      </c>
      <c r="J303" s="35">
        <v>169</v>
      </c>
      <c r="K303" s="35" t="s">
        <v>123</v>
      </c>
      <c r="L303" s="35">
        <v>40</v>
      </c>
      <c r="M303" s="37">
        <v>0</v>
      </c>
      <c r="N303" s="38">
        <f t="shared" si="5"/>
        <v>0</v>
      </c>
      <c r="O303" s="35" t="s">
        <v>29</v>
      </c>
      <c r="P303" s="35" t="s">
        <v>30</v>
      </c>
      <c r="Q303" s="36">
        <v>46045</v>
      </c>
      <c r="R303" s="35" t="s">
        <v>31</v>
      </c>
      <c r="S303" s="35"/>
      <c r="T303" s="35"/>
    </row>
    <row r="304" spans="1:20" ht="15.6" x14ac:dyDescent="0.3">
      <c r="A304" s="35" t="s">
        <v>19</v>
      </c>
      <c r="B304" s="35" t="s">
        <v>386</v>
      </c>
      <c r="C304" s="35" t="s">
        <v>387</v>
      </c>
      <c r="D304" s="35" t="s">
        <v>385</v>
      </c>
      <c r="E304" s="35" t="s">
        <v>47</v>
      </c>
      <c r="F304" s="35" t="s">
        <v>58</v>
      </c>
      <c r="G304" s="35" t="s">
        <v>242</v>
      </c>
      <c r="H304" s="35" t="s">
        <v>26</v>
      </c>
      <c r="I304" s="35" t="s">
        <v>64</v>
      </c>
      <c r="J304" s="35">
        <v>169</v>
      </c>
      <c r="K304" s="35" t="s">
        <v>123</v>
      </c>
      <c r="L304" s="35">
        <v>40</v>
      </c>
      <c r="M304" s="37">
        <v>0</v>
      </c>
      <c r="N304" s="38">
        <f t="shared" si="5"/>
        <v>0</v>
      </c>
      <c r="O304" s="35" t="s">
        <v>29</v>
      </c>
      <c r="P304" s="35" t="s">
        <v>30</v>
      </c>
      <c r="Q304" s="36">
        <v>46045</v>
      </c>
      <c r="R304" s="35" t="s">
        <v>31</v>
      </c>
      <c r="S304" s="35"/>
      <c r="T304" s="35"/>
    </row>
    <row r="305" spans="1:20" ht="15.6" x14ac:dyDescent="0.3">
      <c r="A305" s="35" t="s">
        <v>19</v>
      </c>
      <c r="B305" s="35" t="s">
        <v>386</v>
      </c>
      <c r="C305" s="35" t="s">
        <v>387</v>
      </c>
      <c r="D305" s="35" t="s">
        <v>385</v>
      </c>
      <c r="E305" s="35" t="s">
        <v>47</v>
      </c>
      <c r="F305" s="35" t="s">
        <v>58</v>
      </c>
      <c r="G305" s="35" t="s">
        <v>251</v>
      </c>
      <c r="H305" s="35" t="s">
        <v>26</v>
      </c>
      <c r="I305" s="35" t="s">
        <v>64</v>
      </c>
      <c r="J305" s="35">
        <v>169</v>
      </c>
      <c r="K305" s="35" t="s">
        <v>123</v>
      </c>
      <c r="L305" s="35">
        <v>20</v>
      </c>
      <c r="M305" s="37">
        <v>0</v>
      </c>
      <c r="N305" s="38">
        <f t="shared" si="5"/>
        <v>0</v>
      </c>
      <c r="O305" s="35" t="s">
        <v>29</v>
      </c>
      <c r="P305" s="35" t="s">
        <v>30</v>
      </c>
      <c r="Q305" s="36">
        <v>46045</v>
      </c>
      <c r="R305" s="35" t="s">
        <v>31</v>
      </c>
      <c r="S305" s="35"/>
      <c r="T305" s="35"/>
    </row>
    <row r="306" spans="1:20" ht="15.6" x14ac:dyDescent="0.3">
      <c r="A306" s="35" t="s">
        <v>19</v>
      </c>
      <c r="B306" s="35" t="s">
        <v>386</v>
      </c>
      <c r="C306" s="35" t="s">
        <v>387</v>
      </c>
      <c r="D306" s="35" t="s">
        <v>385</v>
      </c>
      <c r="E306" s="35" t="s">
        <v>47</v>
      </c>
      <c r="F306" s="35" t="s">
        <v>58</v>
      </c>
      <c r="G306" s="35" t="s">
        <v>253</v>
      </c>
      <c r="H306" s="35" t="s">
        <v>26</v>
      </c>
      <c r="I306" s="35" t="s">
        <v>64</v>
      </c>
      <c r="J306" s="35">
        <v>169</v>
      </c>
      <c r="K306" s="35" t="s">
        <v>123</v>
      </c>
      <c r="L306" s="35">
        <v>20</v>
      </c>
      <c r="M306" s="37">
        <v>0</v>
      </c>
      <c r="N306" s="38">
        <f t="shared" si="5"/>
        <v>0</v>
      </c>
      <c r="O306" s="35" t="s">
        <v>29</v>
      </c>
      <c r="P306" s="35" t="s">
        <v>30</v>
      </c>
      <c r="Q306" s="36">
        <v>46045</v>
      </c>
      <c r="R306" s="35" t="s">
        <v>31</v>
      </c>
      <c r="S306" s="35"/>
      <c r="T306" s="35"/>
    </row>
    <row r="307" spans="1:20" ht="15.6" x14ac:dyDescent="0.3">
      <c r="A307" s="35" t="s">
        <v>19</v>
      </c>
      <c r="B307" s="35" t="s">
        <v>411</v>
      </c>
      <c r="C307" s="35" t="s">
        <v>412</v>
      </c>
      <c r="D307" s="35" t="s">
        <v>385</v>
      </c>
      <c r="E307" s="35" t="s">
        <v>195</v>
      </c>
      <c r="F307" s="35" t="s">
        <v>48</v>
      </c>
      <c r="G307" s="35" t="s">
        <v>398</v>
      </c>
      <c r="H307" s="35" t="s">
        <v>56</v>
      </c>
      <c r="I307" s="35" t="s">
        <v>64</v>
      </c>
      <c r="J307" s="35">
        <v>170</v>
      </c>
      <c r="K307" s="35" t="s">
        <v>276</v>
      </c>
      <c r="L307" s="35">
        <v>6</v>
      </c>
      <c r="M307" s="37">
        <v>0</v>
      </c>
      <c r="N307" s="38">
        <f t="shared" si="5"/>
        <v>0</v>
      </c>
      <c r="O307" s="35" t="s">
        <v>29</v>
      </c>
      <c r="P307" s="35" t="s">
        <v>30</v>
      </c>
      <c r="Q307" s="36">
        <v>46075</v>
      </c>
      <c r="R307" s="35" t="s">
        <v>31</v>
      </c>
      <c r="S307" s="35"/>
      <c r="T307" s="35"/>
    </row>
    <row r="308" spans="1:20" ht="15.6" x14ac:dyDescent="0.3">
      <c r="A308" s="35" t="s">
        <v>19</v>
      </c>
      <c r="B308" s="35" t="s">
        <v>411</v>
      </c>
      <c r="C308" s="35" t="s">
        <v>412</v>
      </c>
      <c r="D308" s="35" t="s">
        <v>385</v>
      </c>
      <c r="E308" s="35" t="s">
        <v>195</v>
      </c>
      <c r="F308" s="35" t="s">
        <v>48</v>
      </c>
      <c r="G308" s="35" t="s">
        <v>393</v>
      </c>
      <c r="H308" s="35" t="s">
        <v>56</v>
      </c>
      <c r="I308" s="35" t="s">
        <v>64</v>
      </c>
      <c r="J308" s="35">
        <v>170</v>
      </c>
      <c r="K308" s="35" t="s">
        <v>276</v>
      </c>
      <c r="L308" s="35">
        <v>6</v>
      </c>
      <c r="M308" s="37">
        <v>0</v>
      </c>
      <c r="N308" s="38">
        <f t="shared" si="5"/>
        <v>0</v>
      </c>
      <c r="O308" s="35" t="s">
        <v>29</v>
      </c>
      <c r="P308" s="35" t="s">
        <v>30</v>
      </c>
      <c r="Q308" s="36">
        <v>46075</v>
      </c>
      <c r="R308" s="35" t="s">
        <v>31</v>
      </c>
      <c r="S308" s="35"/>
      <c r="T308" s="35"/>
    </row>
    <row r="309" spans="1:20" ht="15.6" x14ac:dyDescent="0.3">
      <c r="A309" s="35" t="s">
        <v>19</v>
      </c>
      <c r="B309" s="35" t="s">
        <v>411</v>
      </c>
      <c r="C309" s="35" t="s">
        <v>412</v>
      </c>
      <c r="D309" s="35" t="s">
        <v>385</v>
      </c>
      <c r="E309" s="35" t="s">
        <v>195</v>
      </c>
      <c r="F309" s="35" t="s">
        <v>48</v>
      </c>
      <c r="G309" s="35" t="s">
        <v>397</v>
      </c>
      <c r="H309" s="35" t="s">
        <v>56</v>
      </c>
      <c r="I309" s="35" t="s">
        <v>64</v>
      </c>
      <c r="J309" s="35">
        <v>170</v>
      </c>
      <c r="K309" s="35" t="s">
        <v>276</v>
      </c>
      <c r="L309" s="35">
        <v>8</v>
      </c>
      <c r="M309" s="37">
        <v>0</v>
      </c>
      <c r="N309" s="38">
        <f t="shared" si="5"/>
        <v>0</v>
      </c>
      <c r="O309" s="35" t="s">
        <v>29</v>
      </c>
      <c r="P309" s="35" t="s">
        <v>30</v>
      </c>
      <c r="Q309" s="36">
        <v>46075</v>
      </c>
      <c r="R309" s="35" t="s">
        <v>31</v>
      </c>
      <c r="S309" s="35"/>
      <c r="T309" s="35"/>
    </row>
    <row r="310" spans="1:20" ht="15.6" x14ac:dyDescent="0.3">
      <c r="A310" s="35" t="s">
        <v>19</v>
      </c>
      <c r="B310" s="35" t="s">
        <v>411</v>
      </c>
      <c r="C310" s="35" t="s">
        <v>412</v>
      </c>
      <c r="D310" s="35" t="s">
        <v>385</v>
      </c>
      <c r="E310" s="35" t="s">
        <v>195</v>
      </c>
      <c r="F310" s="35" t="s">
        <v>48</v>
      </c>
      <c r="G310" s="35" t="s">
        <v>394</v>
      </c>
      <c r="H310" s="35" t="s">
        <v>56</v>
      </c>
      <c r="I310" s="35" t="s">
        <v>64</v>
      </c>
      <c r="J310" s="35">
        <v>170</v>
      </c>
      <c r="K310" s="35" t="s">
        <v>276</v>
      </c>
      <c r="L310" s="35">
        <v>5</v>
      </c>
      <c r="M310" s="37">
        <v>0</v>
      </c>
      <c r="N310" s="38">
        <f t="shared" si="5"/>
        <v>0</v>
      </c>
      <c r="O310" s="35" t="s">
        <v>29</v>
      </c>
      <c r="P310" s="35" t="s">
        <v>30</v>
      </c>
      <c r="Q310" s="36">
        <v>46075</v>
      </c>
      <c r="R310" s="35" t="s">
        <v>31</v>
      </c>
      <c r="S310" s="35"/>
      <c r="T310" s="35"/>
    </row>
    <row r="311" spans="1:20" ht="15.6" x14ac:dyDescent="0.3">
      <c r="A311" s="35" t="s">
        <v>19</v>
      </c>
      <c r="B311" s="35" t="s">
        <v>411</v>
      </c>
      <c r="C311" s="35" t="s">
        <v>412</v>
      </c>
      <c r="D311" s="35" t="s">
        <v>385</v>
      </c>
      <c r="E311" s="35" t="s">
        <v>195</v>
      </c>
      <c r="F311" s="35" t="s">
        <v>48</v>
      </c>
      <c r="G311" s="35" t="s">
        <v>395</v>
      </c>
      <c r="H311" s="35" t="s">
        <v>56</v>
      </c>
      <c r="I311" s="35" t="s">
        <v>64</v>
      </c>
      <c r="J311" s="35">
        <v>170</v>
      </c>
      <c r="K311" s="35" t="s">
        <v>276</v>
      </c>
      <c r="L311" s="35">
        <v>5</v>
      </c>
      <c r="M311" s="37">
        <v>0</v>
      </c>
      <c r="N311" s="38">
        <f t="shared" si="5"/>
        <v>0</v>
      </c>
      <c r="O311" s="35" t="s">
        <v>29</v>
      </c>
      <c r="P311" s="35" t="s">
        <v>30</v>
      </c>
      <c r="Q311" s="36">
        <v>46075</v>
      </c>
      <c r="R311" s="35" t="s">
        <v>31</v>
      </c>
      <c r="S311" s="35"/>
      <c r="T311" s="35"/>
    </row>
    <row r="312" spans="1:20" ht="15.6" x14ac:dyDescent="0.3">
      <c r="A312" s="35" t="s">
        <v>19</v>
      </c>
      <c r="B312" s="35" t="s">
        <v>411</v>
      </c>
      <c r="C312" s="35" t="s">
        <v>412</v>
      </c>
      <c r="D312" s="35" t="s">
        <v>385</v>
      </c>
      <c r="E312" s="35" t="s">
        <v>195</v>
      </c>
      <c r="F312" s="35" t="s">
        <v>48</v>
      </c>
      <c r="G312" s="35" t="s">
        <v>413</v>
      </c>
      <c r="H312" s="35" t="s">
        <v>56</v>
      </c>
      <c r="I312" s="35" t="s">
        <v>64</v>
      </c>
      <c r="J312" s="35">
        <v>170</v>
      </c>
      <c r="K312" s="35" t="s">
        <v>276</v>
      </c>
      <c r="L312" s="35">
        <v>1</v>
      </c>
      <c r="M312" s="37">
        <v>0</v>
      </c>
      <c r="N312" s="38">
        <f t="shared" si="5"/>
        <v>0</v>
      </c>
      <c r="O312" s="35" t="s">
        <v>29</v>
      </c>
      <c r="P312" s="35" t="s">
        <v>30</v>
      </c>
      <c r="Q312" s="36">
        <v>46075</v>
      </c>
      <c r="R312" s="35" t="s">
        <v>31</v>
      </c>
      <c r="S312" s="35"/>
      <c r="T312" s="35"/>
    </row>
    <row r="313" spans="1:20" ht="15.6" x14ac:dyDescent="0.3">
      <c r="A313" s="35" t="s">
        <v>19</v>
      </c>
      <c r="B313" s="35" t="s">
        <v>414</v>
      </c>
      <c r="C313" s="35" t="s">
        <v>415</v>
      </c>
      <c r="D313" s="35" t="s">
        <v>416</v>
      </c>
      <c r="E313" s="41" t="s">
        <v>23</v>
      </c>
      <c r="F313" s="35" t="s">
        <v>24</v>
      </c>
      <c r="G313" s="35" t="s">
        <v>253</v>
      </c>
      <c r="H313" s="35" t="s">
        <v>26</v>
      </c>
      <c r="I313" s="35" t="s">
        <v>27</v>
      </c>
      <c r="J313" s="35">
        <v>466</v>
      </c>
      <c r="K313" s="35" t="s">
        <v>123</v>
      </c>
      <c r="L313" s="35">
        <v>60</v>
      </c>
      <c r="M313" s="37">
        <v>235080</v>
      </c>
      <c r="N313" s="38">
        <f t="shared" si="5"/>
        <v>3918</v>
      </c>
      <c r="O313" s="35" t="s">
        <v>29</v>
      </c>
      <c r="P313" s="35" t="s">
        <v>30</v>
      </c>
      <c r="Q313" s="36">
        <v>46078</v>
      </c>
      <c r="R313" s="35" t="s">
        <v>31</v>
      </c>
      <c r="S313" s="35"/>
      <c r="T313" s="35"/>
    </row>
    <row r="314" spans="1:20" ht="15.6" x14ac:dyDescent="0.3">
      <c r="A314" s="35" t="s">
        <v>19</v>
      </c>
      <c r="B314" s="35" t="s">
        <v>417</v>
      </c>
      <c r="C314" s="35" t="s">
        <v>418</v>
      </c>
      <c r="D314" s="35" t="s">
        <v>416</v>
      </c>
      <c r="E314" s="35" t="s">
        <v>35</v>
      </c>
      <c r="F314" s="35" t="s">
        <v>48</v>
      </c>
      <c r="G314" s="35" t="s">
        <v>398</v>
      </c>
      <c r="H314" s="35" t="s">
        <v>56</v>
      </c>
      <c r="I314" s="35" t="s">
        <v>27</v>
      </c>
      <c r="J314" s="35">
        <v>467</v>
      </c>
      <c r="K314" s="35" t="s">
        <v>276</v>
      </c>
      <c r="L314" s="35">
        <v>4</v>
      </c>
      <c r="M314" s="37">
        <v>0</v>
      </c>
      <c r="N314" s="38">
        <f t="shared" si="5"/>
        <v>0</v>
      </c>
      <c r="O314" s="35" t="s">
        <v>29</v>
      </c>
      <c r="P314" s="35" t="s">
        <v>30</v>
      </c>
      <c r="Q314" s="36">
        <v>46048</v>
      </c>
      <c r="R314" s="35" t="s">
        <v>31</v>
      </c>
      <c r="S314" s="35"/>
      <c r="T314" s="35"/>
    </row>
    <row r="315" spans="1:20" ht="15.6" x14ac:dyDescent="0.3">
      <c r="A315" s="35" t="s">
        <v>19</v>
      </c>
      <c r="B315" s="35" t="s">
        <v>417</v>
      </c>
      <c r="C315" s="35" t="s">
        <v>418</v>
      </c>
      <c r="D315" s="35" t="s">
        <v>416</v>
      </c>
      <c r="E315" s="35" t="s">
        <v>35</v>
      </c>
      <c r="F315" s="35" t="s">
        <v>48</v>
      </c>
      <c r="G315" s="35" t="s">
        <v>419</v>
      </c>
      <c r="H315" s="35" t="s">
        <v>56</v>
      </c>
      <c r="I315" s="35" t="s">
        <v>27</v>
      </c>
      <c r="J315" s="35">
        <v>467</v>
      </c>
      <c r="K315" s="35" t="s">
        <v>276</v>
      </c>
      <c r="L315" s="35">
        <v>2</v>
      </c>
      <c r="M315" s="37">
        <v>0</v>
      </c>
      <c r="N315" s="38">
        <f t="shared" si="5"/>
        <v>0</v>
      </c>
      <c r="O315" s="35" t="s">
        <v>29</v>
      </c>
      <c r="P315" s="35" t="s">
        <v>30</v>
      </c>
      <c r="Q315" s="36">
        <v>46048</v>
      </c>
      <c r="R315" s="35" t="s">
        <v>31</v>
      </c>
      <c r="S315" s="35"/>
      <c r="T315" s="35"/>
    </row>
    <row r="316" spans="1:20" ht="15.6" x14ac:dyDescent="0.3">
      <c r="A316" s="35" t="s">
        <v>19</v>
      </c>
      <c r="B316" s="35" t="s">
        <v>417</v>
      </c>
      <c r="C316" s="35" t="s">
        <v>418</v>
      </c>
      <c r="D316" s="35" t="s">
        <v>416</v>
      </c>
      <c r="E316" s="35" t="s">
        <v>35</v>
      </c>
      <c r="F316" s="35" t="s">
        <v>48</v>
      </c>
      <c r="G316" s="35" t="s">
        <v>399</v>
      </c>
      <c r="H316" s="35" t="s">
        <v>56</v>
      </c>
      <c r="I316" s="35" t="s">
        <v>27</v>
      </c>
      <c r="J316" s="35">
        <v>467</v>
      </c>
      <c r="K316" s="35" t="s">
        <v>276</v>
      </c>
      <c r="L316" s="35">
        <v>2</v>
      </c>
      <c r="M316" s="37">
        <v>0</v>
      </c>
      <c r="N316" s="38">
        <f t="shared" si="5"/>
        <v>0</v>
      </c>
      <c r="O316" s="35" t="s">
        <v>29</v>
      </c>
      <c r="P316" s="35" t="s">
        <v>30</v>
      </c>
      <c r="Q316" s="36">
        <v>46048</v>
      </c>
      <c r="R316" s="35" t="s">
        <v>31</v>
      </c>
      <c r="S316" s="35"/>
      <c r="T316" s="35"/>
    </row>
    <row r="317" spans="1:20" ht="15.6" x14ac:dyDescent="0.3">
      <c r="A317" s="35" t="s">
        <v>19</v>
      </c>
      <c r="B317" s="35" t="s">
        <v>417</v>
      </c>
      <c r="C317" s="35" t="s">
        <v>418</v>
      </c>
      <c r="D317" s="35" t="s">
        <v>416</v>
      </c>
      <c r="E317" s="35" t="s">
        <v>35</v>
      </c>
      <c r="F317" s="35" t="s">
        <v>48</v>
      </c>
      <c r="G317" s="35" t="s">
        <v>420</v>
      </c>
      <c r="H317" s="35" t="s">
        <v>56</v>
      </c>
      <c r="I317" s="35" t="s">
        <v>27</v>
      </c>
      <c r="J317" s="35">
        <v>467</v>
      </c>
      <c r="K317" s="35" t="s">
        <v>276</v>
      </c>
      <c r="L317" s="35">
        <v>2</v>
      </c>
      <c r="M317" s="37">
        <v>0</v>
      </c>
      <c r="N317" s="38">
        <f t="shared" si="5"/>
        <v>0</v>
      </c>
      <c r="O317" s="35" t="s">
        <v>29</v>
      </c>
      <c r="P317" s="35" t="s">
        <v>30</v>
      </c>
      <c r="Q317" s="36">
        <v>46048</v>
      </c>
      <c r="R317" s="35" t="s">
        <v>31</v>
      </c>
      <c r="S317" s="35"/>
      <c r="T317" s="35"/>
    </row>
    <row r="318" spans="1:20" ht="15.6" x14ac:dyDescent="0.3">
      <c r="A318" s="35" t="s">
        <v>19</v>
      </c>
      <c r="B318" s="35" t="s">
        <v>417</v>
      </c>
      <c r="C318" s="35" t="s">
        <v>418</v>
      </c>
      <c r="D318" s="35" t="s">
        <v>416</v>
      </c>
      <c r="E318" s="35" t="s">
        <v>35</v>
      </c>
      <c r="F318" s="35" t="s">
        <v>48</v>
      </c>
      <c r="G318" s="35" t="s">
        <v>421</v>
      </c>
      <c r="H318" s="35" t="s">
        <v>56</v>
      </c>
      <c r="I318" s="35" t="s">
        <v>27</v>
      </c>
      <c r="J318" s="35">
        <v>467</v>
      </c>
      <c r="K318" s="35" t="s">
        <v>276</v>
      </c>
      <c r="L318" s="35">
        <v>1</v>
      </c>
      <c r="M318" s="37">
        <v>0</v>
      </c>
      <c r="N318" s="38">
        <f t="shared" si="5"/>
        <v>0</v>
      </c>
      <c r="O318" s="35" t="s">
        <v>29</v>
      </c>
      <c r="P318" s="35" t="s">
        <v>30</v>
      </c>
      <c r="Q318" s="36">
        <v>46048</v>
      </c>
      <c r="R318" s="35" t="s">
        <v>31</v>
      </c>
      <c r="S318" s="35"/>
      <c r="T318" s="35"/>
    </row>
    <row r="319" spans="1:20" ht="15.6" x14ac:dyDescent="0.3">
      <c r="A319" s="35" t="s">
        <v>19</v>
      </c>
      <c r="B319" s="35" t="s">
        <v>422</v>
      </c>
      <c r="C319" s="35" t="s">
        <v>423</v>
      </c>
      <c r="D319" s="35" t="s">
        <v>416</v>
      </c>
      <c r="E319" s="41" t="s">
        <v>23</v>
      </c>
      <c r="F319" s="35" t="s">
        <v>24</v>
      </c>
      <c r="G319" s="35" t="s">
        <v>424</v>
      </c>
      <c r="H319" s="35" t="s">
        <v>26</v>
      </c>
      <c r="I319" s="35" t="s">
        <v>27</v>
      </c>
      <c r="J319" s="35">
        <v>468</v>
      </c>
      <c r="K319" s="35" t="s">
        <v>123</v>
      </c>
      <c r="L319" s="35">
        <v>380</v>
      </c>
      <c r="M319" s="37">
        <v>0</v>
      </c>
      <c r="N319" s="38">
        <f t="shared" si="5"/>
        <v>0</v>
      </c>
      <c r="O319" s="35" t="s">
        <v>29</v>
      </c>
      <c r="P319" s="35" t="s">
        <v>30</v>
      </c>
      <c r="Q319" s="36">
        <v>46172</v>
      </c>
      <c r="R319" s="35" t="s">
        <v>31</v>
      </c>
      <c r="S319" s="35"/>
      <c r="T319" s="35"/>
    </row>
    <row r="320" spans="1:20" ht="15.6" x14ac:dyDescent="0.3">
      <c r="A320" s="35" t="s">
        <v>19</v>
      </c>
      <c r="B320" s="35" t="s">
        <v>422</v>
      </c>
      <c r="C320" s="35" t="s">
        <v>423</v>
      </c>
      <c r="D320" s="35" t="s">
        <v>416</v>
      </c>
      <c r="E320" s="41" t="s">
        <v>23</v>
      </c>
      <c r="F320" s="35" t="s">
        <v>24</v>
      </c>
      <c r="G320" s="35" t="s">
        <v>321</v>
      </c>
      <c r="H320" s="35" t="s">
        <v>26</v>
      </c>
      <c r="I320" s="35" t="s">
        <v>27</v>
      </c>
      <c r="J320" s="35">
        <v>468</v>
      </c>
      <c r="K320" s="35" t="s">
        <v>123</v>
      </c>
      <c r="L320" s="35">
        <v>100</v>
      </c>
      <c r="M320" s="37">
        <v>0</v>
      </c>
      <c r="N320" s="38">
        <f t="shared" si="5"/>
        <v>0</v>
      </c>
      <c r="O320" s="35" t="s">
        <v>29</v>
      </c>
      <c r="P320" s="35" t="s">
        <v>30</v>
      </c>
      <c r="Q320" s="36">
        <v>46172</v>
      </c>
      <c r="R320" s="35" t="s">
        <v>31</v>
      </c>
      <c r="S320" s="35"/>
      <c r="T320" s="35"/>
    </row>
    <row r="321" spans="1:20" ht="15.6" x14ac:dyDescent="0.3">
      <c r="A321" s="35" t="s">
        <v>19</v>
      </c>
      <c r="B321" s="35" t="s">
        <v>422</v>
      </c>
      <c r="C321" s="35" t="s">
        <v>423</v>
      </c>
      <c r="D321" s="35" t="s">
        <v>416</v>
      </c>
      <c r="E321" s="41" t="s">
        <v>23</v>
      </c>
      <c r="F321" s="35" t="s">
        <v>24</v>
      </c>
      <c r="G321" s="35" t="s">
        <v>424</v>
      </c>
      <c r="H321" s="35" t="s">
        <v>26</v>
      </c>
      <c r="I321" s="35" t="s">
        <v>27</v>
      </c>
      <c r="J321" s="35">
        <v>469</v>
      </c>
      <c r="K321" s="35" t="s">
        <v>123</v>
      </c>
      <c r="L321" s="35">
        <v>380</v>
      </c>
      <c r="M321" s="37">
        <v>1102000</v>
      </c>
      <c r="N321" s="38">
        <f t="shared" si="5"/>
        <v>2900</v>
      </c>
      <c r="O321" s="35" t="s">
        <v>29</v>
      </c>
      <c r="P321" s="35" t="s">
        <v>30</v>
      </c>
      <c r="Q321" s="36">
        <v>46172</v>
      </c>
      <c r="R321" s="35" t="s">
        <v>31</v>
      </c>
      <c r="S321" s="35"/>
      <c r="T321" s="35"/>
    </row>
    <row r="322" spans="1:20" ht="15.6" x14ac:dyDescent="0.3">
      <c r="A322" s="35" t="s">
        <v>19</v>
      </c>
      <c r="B322" s="35" t="s">
        <v>422</v>
      </c>
      <c r="C322" s="35" t="s">
        <v>423</v>
      </c>
      <c r="D322" s="35" t="s">
        <v>416</v>
      </c>
      <c r="E322" s="41" t="s">
        <v>23</v>
      </c>
      <c r="F322" s="35" t="s">
        <v>24</v>
      </c>
      <c r="G322" s="35" t="s">
        <v>321</v>
      </c>
      <c r="H322" s="35" t="s">
        <v>26</v>
      </c>
      <c r="I322" s="35" t="s">
        <v>27</v>
      </c>
      <c r="J322" s="35">
        <v>469</v>
      </c>
      <c r="K322" s="35" t="s">
        <v>123</v>
      </c>
      <c r="L322" s="35">
        <v>100</v>
      </c>
      <c r="M322" s="37">
        <v>1050000</v>
      </c>
      <c r="N322" s="38">
        <f t="shared" si="5"/>
        <v>10500</v>
      </c>
      <c r="O322" s="35" t="s">
        <v>29</v>
      </c>
      <c r="P322" s="35" t="s">
        <v>30</v>
      </c>
      <c r="Q322" s="36">
        <v>46172</v>
      </c>
      <c r="R322" s="35" t="s">
        <v>31</v>
      </c>
      <c r="S322" s="35"/>
      <c r="T322" s="35"/>
    </row>
    <row r="323" spans="1:20" ht="15.6" x14ac:dyDescent="0.3">
      <c r="A323" s="35" t="s">
        <v>19</v>
      </c>
      <c r="B323" s="35" t="s">
        <v>141</v>
      </c>
      <c r="C323" s="35" t="s">
        <v>142</v>
      </c>
      <c r="D323" s="35" t="s">
        <v>416</v>
      </c>
      <c r="E323" s="35" t="s">
        <v>47</v>
      </c>
      <c r="F323" s="35" t="s">
        <v>54</v>
      </c>
      <c r="G323" s="35" t="s">
        <v>296</v>
      </c>
      <c r="H323" s="35" t="s">
        <v>56</v>
      </c>
      <c r="I323" s="35" t="s">
        <v>27</v>
      </c>
      <c r="J323" s="35">
        <v>470</v>
      </c>
      <c r="K323" s="35" t="s">
        <v>123</v>
      </c>
      <c r="L323" s="35">
        <v>10</v>
      </c>
      <c r="M323" s="37">
        <v>87071</v>
      </c>
      <c r="N323" s="38">
        <f t="shared" si="5"/>
        <v>8707.1</v>
      </c>
      <c r="O323" s="35" t="s">
        <v>29</v>
      </c>
      <c r="P323" s="35" t="s">
        <v>30</v>
      </c>
      <c r="Q323" s="36">
        <v>46079</v>
      </c>
      <c r="R323" s="35" t="s">
        <v>31</v>
      </c>
      <c r="S323" s="35"/>
      <c r="T323" s="35"/>
    </row>
    <row r="324" spans="1:20" ht="15.6" x14ac:dyDescent="0.3">
      <c r="A324" s="35" t="s">
        <v>19</v>
      </c>
      <c r="B324" s="35" t="s">
        <v>141</v>
      </c>
      <c r="C324" s="35" t="s">
        <v>142</v>
      </c>
      <c r="D324" s="35" t="s">
        <v>416</v>
      </c>
      <c r="E324" s="35" t="s">
        <v>47</v>
      </c>
      <c r="F324" s="35" t="s">
        <v>54</v>
      </c>
      <c r="G324" s="35" t="s">
        <v>242</v>
      </c>
      <c r="H324" s="35" t="s">
        <v>56</v>
      </c>
      <c r="I324" s="35" t="s">
        <v>27</v>
      </c>
      <c r="J324" s="35">
        <v>470</v>
      </c>
      <c r="K324" s="35" t="s">
        <v>123</v>
      </c>
      <c r="L324" s="35">
        <v>20</v>
      </c>
      <c r="M324" s="37">
        <v>174142</v>
      </c>
      <c r="N324" s="38">
        <f t="shared" si="5"/>
        <v>8707.1</v>
      </c>
      <c r="O324" s="35" t="s">
        <v>29</v>
      </c>
      <c r="P324" s="35" t="s">
        <v>30</v>
      </c>
      <c r="Q324" s="36">
        <v>46079</v>
      </c>
      <c r="R324" s="35" t="s">
        <v>31</v>
      </c>
      <c r="S324" s="35"/>
      <c r="T324" s="35"/>
    </row>
    <row r="325" spans="1:20" ht="15.6" x14ac:dyDescent="0.3">
      <c r="A325" s="35" t="s">
        <v>19</v>
      </c>
      <c r="B325" s="35" t="s">
        <v>141</v>
      </c>
      <c r="C325" s="35" t="s">
        <v>142</v>
      </c>
      <c r="D325" s="35" t="s">
        <v>416</v>
      </c>
      <c r="E325" s="35" t="s">
        <v>47</v>
      </c>
      <c r="F325" s="35" t="s">
        <v>54</v>
      </c>
      <c r="G325" s="35" t="s">
        <v>285</v>
      </c>
      <c r="H325" s="35" t="s">
        <v>56</v>
      </c>
      <c r="I325" s="35" t="s">
        <v>27</v>
      </c>
      <c r="J325" s="35">
        <v>470</v>
      </c>
      <c r="K325" s="35" t="s">
        <v>123</v>
      </c>
      <c r="L325" s="35">
        <v>5</v>
      </c>
      <c r="M325" s="37">
        <v>47889</v>
      </c>
      <c r="N325" s="38">
        <f t="shared" si="5"/>
        <v>9577.7999999999993</v>
      </c>
      <c r="O325" s="35" t="s">
        <v>29</v>
      </c>
      <c r="P325" s="35" t="s">
        <v>30</v>
      </c>
      <c r="Q325" s="36">
        <v>46079</v>
      </c>
      <c r="R325" s="35" t="s">
        <v>31</v>
      </c>
      <c r="S325" s="35"/>
      <c r="T325" s="35"/>
    </row>
    <row r="326" spans="1:20" ht="15.6" x14ac:dyDescent="0.3">
      <c r="A326" s="35" t="s">
        <v>19</v>
      </c>
      <c r="B326" s="35" t="s">
        <v>141</v>
      </c>
      <c r="C326" s="35" t="s">
        <v>142</v>
      </c>
      <c r="D326" s="35" t="s">
        <v>416</v>
      </c>
      <c r="E326" s="35" t="s">
        <v>47</v>
      </c>
      <c r="F326" s="35" t="s">
        <v>54</v>
      </c>
      <c r="G326" s="35" t="s">
        <v>289</v>
      </c>
      <c r="H326" s="35" t="s">
        <v>56</v>
      </c>
      <c r="I326" s="35" t="s">
        <v>27</v>
      </c>
      <c r="J326" s="35">
        <v>470</v>
      </c>
      <c r="K326" s="35" t="s">
        <v>123</v>
      </c>
      <c r="L326" s="35">
        <v>20</v>
      </c>
      <c r="M326" s="37">
        <v>87071</v>
      </c>
      <c r="N326" s="38">
        <f t="shared" si="5"/>
        <v>4353.55</v>
      </c>
      <c r="O326" s="35" t="s">
        <v>29</v>
      </c>
      <c r="P326" s="35" t="s">
        <v>30</v>
      </c>
      <c r="Q326" s="36">
        <v>46079</v>
      </c>
      <c r="R326" s="35" t="s">
        <v>31</v>
      </c>
      <c r="S326" s="35"/>
      <c r="T326" s="35"/>
    </row>
    <row r="327" spans="1:20" ht="15.6" x14ac:dyDescent="0.3">
      <c r="A327" s="35" t="s">
        <v>19</v>
      </c>
      <c r="B327" s="35" t="s">
        <v>141</v>
      </c>
      <c r="C327" s="35" t="s">
        <v>142</v>
      </c>
      <c r="D327" s="35" t="s">
        <v>416</v>
      </c>
      <c r="E327" s="35" t="s">
        <v>47</v>
      </c>
      <c r="F327" s="35" t="s">
        <v>54</v>
      </c>
      <c r="G327" s="35" t="s">
        <v>425</v>
      </c>
      <c r="H327" s="35" t="s">
        <v>56</v>
      </c>
      <c r="I327" s="35" t="s">
        <v>27</v>
      </c>
      <c r="J327" s="35">
        <v>470</v>
      </c>
      <c r="K327" s="35" t="s">
        <v>123</v>
      </c>
      <c r="L327" s="35">
        <v>20</v>
      </c>
      <c r="M327" s="37">
        <v>87071</v>
      </c>
      <c r="N327" s="38">
        <f t="shared" si="5"/>
        <v>4353.55</v>
      </c>
      <c r="O327" s="35" t="s">
        <v>29</v>
      </c>
      <c r="P327" s="35" t="s">
        <v>30</v>
      </c>
      <c r="Q327" s="36">
        <v>46079</v>
      </c>
      <c r="R327" s="35" t="s">
        <v>31</v>
      </c>
      <c r="S327" s="35"/>
      <c r="T327" s="35"/>
    </row>
    <row r="328" spans="1:20" ht="15.6" x14ac:dyDescent="0.3">
      <c r="A328" s="35" t="s">
        <v>19</v>
      </c>
      <c r="B328" s="35" t="s">
        <v>386</v>
      </c>
      <c r="C328" s="35" t="s">
        <v>387</v>
      </c>
      <c r="D328" s="35" t="s">
        <v>416</v>
      </c>
      <c r="E328" s="35" t="s">
        <v>47</v>
      </c>
      <c r="F328" s="35" t="s">
        <v>58</v>
      </c>
      <c r="G328" s="35" t="s">
        <v>388</v>
      </c>
      <c r="H328" s="35" t="s">
        <v>26</v>
      </c>
      <c r="I328" s="35" t="s">
        <v>27</v>
      </c>
      <c r="J328" s="35">
        <v>471</v>
      </c>
      <c r="K328" s="35" t="s">
        <v>123</v>
      </c>
      <c r="L328" s="35">
        <v>20</v>
      </c>
      <c r="M328" s="37">
        <v>114400</v>
      </c>
      <c r="N328" s="38">
        <f t="shared" si="5"/>
        <v>5720</v>
      </c>
      <c r="O328" s="35" t="s">
        <v>29</v>
      </c>
      <c r="P328" s="35" t="s">
        <v>30</v>
      </c>
      <c r="Q328" s="36">
        <v>46048</v>
      </c>
      <c r="R328" s="35" t="s">
        <v>31</v>
      </c>
      <c r="S328" s="35"/>
      <c r="T328" s="35"/>
    </row>
    <row r="329" spans="1:20" ht="15.6" x14ac:dyDescent="0.3">
      <c r="A329" s="35" t="s">
        <v>19</v>
      </c>
      <c r="B329" s="35" t="s">
        <v>386</v>
      </c>
      <c r="C329" s="35" t="s">
        <v>387</v>
      </c>
      <c r="D329" s="35" t="s">
        <v>416</v>
      </c>
      <c r="E329" s="35" t="s">
        <v>47</v>
      </c>
      <c r="F329" s="35" t="s">
        <v>58</v>
      </c>
      <c r="G329" s="35" t="s">
        <v>242</v>
      </c>
      <c r="H329" s="35" t="s">
        <v>26</v>
      </c>
      <c r="I329" s="35" t="s">
        <v>27</v>
      </c>
      <c r="J329" s="35">
        <v>471</v>
      </c>
      <c r="K329" s="35" t="s">
        <v>123</v>
      </c>
      <c r="L329" s="35">
        <v>20</v>
      </c>
      <c r="M329" s="37">
        <v>149600</v>
      </c>
      <c r="N329" s="38">
        <f t="shared" si="5"/>
        <v>7480</v>
      </c>
      <c r="O329" s="35" t="s">
        <v>29</v>
      </c>
      <c r="P329" s="35" t="s">
        <v>30</v>
      </c>
      <c r="Q329" s="36">
        <v>46048</v>
      </c>
      <c r="R329" s="35" t="s">
        <v>31</v>
      </c>
      <c r="S329" s="35"/>
      <c r="T329" s="35"/>
    </row>
    <row r="330" spans="1:20" ht="15.6" x14ac:dyDescent="0.3">
      <c r="A330" s="35" t="s">
        <v>19</v>
      </c>
      <c r="B330" s="35" t="s">
        <v>386</v>
      </c>
      <c r="C330" s="35" t="s">
        <v>387</v>
      </c>
      <c r="D330" s="35" t="s">
        <v>416</v>
      </c>
      <c r="E330" s="35" t="s">
        <v>47</v>
      </c>
      <c r="F330" s="35" t="s">
        <v>58</v>
      </c>
      <c r="G330" s="35" t="s">
        <v>251</v>
      </c>
      <c r="H330" s="35" t="s">
        <v>26</v>
      </c>
      <c r="I330" s="35" t="s">
        <v>27</v>
      </c>
      <c r="J330" s="35">
        <v>471</v>
      </c>
      <c r="K330" s="35" t="s">
        <v>123</v>
      </c>
      <c r="L330" s="35">
        <v>20</v>
      </c>
      <c r="M330" s="37">
        <v>88000</v>
      </c>
      <c r="N330" s="38">
        <f t="shared" si="5"/>
        <v>4400</v>
      </c>
      <c r="O330" s="35" t="s">
        <v>29</v>
      </c>
      <c r="P330" s="35" t="s">
        <v>30</v>
      </c>
      <c r="Q330" s="36">
        <v>46048</v>
      </c>
      <c r="R330" s="35" t="s">
        <v>31</v>
      </c>
      <c r="S330" s="35"/>
      <c r="T330" s="35"/>
    </row>
    <row r="331" spans="1:20" ht="15.6" x14ac:dyDescent="0.3">
      <c r="A331" s="35" t="s">
        <v>19</v>
      </c>
      <c r="B331" s="35" t="s">
        <v>386</v>
      </c>
      <c r="C331" s="35" t="s">
        <v>387</v>
      </c>
      <c r="D331" s="35" t="s">
        <v>416</v>
      </c>
      <c r="E331" s="35" t="s">
        <v>47</v>
      </c>
      <c r="F331" s="35" t="s">
        <v>58</v>
      </c>
      <c r="G331" s="35" t="s">
        <v>253</v>
      </c>
      <c r="H331" s="35" t="s">
        <v>26</v>
      </c>
      <c r="I331" s="35" t="s">
        <v>27</v>
      </c>
      <c r="J331" s="35">
        <v>471</v>
      </c>
      <c r="K331" s="35" t="s">
        <v>123</v>
      </c>
      <c r="L331" s="35">
        <v>20</v>
      </c>
      <c r="M331" s="37">
        <v>126600</v>
      </c>
      <c r="N331" s="38">
        <f t="shared" si="5"/>
        <v>6330</v>
      </c>
      <c r="O331" s="35" t="s">
        <v>29</v>
      </c>
      <c r="P331" s="35" t="s">
        <v>30</v>
      </c>
      <c r="Q331" s="36">
        <v>46048</v>
      </c>
      <c r="R331" s="35" t="s">
        <v>31</v>
      </c>
      <c r="S331" s="35"/>
      <c r="T331" s="35"/>
    </row>
    <row r="332" spans="1:20" ht="15.6" x14ac:dyDescent="0.3">
      <c r="A332" s="35" t="s">
        <v>19</v>
      </c>
      <c r="B332" s="35" t="s">
        <v>426</v>
      </c>
      <c r="C332" s="35" t="s">
        <v>427</v>
      </c>
      <c r="D332" s="35" t="s">
        <v>416</v>
      </c>
      <c r="E332" s="41" t="s">
        <v>23</v>
      </c>
      <c r="F332" s="35" t="s">
        <v>24</v>
      </c>
      <c r="G332" s="35" t="s">
        <v>244</v>
      </c>
      <c r="H332" s="35" t="s">
        <v>26</v>
      </c>
      <c r="I332" s="35" t="s">
        <v>27</v>
      </c>
      <c r="J332" s="35">
        <v>472</v>
      </c>
      <c r="K332" s="35" t="s">
        <v>123</v>
      </c>
      <c r="L332" s="35">
        <v>140</v>
      </c>
      <c r="M332" s="37">
        <v>1050000</v>
      </c>
      <c r="N332" s="38">
        <f t="shared" si="5"/>
        <v>7500</v>
      </c>
      <c r="O332" s="35" t="s">
        <v>29</v>
      </c>
      <c r="P332" s="35" t="s">
        <v>30</v>
      </c>
      <c r="Q332" s="36">
        <v>46108</v>
      </c>
      <c r="R332" s="35" t="s">
        <v>31</v>
      </c>
      <c r="S332" s="35"/>
      <c r="T332" s="35"/>
    </row>
    <row r="333" spans="1:20" ht="15.6" x14ac:dyDescent="0.3">
      <c r="A333" s="35" t="s">
        <v>19</v>
      </c>
      <c r="B333" s="35" t="s">
        <v>426</v>
      </c>
      <c r="C333" s="35" t="s">
        <v>427</v>
      </c>
      <c r="D333" s="35" t="s">
        <v>416</v>
      </c>
      <c r="E333" s="41" t="s">
        <v>23</v>
      </c>
      <c r="F333" s="35" t="s">
        <v>24</v>
      </c>
      <c r="G333" s="35" t="s">
        <v>327</v>
      </c>
      <c r="H333" s="35" t="s">
        <v>26</v>
      </c>
      <c r="I333" s="35" t="s">
        <v>27</v>
      </c>
      <c r="J333" s="35">
        <v>472</v>
      </c>
      <c r="K333" s="35" t="s">
        <v>123</v>
      </c>
      <c r="L333" s="35">
        <v>5</v>
      </c>
      <c r="M333" s="37">
        <v>37500</v>
      </c>
      <c r="N333" s="38">
        <f t="shared" ref="N333:N395" si="6">M333/L333</f>
        <v>7500</v>
      </c>
      <c r="O333" s="35" t="s">
        <v>29</v>
      </c>
      <c r="P333" s="35" t="s">
        <v>30</v>
      </c>
      <c r="Q333" s="36">
        <v>46108</v>
      </c>
      <c r="R333" s="35" t="s">
        <v>31</v>
      </c>
      <c r="S333" s="35"/>
      <c r="T333" s="35"/>
    </row>
    <row r="334" spans="1:20" ht="15.6" x14ac:dyDescent="0.3">
      <c r="A334" s="35" t="s">
        <v>19</v>
      </c>
      <c r="B334" s="35" t="s">
        <v>426</v>
      </c>
      <c r="C334" s="35" t="s">
        <v>427</v>
      </c>
      <c r="D334" s="35" t="s">
        <v>416</v>
      </c>
      <c r="E334" s="41" t="s">
        <v>23</v>
      </c>
      <c r="F334" s="35" t="s">
        <v>24</v>
      </c>
      <c r="G334" s="35" t="s">
        <v>428</v>
      </c>
      <c r="H334" s="35" t="s">
        <v>26</v>
      </c>
      <c r="I334" s="35" t="s">
        <v>27</v>
      </c>
      <c r="J334" s="35">
        <v>472</v>
      </c>
      <c r="K334" s="35" t="s">
        <v>123</v>
      </c>
      <c r="L334" s="35">
        <v>1</v>
      </c>
      <c r="M334" s="37">
        <v>7500</v>
      </c>
      <c r="N334" s="38">
        <f t="shared" si="6"/>
        <v>7500</v>
      </c>
      <c r="O334" s="35" t="s">
        <v>29</v>
      </c>
      <c r="P334" s="35" t="s">
        <v>30</v>
      </c>
      <c r="Q334" s="36">
        <v>46108</v>
      </c>
      <c r="R334" s="35" t="s">
        <v>31</v>
      </c>
      <c r="S334" s="35"/>
      <c r="T334" s="35"/>
    </row>
    <row r="335" spans="1:20" ht="15.6" x14ac:dyDescent="0.3">
      <c r="A335" s="35" t="s">
        <v>19</v>
      </c>
      <c r="B335" s="35" t="s">
        <v>429</v>
      </c>
      <c r="C335" s="35" t="s">
        <v>430</v>
      </c>
      <c r="D335" s="35" t="s">
        <v>416</v>
      </c>
      <c r="E335" s="35" t="s">
        <v>47</v>
      </c>
      <c r="F335" s="35" t="s">
        <v>24</v>
      </c>
      <c r="G335" s="35" t="s">
        <v>244</v>
      </c>
      <c r="H335" s="35" t="s">
        <v>26</v>
      </c>
      <c r="I335" s="35" t="s">
        <v>64</v>
      </c>
      <c r="J335" s="35">
        <v>172</v>
      </c>
      <c r="K335" s="35" t="s">
        <v>123</v>
      </c>
      <c r="L335" s="35">
        <v>20</v>
      </c>
      <c r="M335" s="37">
        <v>150000</v>
      </c>
      <c r="N335" s="38">
        <f t="shared" si="6"/>
        <v>7500</v>
      </c>
      <c r="O335" s="35" t="s">
        <v>29</v>
      </c>
      <c r="P335" s="35" t="s">
        <v>30</v>
      </c>
      <c r="Q335" s="36">
        <v>46168</v>
      </c>
      <c r="R335" s="35" t="s">
        <v>31</v>
      </c>
      <c r="S335" s="35"/>
      <c r="T335" s="35"/>
    </row>
    <row r="336" spans="1:20" ht="15.6" x14ac:dyDescent="0.3">
      <c r="A336" s="35" t="s">
        <v>19</v>
      </c>
      <c r="B336" s="35" t="s">
        <v>429</v>
      </c>
      <c r="C336" s="35" t="s">
        <v>430</v>
      </c>
      <c r="D336" s="35" t="s">
        <v>416</v>
      </c>
      <c r="E336" s="35" t="s">
        <v>47</v>
      </c>
      <c r="F336" s="35" t="s">
        <v>24</v>
      </c>
      <c r="G336" s="35" t="s">
        <v>327</v>
      </c>
      <c r="H336" s="35" t="s">
        <v>26</v>
      </c>
      <c r="I336" s="35" t="s">
        <v>64</v>
      </c>
      <c r="J336" s="35">
        <v>172</v>
      </c>
      <c r="K336" s="35" t="s">
        <v>123</v>
      </c>
      <c r="L336" s="35">
        <v>10</v>
      </c>
      <c r="M336" s="37">
        <v>75000</v>
      </c>
      <c r="N336" s="38">
        <f t="shared" si="6"/>
        <v>7500</v>
      </c>
      <c r="O336" s="35" t="s">
        <v>29</v>
      </c>
      <c r="P336" s="35" t="s">
        <v>30</v>
      </c>
      <c r="Q336" s="36">
        <v>46168</v>
      </c>
      <c r="R336" s="35" t="s">
        <v>31</v>
      </c>
      <c r="S336" s="35"/>
      <c r="T336" s="35"/>
    </row>
    <row r="337" spans="1:20" ht="15.6" x14ac:dyDescent="0.3">
      <c r="A337" s="35" t="s">
        <v>19</v>
      </c>
      <c r="B337" s="35" t="s">
        <v>138</v>
      </c>
      <c r="C337" s="35" t="s">
        <v>139</v>
      </c>
      <c r="D337" s="35" t="s">
        <v>416</v>
      </c>
      <c r="E337" s="35" t="s">
        <v>47</v>
      </c>
      <c r="F337" s="35" t="s">
        <v>58</v>
      </c>
      <c r="G337" s="35" t="s">
        <v>289</v>
      </c>
      <c r="H337" s="35" t="s">
        <v>26</v>
      </c>
      <c r="I337" s="35" t="s">
        <v>64</v>
      </c>
      <c r="J337" s="35">
        <v>173</v>
      </c>
      <c r="K337" s="35" t="s">
        <v>123</v>
      </c>
      <c r="L337" s="35">
        <v>60</v>
      </c>
      <c r="M337" s="37">
        <v>199800</v>
      </c>
      <c r="N337" s="38">
        <f t="shared" si="6"/>
        <v>3330</v>
      </c>
      <c r="O337" s="35" t="s">
        <v>29</v>
      </c>
      <c r="P337" s="35" t="s">
        <v>30</v>
      </c>
      <c r="Q337" s="36">
        <v>46163</v>
      </c>
      <c r="R337" s="35" t="s">
        <v>31</v>
      </c>
      <c r="S337" s="35"/>
      <c r="T337" s="35"/>
    </row>
    <row r="338" spans="1:20" ht="15.6" x14ac:dyDescent="0.3">
      <c r="A338" s="35" t="s">
        <v>19</v>
      </c>
      <c r="B338" s="35" t="s">
        <v>431</v>
      </c>
      <c r="C338" s="35" t="s">
        <v>432</v>
      </c>
      <c r="D338" s="35" t="s">
        <v>416</v>
      </c>
      <c r="E338" s="35" t="s">
        <v>47</v>
      </c>
      <c r="F338" s="35" t="s">
        <v>58</v>
      </c>
      <c r="G338" s="35" t="s">
        <v>244</v>
      </c>
      <c r="H338" s="35" t="s">
        <v>56</v>
      </c>
      <c r="I338" s="35" t="s">
        <v>64</v>
      </c>
      <c r="J338" s="35">
        <v>174</v>
      </c>
      <c r="K338" s="35" t="s">
        <v>123</v>
      </c>
      <c r="L338" s="35">
        <v>20</v>
      </c>
      <c r="M338" s="37">
        <v>139314</v>
      </c>
      <c r="N338" s="38">
        <f t="shared" si="6"/>
        <v>6965.7</v>
      </c>
      <c r="O338" s="35" t="s">
        <v>29</v>
      </c>
      <c r="P338" s="35" t="s">
        <v>30</v>
      </c>
      <c r="Q338" s="36">
        <v>46108</v>
      </c>
      <c r="R338" s="35" t="s">
        <v>31</v>
      </c>
      <c r="S338" s="35"/>
      <c r="T338" s="35"/>
    </row>
    <row r="339" spans="1:20" ht="15.6" x14ac:dyDescent="0.3">
      <c r="A339" s="35" t="s">
        <v>19</v>
      </c>
      <c r="B339" s="35" t="s">
        <v>431</v>
      </c>
      <c r="C339" s="35" t="s">
        <v>432</v>
      </c>
      <c r="D339" s="35" t="s">
        <v>433</v>
      </c>
      <c r="E339" s="35" t="s">
        <v>47</v>
      </c>
      <c r="F339" s="35" t="s">
        <v>58</v>
      </c>
      <c r="G339" s="35" t="s">
        <v>327</v>
      </c>
      <c r="H339" s="35" t="s">
        <v>26</v>
      </c>
      <c r="I339" s="35" t="s">
        <v>27</v>
      </c>
      <c r="J339" s="35">
        <v>473</v>
      </c>
      <c r="K339" s="35" t="s">
        <v>123</v>
      </c>
      <c r="L339" s="35">
        <v>10</v>
      </c>
      <c r="M339" s="37">
        <v>69040</v>
      </c>
      <c r="N339" s="38">
        <f t="shared" si="6"/>
        <v>6904</v>
      </c>
      <c r="O339" s="35" t="s">
        <v>29</v>
      </c>
      <c r="P339" s="35" t="s">
        <v>30</v>
      </c>
      <c r="Q339" s="36">
        <v>46106</v>
      </c>
      <c r="R339" s="35" t="s">
        <v>31</v>
      </c>
      <c r="S339" s="35"/>
      <c r="T339" s="35"/>
    </row>
    <row r="340" spans="1:20" ht="15.6" x14ac:dyDescent="0.3">
      <c r="A340" s="35" t="s">
        <v>19</v>
      </c>
      <c r="B340" s="35" t="s">
        <v>104</v>
      </c>
      <c r="C340" s="35" t="s">
        <v>105</v>
      </c>
      <c r="D340" s="35" t="s">
        <v>433</v>
      </c>
      <c r="E340" s="35" t="s">
        <v>47</v>
      </c>
      <c r="F340" s="35" t="s">
        <v>58</v>
      </c>
      <c r="G340" s="35" t="s">
        <v>293</v>
      </c>
      <c r="H340" s="35" t="s">
        <v>26</v>
      </c>
      <c r="I340" s="35" t="s">
        <v>27</v>
      </c>
      <c r="J340" s="35">
        <v>474</v>
      </c>
      <c r="K340" s="35" t="s">
        <v>123</v>
      </c>
      <c r="L340" s="35">
        <v>5</v>
      </c>
      <c r="M340" s="37">
        <v>43000</v>
      </c>
      <c r="N340" s="38">
        <f t="shared" si="6"/>
        <v>8600</v>
      </c>
      <c r="O340" s="35" t="s">
        <v>29</v>
      </c>
      <c r="P340" s="35" t="s">
        <v>30</v>
      </c>
      <c r="Q340" s="36">
        <v>46135</v>
      </c>
      <c r="R340" s="35" t="s">
        <v>31</v>
      </c>
      <c r="S340" s="35"/>
      <c r="T340" s="35"/>
    </row>
    <row r="341" spans="1:20" ht="15.6" x14ac:dyDescent="0.3">
      <c r="A341" s="35" t="s">
        <v>19</v>
      </c>
      <c r="B341" s="35" t="s">
        <v>334</v>
      </c>
      <c r="C341" s="35" t="s">
        <v>335</v>
      </c>
      <c r="D341" s="35" t="s">
        <v>433</v>
      </c>
      <c r="E341" s="35" t="s">
        <v>47</v>
      </c>
      <c r="F341" s="35" t="s">
        <v>58</v>
      </c>
      <c r="G341" s="35" t="s">
        <v>309</v>
      </c>
      <c r="H341" s="35" t="s">
        <v>56</v>
      </c>
      <c r="I341" s="35" t="s">
        <v>27</v>
      </c>
      <c r="J341" s="35">
        <v>475</v>
      </c>
      <c r="K341" s="35" t="s">
        <v>123</v>
      </c>
      <c r="L341" s="35">
        <v>11</v>
      </c>
      <c r="M341" s="37">
        <v>57079</v>
      </c>
      <c r="N341" s="38">
        <f t="shared" si="6"/>
        <v>5189</v>
      </c>
      <c r="O341" s="35" t="s">
        <v>29</v>
      </c>
      <c r="P341" s="35" t="s">
        <v>30</v>
      </c>
      <c r="Q341" s="36">
        <v>46138</v>
      </c>
      <c r="R341" s="35" t="s">
        <v>31</v>
      </c>
      <c r="S341" s="35"/>
      <c r="T341" s="35"/>
    </row>
    <row r="342" spans="1:20" ht="15.6" x14ac:dyDescent="0.3">
      <c r="A342" s="35" t="s">
        <v>19</v>
      </c>
      <c r="B342" s="35" t="s">
        <v>334</v>
      </c>
      <c r="C342" s="35" t="s">
        <v>335</v>
      </c>
      <c r="D342" s="35" t="s">
        <v>433</v>
      </c>
      <c r="E342" s="35" t="s">
        <v>47</v>
      </c>
      <c r="F342" s="35" t="s">
        <v>58</v>
      </c>
      <c r="G342" s="35" t="s">
        <v>308</v>
      </c>
      <c r="H342" s="35" t="s">
        <v>56</v>
      </c>
      <c r="I342" s="35" t="s">
        <v>27</v>
      </c>
      <c r="J342" s="35">
        <v>475</v>
      </c>
      <c r="K342" s="35" t="s">
        <v>123</v>
      </c>
      <c r="L342" s="35">
        <v>25</v>
      </c>
      <c r="M342" s="37">
        <v>97275</v>
      </c>
      <c r="N342" s="38">
        <f t="shared" si="6"/>
        <v>3891</v>
      </c>
      <c r="O342" s="35" t="s">
        <v>29</v>
      </c>
      <c r="P342" s="35" t="s">
        <v>30</v>
      </c>
      <c r="Q342" s="36">
        <v>46138</v>
      </c>
      <c r="R342" s="35" t="s">
        <v>31</v>
      </c>
      <c r="S342" s="35"/>
      <c r="T342" s="35"/>
    </row>
    <row r="343" spans="1:20" ht="15.6" x14ac:dyDescent="0.3">
      <c r="A343" s="35" t="s">
        <v>19</v>
      </c>
      <c r="B343" s="35" t="s">
        <v>334</v>
      </c>
      <c r="C343" s="35" t="s">
        <v>335</v>
      </c>
      <c r="D343" s="35" t="s">
        <v>433</v>
      </c>
      <c r="E343" s="35" t="s">
        <v>47</v>
      </c>
      <c r="F343" s="35" t="s">
        <v>58</v>
      </c>
      <c r="G343" s="35" t="s">
        <v>310</v>
      </c>
      <c r="H343" s="35" t="s">
        <v>56</v>
      </c>
      <c r="I343" s="35" t="s">
        <v>27</v>
      </c>
      <c r="J343" s="35">
        <v>475</v>
      </c>
      <c r="K343" s="35" t="s">
        <v>123</v>
      </c>
      <c r="L343" s="35">
        <v>7</v>
      </c>
      <c r="M343" s="37">
        <v>36323</v>
      </c>
      <c r="N343" s="38">
        <f t="shared" si="6"/>
        <v>5189</v>
      </c>
      <c r="O343" s="35" t="s">
        <v>29</v>
      </c>
      <c r="P343" s="35" t="s">
        <v>30</v>
      </c>
      <c r="Q343" s="36">
        <v>46138</v>
      </c>
      <c r="R343" s="35" t="s">
        <v>31</v>
      </c>
      <c r="S343" s="35"/>
      <c r="T343" s="35"/>
    </row>
    <row r="344" spans="1:20" ht="15.6" x14ac:dyDescent="0.3">
      <c r="A344" s="35" t="s">
        <v>19</v>
      </c>
      <c r="B344" s="35" t="s">
        <v>334</v>
      </c>
      <c r="C344" s="35" t="s">
        <v>335</v>
      </c>
      <c r="D344" s="35" t="s">
        <v>433</v>
      </c>
      <c r="E344" s="35" t="s">
        <v>47</v>
      </c>
      <c r="F344" s="35" t="s">
        <v>58</v>
      </c>
      <c r="G344" s="35" t="s">
        <v>434</v>
      </c>
      <c r="H344" s="35" t="s">
        <v>56</v>
      </c>
      <c r="I344" s="35" t="s">
        <v>27</v>
      </c>
      <c r="J344" s="35">
        <v>475</v>
      </c>
      <c r="K344" s="35" t="s">
        <v>123</v>
      </c>
      <c r="L344" s="35">
        <v>5</v>
      </c>
      <c r="M344" s="37">
        <v>25945</v>
      </c>
      <c r="N344" s="38">
        <f t="shared" si="6"/>
        <v>5189</v>
      </c>
      <c r="O344" s="35" t="s">
        <v>29</v>
      </c>
      <c r="P344" s="35" t="s">
        <v>30</v>
      </c>
      <c r="Q344" s="36">
        <v>46138</v>
      </c>
      <c r="R344" s="35" t="s">
        <v>31</v>
      </c>
      <c r="S344" s="35"/>
      <c r="T344" s="35"/>
    </row>
    <row r="345" spans="1:20" ht="15.6" x14ac:dyDescent="0.3">
      <c r="A345" s="35" t="s">
        <v>19</v>
      </c>
      <c r="B345" s="35" t="s">
        <v>334</v>
      </c>
      <c r="C345" s="35" t="s">
        <v>335</v>
      </c>
      <c r="D345" s="35" t="s">
        <v>433</v>
      </c>
      <c r="E345" s="35" t="s">
        <v>47</v>
      </c>
      <c r="F345" s="35" t="s">
        <v>58</v>
      </c>
      <c r="G345" s="35" t="s">
        <v>435</v>
      </c>
      <c r="H345" s="35" t="s">
        <v>56</v>
      </c>
      <c r="I345" s="35" t="s">
        <v>27</v>
      </c>
      <c r="J345" s="35">
        <v>475</v>
      </c>
      <c r="K345" s="35" t="s">
        <v>123</v>
      </c>
      <c r="L345" s="35">
        <v>10</v>
      </c>
      <c r="M345" s="37">
        <v>38910</v>
      </c>
      <c r="N345" s="38">
        <f t="shared" si="6"/>
        <v>3891</v>
      </c>
      <c r="O345" s="35" t="s">
        <v>29</v>
      </c>
      <c r="P345" s="35" t="s">
        <v>30</v>
      </c>
      <c r="Q345" s="36">
        <v>46138</v>
      </c>
      <c r="R345" s="35" t="s">
        <v>31</v>
      </c>
      <c r="S345" s="35"/>
      <c r="T345" s="35"/>
    </row>
    <row r="346" spans="1:20" ht="15.6" x14ac:dyDescent="0.3">
      <c r="A346" s="35" t="s">
        <v>19</v>
      </c>
      <c r="B346" s="35" t="s">
        <v>334</v>
      </c>
      <c r="C346" s="35" t="s">
        <v>335</v>
      </c>
      <c r="D346" s="35" t="s">
        <v>433</v>
      </c>
      <c r="E346" s="35" t="s">
        <v>47</v>
      </c>
      <c r="F346" s="35" t="s">
        <v>58</v>
      </c>
      <c r="G346" s="35" t="s">
        <v>436</v>
      </c>
      <c r="H346" s="35" t="s">
        <v>56</v>
      </c>
      <c r="I346" s="35" t="s">
        <v>27</v>
      </c>
      <c r="J346" s="35">
        <v>475</v>
      </c>
      <c r="K346" s="35" t="s">
        <v>123</v>
      </c>
      <c r="L346" s="35">
        <v>5</v>
      </c>
      <c r="M346" s="37">
        <v>28535</v>
      </c>
      <c r="N346" s="38">
        <f t="shared" si="6"/>
        <v>5707</v>
      </c>
      <c r="O346" s="35" t="s">
        <v>29</v>
      </c>
      <c r="P346" s="35" t="s">
        <v>30</v>
      </c>
      <c r="Q346" s="36">
        <v>46138</v>
      </c>
      <c r="R346" s="35" t="s">
        <v>31</v>
      </c>
      <c r="S346" s="35"/>
      <c r="T346" s="35"/>
    </row>
    <row r="347" spans="1:20" ht="15.6" x14ac:dyDescent="0.3">
      <c r="A347" s="35" t="s">
        <v>19</v>
      </c>
      <c r="B347" s="35" t="s">
        <v>334</v>
      </c>
      <c r="C347" s="35" t="s">
        <v>335</v>
      </c>
      <c r="D347" s="35" t="s">
        <v>433</v>
      </c>
      <c r="E347" s="35" t="s">
        <v>47</v>
      </c>
      <c r="F347" s="35" t="s">
        <v>58</v>
      </c>
      <c r="G347" s="35" t="s">
        <v>437</v>
      </c>
      <c r="H347" s="35" t="s">
        <v>56</v>
      </c>
      <c r="I347" s="35" t="s">
        <v>27</v>
      </c>
      <c r="J347" s="35">
        <v>475</v>
      </c>
      <c r="K347" s="35" t="s">
        <v>123</v>
      </c>
      <c r="L347" s="35">
        <v>10</v>
      </c>
      <c r="M347" s="37">
        <v>69180</v>
      </c>
      <c r="N347" s="38">
        <f t="shared" si="6"/>
        <v>6918</v>
      </c>
      <c r="O347" s="35" t="s">
        <v>29</v>
      </c>
      <c r="P347" s="35" t="s">
        <v>30</v>
      </c>
      <c r="Q347" s="36">
        <v>46138</v>
      </c>
      <c r="R347" s="35" t="s">
        <v>31</v>
      </c>
      <c r="S347" s="35"/>
      <c r="T347" s="35"/>
    </row>
    <row r="348" spans="1:20" ht="15.6" x14ac:dyDescent="0.3">
      <c r="A348" s="35" t="s">
        <v>19</v>
      </c>
      <c r="B348" s="35" t="s">
        <v>334</v>
      </c>
      <c r="C348" s="35" t="s">
        <v>335</v>
      </c>
      <c r="D348" s="35" t="s">
        <v>433</v>
      </c>
      <c r="E348" s="35" t="s">
        <v>47</v>
      </c>
      <c r="F348" s="35" t="s">
        <v>58</v>
      </c>
      <c r="G348" s="35" t="s">
        <v>438</v>
      </c>
      <c r="H348" s="35" t="s">
        <v>56</v>
      </c>
      <c r="I348" s="35" t="s">
        <v>27</v>
      </c>
      <c r="J348" s="35">
        <v>475</v>
      </c>
      <c r="K348" s="35" t="s">
        <v>123</v>
      </c>
      <c r="L348" s="35">
        <v>5</v>
      </c>
      <c r="M348" s="37">
        <v>25945</v>
      </c>
      <c r="N348" s="38">
        <f t="shared" si="6"/>
        <v>5189</v>
      </c>
      <c r="O348" s="35" t="s">
        <v>29</v>
      </c>
      <c r="P348" s="35" t="s">
        <v>30</v>
      </c>
      <c r="Q348" s="36">
        <v>46138</v>
      </c>
      <c r="R348" s="35" t="s">
        <v>31</v>
      </c>
      <c r="S348" s="35"/>
      <c r="T348" s="35"/>
    </row>
    <row r="349" spans="1:20" ht="15.6" x14ac:dyDescent="0.3">
      <c r="A349" s="35" t="s">
        <v>19</v>
      </c>
      <c r="B349" s="35" t="s">
        <v>439</v>
      </c>
      <c r="C349" s="35" t="s">
        <v>440</v>
      </c>
      <c r="D349" s="35" t="s">
        <v>433</v>
      </c>
      <c r="E349" s="35" t="s">
        <v>47</v>
      </c>
      <c r="F349" s="35" t="s">
        <v>24</v>
      </c>
      <c r="G349" s="35" t="s">
        <v>244</v>
      </c>
      <c r="H349" s="35" t="s">
        <v>26</v>
      </c>
      <c r="I349" s="35" t="s">
        <v>64</v>
      </c>
      <c r="J349" s="35">
        <v>177</v>
      </c>
      <c r="K349" s="35" t="s">
        <v>123</v>
      </c>
      <c r="L349" s="35">
        <v>300</v>
      </c>
      <c r="M349" s="37">
        <v>2130000</v>
      </c>
      <c r="N349" s="38">
        <f t="shared" si="6"/>
        <v>7100</v>
      </c>
      <c r="O349" s="35" t="s">
        <v>29</v>
      </c>
      <c r="P349" s="35" t="s">
        <v>30</v>
      </c>
      <c r="Q349" s="36">
        <v>46142</v>
      </c>
      <c r="R349" s="35" t="s">
        <v>31</v>
      </c>
      <c r="S349" s="35"/>
      <c r="T349" s="35"/>
    </row>
    <row r="350" spans="1:20" ht="15.6" x14ac:dyDescent="0.3">
      <c r="A350" s="35" t="s">
        <v>19</v>
      </c>
      <c r="B350" s="35" t="s">
        <v>67</v>
      </c>
      <c r="C350" s="35" t="s">
        <v>68</v>
      </c>
      <c r="D350" s="35" t="s">
        <v>433</v>
      </c>
      <c r="E350" s="35" t="s">
        <v>47</v>
      </c>
      <c r="F350" s="35" t="s">
        <v>24</v>
      </c>
      <c r="G350" s="35" t="s">
        <v>441</v>
      </c>
      <c r="H350" s="35" t="s">
        <v>26</v>
      </c>
      <c r="I350" s="35" t="s">
        <v>64</v>
      </c>
      <c r="J350" s="35">
        <v>178</v>
      </c>
      <c r="K350" s="35" t="s">
        <v>123</v>
      </c>
      <c r="L350" s="35">
        <v>1000</v>
      </c>
      <c r="M350" s="37">
        <v>2500000</v>
      </c>
      <c r="N350" s="38">
        <f t="shared" si="6"/>
        <v>2500</v>
      </c>
      <c r="O350" s="35" t="s">
        <v>29</v>
      </c>
      <c r="P350" s="35" t="s">
        <v>30</v>
      </c>
      <c r="Q350" s="36">
        <v>46172</v>
      </c>
      <c r="R350" s="35" t="s">
        <v>31</v>
      </c>
      <c r="S350" s="35"/>
      <c r="T350" s="35"/>
    </row>
    <row r="351" spans="1:20" ht="15.6" x14ac:dyDescent="0.3">
      <c r="A351" s="35" t="s">
        <v>19</v>
      </c>
      <c r="B351" s="35" t="s">
        <v>67</v>
      </c>
      <c r="C351" s="35" t="s">
        <v>68</v>
      </c>
      <c r="D351" s="35" t="s">
        <v>433</v>
      </c>
      <c r="E351" s="35" t="s">
        <v>47</v>
      </c>
      <c r="F351" s="35" t="s">
        <v>24</v>
      </c>
      <c r="G351" s="35" t="s">
        <v>442</v>
      </c>
      <c r="H351" s="35" t="s">
        <v>26</v>
      </c>
      <c r="I351" s="35" t="s">
        <v>64</v>
      </c>
      <c r="J351" s="35">
        <v>178</v>
      </c>
      <c r="K351" s="35" t="s">
        <v>123</v>
      </c>
      <c r="L351" s="35">
        <v>550</v>
      </c>
      <c r="M351" s="37">
        <v>1375000</v>
      </c>
      <c r="N351" s="38">
        <f t="shared" si="6"/>
        <v>2500</v>
      </c>
      <c r="O351" s="35" t="s">
        <v>29</v>
      </c>
      <c r="P351" s="35" t="s">
        <v>30</v>
      </c>
      <c r="Q351" s="36">
        <v>46172</v>
      </c>
      <c r="R351" s="35" t="s">
        <v>31</v>
      </c>
      <c r="S351" s="35"/>
      <c r="T351" s="35"/>
    </row>
    <row r="352" spans="1:20" ht="15.6" x14ac:dyDescent="0.3">
      <c r="A352" s="35" t="s">
        <v>19</v>
      </c>
      <c r="B352" s="35" t="s">
        <v>67</v>
      </c>
      <c r="C352" s="35" t="s">
        <v>68</v>
      </c>
      <c r="D352" s="35" t="s">
        <v>433</v>
      </c>
      <c r="E352" s="35" t="s">
        <v>47</v>
      </c>
      <c r="F352" s="35" t="s">
        <v>24</v>
      </c>
      <c r="G352" s="35" t="s">
        <v>443</v>
      </c>
      <c r="H352" s="35" t="s">
        <v>26</v>
      </c>
      <c r="I352" s="35" t="s">
        <v>64</v>
      </c>
      <c r="J352" s="35">
        <v>178</v>
      </c>
      <c r="K352" s="35" t="s">
        <v>123</v>
      </c>
      <c r="L352" s="35">
        <v>190</v>
      </c>
      <c r="M352" s="37">
        <v>1292000</v>
      </c>
      <c r="N352" s="38">
        <f t="shared" si="6"/>
        <v>6800</v>
      </c>
      <c r="O352" s="35" t="s">
        <v>29</v>
      </c>
      <c r="P352" s="35" t="s">
        <v>30</v>
      </c>
      <c r="Q352" s="36">
        <v>46172</v>
      </c>
      <c r="R352" s="35" t="s">
        <v>31</v>
      </c>
      <c r="S352" s="35"/>
      <c r="T352" s="35"/>
    </row>
    <row r="353" spans="1:20" ht="15.6" x14ac:dyDescent="0.3">
      <c r="A353" s="35" t="s">
        <v>19</v>
      </c>
      <c r="B353" s="35" t="s">
        <v>444</v>
      </c>
      <c r="C353" s="35" t="s">
        <v>445</v>
      </c>
      <c r="D353" s="35" t="s">
        <v>433</v>
      </c>
      <c r="E353" s="35" t="s">
        <v>47</v>
      </c>
      <c r="F353" s="35" t="s">
        <v>24</v>
      </c>
      <c r="G353" s="35" t="s">
        <v>441</v>
      </c>
      <c r="H353" s="35" t="s">
        <v>26</v>
      </c>
      <c r="I353" s="35" t="s">
        <v>64</v>
      </c>
      <c r="J353" s="35">
        <v>179</v>
      </c>
      <c r="K353" s="35" t="s">
        <v>123</v>
      </c>
      <c r="L353" s="35">
        <v>1000</v>
      </c>
      <c r="M353" s="37">
        <v>2500000</v>
      </c>
      <c r="N353" s="38">
        <f t="shared" si="6"/>
        <v>2500</v>
      </c>
      <c r="O353" s="35" t="s">
        <v>29</v>
      </c>
      <c r="P353" s="35" t="s">
        <v>30</v>
      </c>
      <c r="Q353" s="36">
        <v>46172</v>
      </c>
      <c r="R353" s="35" t="s">
        <v>31</v>
      </c>
      <c r="S353" s="35"/>
      <c r="T353" s="35"/>
    </row>
    <row r="354" spans="1:20" ht="15.6" x14ac:dyDescent="0.3">
      <c r="A354" s="35" t="s">
        <v>19</v>
      </c>
      <c r="B354" s="35" t="s">
        <v>444</v>
      </c>
      <c r="C354" s="35" t="s">
        <v>445</v>
      </c>
      <c r="D354" s="35" t="s">
        <v>433</v>
      </c>
      <c r="E354" s="35" t="s">
        <v>47</v>
      </c>
      <c r="F354" s="35" t="s">
        <v>24</v>
      </c>
      <c r="G354" s="35" t="s">
        <v>442</v>
      </c>
      <c r="H354" s="35" t="s">
        <v>26</v>
      </c>
      <c r="I354" s="35" t="s">
        <v>64</v>
      </c>
      <c r="J354" s="35">
        <v>179</v>
      </c>
      <c r="K354" s="35" t="s">
        <v>123</v>
      </c>
      <c r="L354" s="35">
        <v>150</v>
      </c>
      <c r="M354" s="37">
        <v>375000</v>
      </c>
      <c r="N354" s="38">
        <f t="shared" si="6"/>
        <v>2500</v>
      </c>
      <c r="O354" s="35" t="s">
        <v>29</v>
      </c>
      <c r="P354" s="35" t="s">
        <v>30</v>
      </c>
      <c r="Q354" s="36">
        <v>46172</v>
      </c>
      <c r="R354" s="35" t="s">
        <v>31</v>
      </c>
      <c r="S354" s="35"/>
      <c r="T354" s="35"/>
    </row>
    <row r="355" spans="1:20" ht="15.6" x14ac:dyDescent="0.3">
      <c r="A355" s="35" t="s">
        <v>19</v>
      </c>
      <c r="B355" s="35" t="s">
        <v>444</v>
      </c>
      <c r="C355" s="35" t="s">
        <v>445</v>
      </c>
      <c r="D355" s="35" t="s">
        <v>433</v>
      </c>
      <c r="E355" s="35" t="s">
        <v>47</v>
      </c>
      <c r="F355" s="35" t="s">
        <v>24</v>
      </c>
      <c r="G355" s="35" t="s">
        <v>443</v>
      </c>
      <c r="H355" s="35" t="s">
        <v>26</v>
      </c>
      <c r="I355" s="35" t="s">
        <v>64</v>
      </c>
      <c r="J355" s="35">
        <v>179</v>
      </c>
      <c r="K355" s="35" t="s">
        <v>123</v>
      </c>
      <c r="L355" s="35">
        <v>180</v>
      </c>
      <c r="M355" s="37">
        <v>1224000</v>
      </c>
      <c r="N355" s="38">
        <f t="shared" si="6"/>
        <v>6800</v>
      </c>
      <c r="O355" s="35" t="s">
        <v>29</v>
      </c>
      <c r="P355" s="35" t="s">
        <v>30</v>
      </c>
      <c r="Q355" s="36">
        <v>46172</v>
      </c>
      <c r="R355" s="35" t="s">
        <v>31</v>
      </c>
      <c r="S355" s="35"/>
      <c r="T355" s="35"/>
    </row>
    <row r="356" spans="1:20" ht="15.6" x14ac:dyDescent="0.3">
      <c r="A356" s="35" t="s">
        <v>19</v>
      </c>
      <c r="B356" s="35" t="s">
        <v>446</v>
      </c>
      <c r="C356" s="35" t="s">
        <v>447</v>
      </c>
      <c r="D356" s="35" t="s">
        <v>448</v>
      </c>
      <c r="E356" s="35" t="s">
        <v>47</v>
      </c>
      <c r="F356" s="35" t="s">
        <v>24</v>
      </c>
      <c r="G356" s="35" t="s">
        <v>244</v>
      </c>
      <c r="H356" s="35" t="s">
        <v>26</v>
      </c>
      <c r="I356" s="35" t="s">
        <v>27</v>
      </c>
      <c r="J356" s="35">
        <v>476</v>
      </c>
      <c r="K356" s="35" t="s">
        <v>123</v>
      </c>
      <c r="L356" s="35">
        <v>60</v>
      </c>
      <c r="M356" s="37">
        <v>450000</v>
      </c>
      <c r="N356" s="38">
        <f t="shared" si="6"/>
        <v>7500</v>
      </c>
      <c r="O356" s="35" t="s">
        <v>29</v>
      </c>
      <c r="P356" s="35" t="s">
        <v>30</v>
      </c>
      <c r="Q356" s="36">
        <v>46050</v>
      </c>
      <c r="R356" s="35" t="s">
        <v>31</v>
      </c>
      <c r="S356" s="35"/>
      <c r="T356" s="35"/>
    </row>
    <row r="357" spans="1:20" ht="15.6" x14ac:dyDescent="0.3">
      <c r="A357" s="35" t="s">
        <v>19</v>
      </c>
      <c r="B357" s="35" t="s">
        <v>347</v>
      </c>
      <c r="C357" s="35" t="s">
        <v>348</v>
      </c>
      <c r="D357" s="35" t="s">
        <v>449</v>
      </c>
      <c r="E357" s="35" t="s">
        <v>47</v>
      </c>
      <c r="F357" s="35" t="s">
        <v>58</v>
      </c>
      <c r="G357" s="35" t="s">
        <v>434</v>
      </c>
      <c r="H357" s="35" t="s">
        <v>56</v>
      </c>
      <c r="I357" s="35" t="s">
        <v>27</v>
      </c>
      <c r="J357" s="35">
        <v>477</v>
      </c>
      <c r="K357" s="35" t="s">
        <v>123</v>
      </c>
      <c r="L357" s="35">
        <v>2</v>
      </c>
      <c r="M357" s="37">
        <v>12450</v>
      </c>
      <c r="N357" s="38">
        <f t="shared" si="6"/>
        <v>6225</v>
      </c>
      <c r="O357" s="35" t="s">
        <v>29</v>
      </c>
      <c r="P357" s="35" t="s">
        <v>30</v>
      </c>
      <c r="Q357" s="36">
        <v>46203</v>
      </c>
      <c r="R357" s="35" t="s">
        <v>31</v>
      </c>
      <c r="S357" s="35"/>
      <c r="T357" s="35"/>
    </row>
    <row r="358" spans="1:20" ht="15.6" x14ac:dyDescent="0.3">
      <c r="A358" s="35" t="s">
        <v>19</v>
      </c>
      <c r="B358" s="35" t="s">
        <v>347</v>
      </c>
      <c r="C358" s="35" t="s">
        <v>348</v>
      </c>
      <c r="D358" s="35" t="s">
        <v>449</v>
      </c>
      <c r="E358" s="35" t="s">
        <v>47</v>
      </c>
      <c r="F358" s="35" t="s">
        <v>58</v>
      </c>
      <c r="G358" s="35" t="s">
        <v>309</v>
      </c>
      <c r="H358" s="35" t="s">
        <v>56</v>
      </c>
      <c r="I358" s="35" t="s">
        <v>27</v>
      </c>
      <c r="J358" s="35">
        <v>477</v>
      </c>
      <c r="K358" s="35" t="s">
        <v>123</v>
      </c>
      <c r="L358" s="35">
        <v>2</v>
      </c>
      <c r="M358" s="37">
        <v>12450</v>
      </c>
      <c r="N358" s="38">
        <f t="shared" si="6"/>
        <v>6225</v>
      </c>
      <c r="O358" s="35" t="s">
        <v>29</v>
      </c>
      <c r="P358" s="35" t="s">
        <v>30</v>
      </c>
      <c r="Q358" s="36">
        <v>46203</v>
      </c>
      <c r="R358" s="35" t="s">
        <v>31</v>
      </c>
      <c r="S358" s="35"/>
      <c r="T358" s="35"/>
    </row>
    <row r="359" spans="1:20" ht="15.6" x14ac:dyDescent="0.3">
      <c r="A359" s="35" t="s">
        <v>19</v>
      </c>
      <c r="B359" s="35" t="s">
        <v>347</v>
      </c>
      <c r="C359" s="35" t="s">
        <v>348</v>
      </c>
      <c r="D359" s="35" t="s">
        <v>449</v>
      </c>
      <c r="E359" s="35" t="s">
        <v>47</v>
      </c>
      <c r="F359" s="35" t="s">
        <v>58</v>
      </c>
      <c r="G359" s="35" t="s">
        <v>308</v>
      </c>
      <c r="H359" s="35" t="s">
        <v>56</v>
      </c>
      <c r="I359" s="35" t="s">
        <v>27</v>
      </c>
      <c r="J359" s="35">
        <v>477</v>
      </c>
      <c r="K359" s="35" t="s">
        <v>123</v>
      </c>
      <c r="L359" s="35">
        <v>5</v>
      </c>
      <c r="M359" s="37">
        <v>23625</v>
      </c>
      <c r="N359" s="38">
        <f t="shared" si="6"/>
        <v>4725</v>
      </c>
      <c r="O359" s="35" t="s">
        <v>29</v>
      </c>
      <c r="P359" s="35" t="s">
        <v>30</v>
      </c>
      <c r="Q359" s="36">
        <v>46203</v>
      </c>
      <c r="R359" s="35" t="s">
        <v>31</v>
      </c>
      <c r="S359" s="35"/>
      <c r="T359" s="35"/>
    </row>
    <row r="360" spans="1:20" ht="15.6" x14ac:dyDescent="0.3">
      <c r="A360" s="35" t="s">
        <v>19</v>
      </c>
      <c r="B360" s="35" t="s">
        <v>347</v>
      </c>
      <c r="C360" s="35" t="s">
        <v>348</v>
      </c>
      <c r="D360" s="35" t="s">
        <v>449</v>
      </c>
      <c r="E360" s="35" t="s">
        <v>47</v>
      </c>
      <c r="F360" s="35" t="s">
        <v>58</v>
      </c>
      <c r="G360" s="35" t="s">
        <v>295</v>
      </c>
      <c r="H360" s="35" t="s">
        <v>56</v>
      </c>
      <c r="I360" s="35" t="s">
        <v>27</v>
      </c>
      <c r="J360" s="35">
        <v>477</v>
      </c>
      <c r="K360" s="35" t="s">
        <v>123</v>
      </c>
      <c r="L360" s="35">
        <v>10</v>
      </c>
      <c r="M360" s="37">
        <v>47250</v>
      </c>
      <c r="N360" s="38">
        <f t="shared" si="6"/>
        <v>4725</v>
      </c>
      <c r="O360" s="35" t="s">
        <v>29</v>
      </c>
      <c r="P360" s="35" t="s">
        <v>30</v>
      </c>
      <c r="Q360" s="36">
        <v>46203</v>
      </c>
      <c r="R360" s="35" t="s">
        <v>31</v>
      </c>
      <c r="S360" s="35"/>
      <c r="T360" s="35"/>
    </row>
    <row r="361" spans="1:20" ht="15.6" x14ac:dyDescent="0.3">
      <c r="A361" s="35" t="s">
        <v>19</v>
      </c>
      <c r="B361" s="35" t="s">
        <v>347</v>
      </c>
      <c r="C361" s="35" t="s">
        <v>348</v>
      </c>
      <c r="D361" s="35" t="s">
        <v>449</v>
      </c>
      <c r="E361" s="35" t="s">
        <v>47</v>
      </c>
      <c r="F361" s="35" t="s">
        <v>58</v>
      </c>
      <c r="G361" s="35" t="s">
        <v>450</v>
      </c>
      <c r="H361" s="35" t="s">
        <v>56</v>
      </c>
      <c r="I361" s="35" t="s">
        <v>27</v>
      </c>
      <c r="J361" s="35">
        <v>477</v>
      </c>
      <c r="K361" s="35" t="s">
        <v>123</v>
      </c>
      <c r="L361" s="35">
        <v>3</v>
      </c>
      <c r="M361" s="37">
        <v>20640</v>
      </c>
      <c r="N361" s="38">
        <f t="shared" si="6"/>
        <v>6880</v>
      </c>
      <c r="O361" s="35" t="s">
        <v>29</v>
      </c>
      <c r="P361" s="35" t="s">
        <v>30</v>
      </c>
      <c r="Q361" s="36">
        <v>46203</v>
      </c>
      <c r="R361" s="35" t="s">
        <v>31</v>
      </c>
      <c r="S361" s="35"/>
      <c r="T361" s="35"/>
    </row>
    <row r="362" spans="1:20" ht="15.6" x14ac:dyDescent="0.3">
      <c r="A362" s="35" t="s">
        <v>19</v>
      </c>
      <c r="B362" s="35" t="s">
        <v>347</v>
      </c>
      <c r="C362" s="35" t="s">
        <v>348</v>
      </c>
      <c r="D362" s="35" t="s">
        <v>449</v>
      </c>
      <c r="E362" s="35" t="s">
        <v>47</v>
      </c>
      <c r="F362" s="35" t="s">
        <v>58</v>
      </c>
      <c r="G362" s="35" t="s">
        <v>451</v>
      </c>
      <c r="H362" s="35" t="s">
        <v>56</v>
      </c>
      <c r="I362" s="35" t="s">
        <v>27</v>
      </c>
      <c r="J362" s="35">
        <v>477</v>
      </c>
      <c r="K362" s="35" t="s">
        <v>123</v>
      </c>
      <c r="L362" s="35">
        <v>10</v>
      </c>
      <c r="M362" s="37">
        <v>50400</v>
      </c>
      <c r="N362" s="38">
        <f t="shared" si="6"/>
        <v>5040</v>
      </c>
      <c r="O362" s="35" t="s">
        <v>29</v>
      </c>
      <c r="P362" s="35" t="s">
        <v>30</v>
      </c>
      <c r="Q362" s="36">
        <v>46203</v>
      </c>
      <c r="R362" s="35" t="s">
        <v>31</v>
      </c>
      <c r="S362" s="35"/>
      <c r="T362" s="35"/>
    </row>
    <row r="363" spans="1:20" ht="15.6" x14ac:dyDescent="0.3">
      <c r="A363" s="35" t="s">
        <v>19</v>
      </c>
      <c r="B363" s="35" t="s">
        <v>347</v>
      </c>
      <c r="C363" s="35" t="s">
        <v>348</v>
      </c>
      <c r="D363" s="35" t="s">
        <v>449</v>
      </c>
      <c r="E363" s="35" t="s">
        <v>47</v>
      </c>
      <c r="F363" s="35" t="s">
        <v>58</v>
      </c>
      <c r="G363" s="35" t="s">
        <v>437</v>
      </c>
      <c r="H363" s="35" t="s">
        <v>56</v>
      </c>
      <c r="I363" s="35" t="s">
        <v>27</v>
      </c>
      <c r="J363" s="35">
        <v>477</v>
      </c>
      <c r="K363" s="35" t="s">
        <v>123</v>
      </c>
      <c r="L363" s="35">
        <v>6</v>
      </c>
      <c r="M363" s="37">
        <v>58500</v>
      </c>
      <c r="N363" s="38">
        <f t="shared" si="6"/>
        <v>9750</v>
      </c>
      <c r="O363" s="35" t="s">
        <v>29</v>
      </c>
      <c r="P363" s="35" t="s">
        <v>30</v>
      </c>
      <c r="Q363" s="36">
        <v>46203</v>
      </c>
      <c r="R363" s="35" t="s">
        <v>31</v>
      </c>
      <c r="S363" s="35"/>
      <c r="T363" s="35"/>
    </row>
    <row r="364" spans="1:20" ht="15.6" x14ac:dyDescent="0.3">
      <c r="A364" s="35" t="s">
        <v>19</v>
      </c>
      <c r="B364" s="35" t="s">
        <v>347</v>
      </c>
      <c r="C364" s="35" t="s">
        <v>348</v>
      </c>
      <c r="D364" s="35" t="s">
        <v>449</v>
      </c>
      <c r="E364" s="35" t="s">
        <v>47</v>
      </c>
      <c r="F364" s="35" t="s">
        <v>58</v>
      </c>
      <c r="G364" s="35" t="s">
        <v>438</v>
      </c>
      <c r="H364" s="35" t="s">
        <v>56</v>
      </c>
      <c r="I364" s="35" t="s">
        <v>27</v>
      </c>
      <c r="J364" s="35">
        <v>477</v>
      </c>
      <c r="K364" s="35" t="s">
        <v>123</v>
      </c>
      <c r="L364" s="35">
        <v>15</v>
      </c>
      <c r="M364" s="37">
        <v>101250</v>
      </c>
      <c r="N364" s="38">
        <f t="shared" si="6"/>
        <v>6750</v>
      </c>
      <c r="O364" s="35" t="s">
        <v>29</v>
      </c>
      <c r="P364" s="35" t="s">
        <v>30</v>
      </c>
      <c r="Q364" s="36">
        <v>46203</v>
      </c>
      <c r="R364" s="35" t="s">
        <v>31</v>
      </c>
      <c r="S364" s="35"/>
      <c r="T364" s="35"/>
    </row>
    <row r="365" spans="1:20" ht="15.6" x14ac:dyDescent="0.3">
      <c r="A365" s="35" t="s">
        <v>19</v>
      </c>
      <c r="B365" s="35" t="s">
        <v>347</v>
      </c>
      <c r="C365" s="35" t="s">
        <v>348</v>
      </c>
      <c r="D365" s="35" t="s">
        <v>449</v>
      </c>
      <c r="E365" s="35" t="s">
        <v>47</v>
      </c>
      <c r="F365" s="35" t="s">
        <v>58</v>
      </c>
      <c r="G365" s="35" t="s">
        <v>378</v>
      </c>
      <c r="H365" s="35" t="s">
        <v>56</v>
      </c>
      <c r="I365" s="35" t="s">
        <v>27</v>
      </c>
      <c r="J365" s="35">
        <v>477</v>
      </c>
      <c r="K365" s="35" t="s">
        <v>123</v>
      </c>
      <c r="L365" s="35">
        <v>4</v>
      </c>
      <c r="M365" s="37">
        <v>36600</v>
      </c>
      <c r="N365" s="38">
        <f t="shared" si="6"/>
        <v>9150</v>
      </c>
      <c r="O365" s="35" t="s">
        <v>29</v>
      </c>
      <c r="P365" s="35" t="s">
        <v>30</v>
      </c>
      <c r="Q365" s="36">
        <v>46203</v>
      </c>
      <c r="R365" s="35" t="s">
        <v>31</v>
      </c>
      <c r="S365" s="35"/>
      <c r="T365" s="35"/>
    </row>
    <row r="366" spans="1:20" ht="15.6" x14ac:dyDescent="0.3">
      <c r="A366" s="35" t="s">
        <v>19</v>
      </c>
      <c r="B366" s="35" t="s">
        <v>347</v>
      </c>
      <c r="C366" s="35" t="s">
        <v>348</v>
      </c>
      <c r="D366" s="35" t="s">
        <v>449</v>
      </c>
      <c r="E366" s="35" t="s">
        <v>47</v>
      </c>
      <c r="F366" s="35" t="s">
        <v>58</v>
      </c>
      <c r="G366" s="35" t="s">
        <v>296</v>
      </c>
      <c r="H366" s="35" t="s">
        <v>56</v>
      </c>
      <c r="I366" s="35" t="s">
        <v>27</v>
      </c>
      <c r="J366" s="35">
        <v>477</v>
      </c>
      <c r="K366" s="35" t="s">
        <v>123</v>
      </c>
      <c r="L366" s="35">
        <v>5</v>
      </c>
      <c r="M366" s="37">
        <v>43125</v>
      </c>
      <c r="N366" s="38">
        <f t="shared" si="6"/>
        <v>8625</v>
      </c>
      <c r="O366" s="35" t="s">
        <v>29</v>
      </c>
      <c r="P366" s="35" t="s">
        <v>30</v>
      </c>
      <c r="Q366" s="36">
        <v>46203</v>
      </c>
      <c r="R366" s="35" t="s">
        <v>31</v>
      </c>
      <c r="S366" s="35"/>
      <c r="T366" s="35"/>
    </row>
    <row r="367" spans="1:20" ht="15.6" x14ac:dyDescent="0.3">
      <c r="A367" s="35" t="s">
        <v>19</v>
      </c>
      <c r="B367" s="35" t="s">
        <v>347</v>
      </c>
      <c r="C367" s="35" t="s">
        <v>348</v>
      </c>
      <c r="D367" s="35" t="s">
        <v>449</v>
      </c>
      <c r="E367" s="35" t="s">
        <v>47</v>
      </c>
      <c r="F367" s="35" t="s">
        <v>58</v>
      </c>
      <c r="G367" s="35" t="s">
        <v>428</v>
      </c>
      <c r="H367" s="35" t="s">
        <v>56</v>
      </c>
      <c r="I367" s="35" t="s">
        <v>27</v>
      </c>
      <c r="J367" s="35">
        <v>477</v>
      </c>
      <c r="K367" s="35" t="s">
        <v>123</v>
      </c>
      <c r="L367" s="35">
        <v>1</v>
      </c>
      <c r="M367" s="37">
        <v>9375</v>
      </c>
      <c r="N367" s="38">
        <f t="shared" si="6"/>
        <v>9375</v>
      </c>
      <c r="O367" s="35" t="s">
        <v>29</v>
      </c>
      <c r="P367" s="35" t="s">
        <v>30</v>
      </c>
      <c r="Q367" s="36">
        <v>46203</v>
      </c>
      <c r="R367" s="35" t="s">
        <v>31</v>
      </c>
      <c r="S367" s="35"/>
      <c r="T367" s="35"/>
    </row>
    <row r="368" spans="1:20" ht="15.6" x14ac:dyDescent="0.3">
      <c r="A368" s="35" t="s">
        <v>19</v>
      </c>
      <c r="B368" s="35" t="s">
        <v>347</v>
      </c>
      <c r="C368" s="35" t="s">
        <v>348</v>
      </c>
      <c r="D368" s="35" t="s">
        <v>449</v>
      </c>
      <c r="E368" s="35" t="s">
        <v>47</v>
      </c>
      <c r="F368" s="35" t="s">
        <v>58</v>
      </c>
      <c r="G368" s="35" t="s">
        <v>327</v>
      </c>
      <c r="H368" s="35" t="s">
        <v>56</v>
      </c>
      <c r="I368" s="35" t="s">
        <v>27</v>
      </c>
      <c r="J368" s="35">
        <v>477</v>
      </c>
      <c r="K368" s="35" t="s">
        <v>123</v>
      </c>
      <c r="L368" s="35">
        <v>5</v>
      </c>
      <c r="M368" s="37">
        <v>43125</v>
      </c>
      <c r="N368" s="38">
        <f t="shared" si="6"/>
        <v>8625</v>
      </c>
      <c r="O368" s="35" t="s">
        <v>29</v>
      </c>
      <c r="P368" s="35" t="s">
        <v>30</v>
      </c>
      <c r="Q368" s="36">
        <v>46203</v>
      </c>
      <c r="R368" s="35" t="s">
        <v>31</v>
      </c>
      <c r="S368" s="35"/>
      <c r="T368" s="35"/>
    </row>
    <row r="369" spans="1:20" ht="15.6" x14ac:dyDescent="0.3">
      <c r="A369" s="35" t="s">
        <v>19</v>
      </c>
      <c r="B369" s="35" t="s">
        <v>347</v>
      </c>
      <c r="C369" s="35" t="s">
        <v>348</v>
      </c>
      <c r="D369" s="35" t="s">
        <v>449</v>
      </c>
      <c r="E369" s="35" t="s">
        <v>47</v>
      </c>
      <c r="F369" s="35" t="s">
        <v>58</v>
      </c>
      <c r="G369" s="35" t="s">
        <v>287</v>
      </c>
      <c r="H369" s="35" t="s">
        <v>56</v>
      </c>
      <c r="I369" s="35" t="s">
        <v>27</v>
      </c>
      <c r="J369" s="35">
        <v>477</v>
      </c>
      <c r="K369" s="35" t="s">
        <v>123</v>
      </c>
      <c r="L369" s="35">
        <v>2</v>
      </c>
      <c r="M369" s="37">
        <v>32850</v>
      </c>
      <c r="N369" s="38">
        <f t="shared" si="6"/>
        <v>16425</v>
      </c>
      <c r="O369" s="35" t="s">
        <v>29</v>
      </c>
      <c r="P369" s="35" t="s">
        <v>30</v>
      </c>
      <c r="Q369" s="36">
        <v>46203</v>
      </c>
      <c r="R369" s="35" t="s">
        <v>31</v>
      </c>
      <c r="S369" s="35"/>
      <c r="T369" s="35"/>
    </row>
    <row r="370" spans="1:20" ht="15.6" x14ac:dyDescent="0.3">
      <c r="A370" s="35" t="s">
        <v>19</v>
      </c>
      <c r="B370" s="35" t="s">
        <v>347</v>
      </c>
      <c r="C370" s="35" t="s">
        <v>348</v>
      </c>
      <c r="D370" s="35" t="s">
        <v>449</v>
      </c>
      <c r="E370" s="35" t="s">
        <v>47</v>
      </c>
      <c r="F370" s="35" t="s">
        <v>58</v>
      </c>
      <c r="G370" s="35" t="s">
        <v>408</v>
      </c>
      <c r="H370" s="35" t="s">
        <v>56</v>
      </c>
      <c r="I370" s="35" t="s">
        <v>27</v>
      </c>
      <c r="J370" s="35">
        <v>477</v>
      </c>
      <c r="K370" s="35" t="s">
        <v>123</v>
      </c>
      <c r="L370" s="35">
        <v>10</v>
      </c>
      <c r="M370" s="37">
        <v>141750</v>
      </c>
      <c r="N370" s="38">
        <f t="shared" si="6"/>
        <v>14175</v>
      </c>
      <c r="O370" s="35" t="s">
        <v>29</v>
      </c>
      <c r="P370" s="35" t="s">
        <v>30</v>
      </c>
      <c r="Q370" s="36">
        <v>46203</v>
      </c>
      <c r="R370" s="35" t="s">
        <v>31</v>
      </c>
      <c r="S370" s="35"/>
      <c r="T370" s="35"/>
    </row>
    <row r="371" spans="1:20" ht="15.6" x14ac:dyDescent="0.3">
      <c r="A371" s="35" t="s">
        <v>19</v>
      </c>
      <c r="B371" s="35" t="s">
        <v>347</v>
      </c>
      <c r="C371" s="35" t="s">
        <v>348</v>
      </c>
      <c r="D371" s="35" t="s">
        <v>449</v>
      </c>
      <c r="E371" s="35" t="s">
        <v>47</v>
      </c>
      <c r="F371" s="35" t="s">
        <v>58</v>
      </c>
      <c r="G371" s="35" t="s">
        <v>289</v>
      </c>
      <c r="H371" s="35" t="s">
        <v>56</v>
      </c>
      <c r="I371" s="35" t="s">
        <v>27</v>
      </c>
      <c r="J371" s="35">
        <v>477</v>
      </c>
      <c r="K371" s="35" t="s">
        <v>123</v>
      </c>
      <c r="L371" s="35">
        <v>140</v>
      </c>
      <c r="M371" s="37">
        <v>619500</v>
      </c>
      <c r="N371" s="38">
        <f t="shared" si="6"/>
        <v>4425</v>
      </c>
      <c r="O371" s="35" t="s">
        <v>29</v>
      </c>
      <c r="P371" s="35" t="s">
        <v>30</v>
      </c>
      <c r="Q371" s="36">
        <v>46203</v>
      </c>
      <c r="R371" s="35" t="s">
        <v>31</v>
      </c>
      <c r="S371" s="35"/>
      <c r="T371" s="35"/>
    </row>
    <row r="372" spans="1:20" ht="15.6" x14ac:dyDescent="0.3">
      <c r="A372" s="35" t="s">
        <v>19</v>
      </c>
      <c r="B372" s="35" t="s">
        <v>446</v>
      </c>
      <c r="C372" s="35" t="s">
        <v>447</v>
      </c>
      <c r="D372" s="35" t="s">
        <v>449</v>
      </c>
      <c r="E372" s="35" t="s">
        <v>47</v>
      </c>
      <c r="F372" s="35" t="s">
        <v>24</v>
      </c>
      <c r="G372" s="35" t="s">
        <v>244</v>
      </c>
      <c r="H372" s="35" t="s">
        <v>26</v>
      </c>
      <c r="I372" s="35" t="s">
        <v>27</v>
      </c>
      <c r="J372" s="35">
        <v>478</v>
      </c>
      <c r="K372" s="35" t="s">
        <v>123</v>
      </c>
      <c r="L372" s="35">
        <v>20</v>
      </c>
      <c r="M372" s="37">
        <v>150000</v>
      </c>
      <c r="N372" s="38">
        <f t="shared" si="6"/>
        <v>7500</v>
      </c>
      <c r="O372" s="35" t="s">
        <v>29</v>
      </c>
      <c r="P372" s="35" t="s">
        <v>30</v>
      </c>
      <c r="Q372" s="36">
        <v>46051</v>
      </c>
      <c r="R372" s="35" t="s">
        <v>31</v>
      </c>
      <c r="S372" s="35"/>
      <c r="T372" s="35"/>
    </row>
    <row r="373" spans="1:20" ht="15.6" x14ac:dyDescent="0.3">
      <c r="A373" s="35" t="s">
        <v>19</v>
      </c>
      <c r="B373" s="35" t="s">
        <v>108</v>
      </c>
      <c r="C373" s="35" t="s">
        <v>109</v>
      </c>
      <c r="D373" s="35" t="s">
        <v>449</v>
      </c>
      <c r="E373" s="35" t="s">
        <v>47</v>
      </c>
      <c r="F373" s="35" t="s">
        <v>58</v>
      </c>
      <c r="G373" s="35" t="s">
        <v>309</v>
      </c>
      <c r="H373" s="35" t="s">
        <v>56</v>
      </c>
      <c r="I373" s="35" t="s">
        <v>27</v>
      </c>
      <c r="J373" s="35">
        <v>479</v>
      </c>
      <c r="K373" s="35" t="s">
        <v>123</v>
      </c>
      <c r="L373" s="35">
        <v>24</v>
      </c>
      <c r="M373" s="37">
        <v>116400</v>
      </c>
      <c r="N373" s="38">
        <f t="shared" si="6"/>
        <v>4850</v>
      </c>
      <c r="O373" s="35" t="s">
        <v>29</v>
      </c>
      <c r="P373" s="35" t="s">
        <v>30</v>
      </c>
      <c r="Q373" s="36">
        <v>46142</v>
      </c>
      <c r="R373" s="35" t="s">
        <v>31</v>
      </c>
      <c r="S373" s="35"/>
      <c r="T373" s="35"/>
    </row>
    <row r="374" spans="1:20" ht="15.6" x14ac:dyDescent="0.3">
      <c r="A374" s="35" t="s">
        <v>19</v>
      </c>
      <c r="B374" s="35" t="s">
        <v>108</v>
      </c>
      <c r="C374" s="35" t="s">
        <v>109</v>
      </c>
      <c r="D374" s="35" t="s">
        <v>449</v>
      </c>
      <c r="E374" s="35" t="s">
        <v>47</v>
      </c>
      <c r="F374" s="35" t="s">
        <v>58</v>
      </c>
      <c r="G374" s="35" t="s">
        <v>452</v>
      </c>
      <c r="H374" s="35" t="s">
        <v>56</v>
      </c>
      <c r="I374" s="35" t="s">
        <v>27</v>
      </c>
      <c r="J374" s="35">
        <v>479</v>
      </c>
      <c r="K374" s="35" t="s">
        <v>123</v>
      </c>
      <c r="L374" s="35">
        <v>24</v>
      </c>
      <c r="M374" s="37">
        <v>135120</v>
      </c>
      <c r="N374" s="38">
        <f t="shared" si="6"/>
        <v>5630</v>
      </c>
      <c r="O374" s="35" t="s">
        <v>29</v>
      </c>
      <c r="P374" s="35" t="s">
        <v>30</v>
      </c>
      <c r="Q374" s="36">
        <v>46142</v>
      </c>
      <c r="R374" s="35" t="s">
        <v>31</v>
      </c>
      <c r="S374" s="35"/>
      <c r="T374" s="35"/>
    </row>
    <row r="375" spans="1:20" ht="15.6" x14ac:dyDescent="0.3">
      <c r="A375" s="35" t="s">
        <v>19</v>
      </c>
      <c r="B375" s="35" t="s">
        <v>108</v>
      </c>
      <c r="C375" s="35" t="s">
        <v>109</v>
      </c>
      <c r="D375" s="35" t="s">
        <v>449</v>
      </c>
      <c r="E375" s="35" t="s">
        <v>47</v>
      </c>
      <c r="F375" s="35" t="s">
        <v>58</v>
      </c>
      <c r="G375" s="35" t="s">
        <v>453</v>
      </c>
      <c r="H375" s="35" t="s">
        <v>56</v>
      </c>
      <c r="I375" s="35" t="s">
        <v>27</v>
      </c>
      <c r="J375" s="35">
        <v>479</v>
      </c>
      <c r="K375" s="35" t="s">
        <v>123</v>
      </c>
      <c r="L375" s="35">
        <v>12</v>
      </c>
      <c r="M375" s="37">
        <v>41568</v>
      </c>
      <c r="N375" s="38">
        <f t="shared" si="6"/>
        <v>3464</v>
      </c>
      <c r="O375" s="35" t="s">
        <v>29</v>
      </c>
      <c r="P375" s="35" t="s">
        <v>30</v>
      </c>
      <c r="Q375" s="36">
        <v>46142</v>
      </c>
      <c r="R375" s="35" t="s">
        <v>31</v>
      </c>
      <c r="S375" s="35"/>
      <c r="T375" s="35"/>
    </row>
    <row r="376" spans="1:20" ht="15.6" x14ac:dyDescent="0.3">
      <c r="A376" s="35" t="s">
        <v>19</v>
      </c>
      <c r="B376" s="35" t="s">
        <v>108</v>
      </c>
      <c r="C376" s="35" t="s">
        <v>109</v>
      </c>
      <c r="D376" s="35" t="s">
        <v>449</v>
      </c>
      <c r="E376" s="35" t="s">
        <v>47</v>
      </c>
      <c r="F376" s="35" t="s">
        <v>58</v>
      </c>
      <c r="G376" s="35" t="s">
        <v>454</v>
      </c>
      <c r="H376" s="35" t="s">
        <v>56</v>
      </c>
      <c r="I376" s="35" t="s">
        <v>27</v>
      </c>
      <c r="J376" s="35">
        <v>479</v>
      </c>
      <c r="K376" s="35" t="s">
        <v>123</v>
      </c>
      <c r="L376" s="35">
        <v>24</v>
      </c>
      <c r="M376" s="37">
        <v>123672</v>
      </c>
      <c r="N376" s="38">
        <f t="shared" si="6"/>
        <v>5153</v>
      </c>
      <c r="O376" s="35" t="s">
        <v>29</v>
      </c>
      <c r="P376" s="35" t="s">
        <v>30</v>
      </c>
      <c r="Q376" s="36">
        <v>46142</v>
      </c>
      <c r="R376" s="35" t="s">
        <v>31</v>
      </c>
      <c r="S376" s="35"/>
      <c r="T376" s="35"/>
    </row>
    <row r="377" spans="1:20" ht="15.6" x14ac:dyDescent="0.3">
      <c r="A377" s="35" t="s">
        <v>19</v>
      </c>
      <c r="B377" s="35" t="s">
        <v>108</v>
      </c>
      <c r="C377" s="35" t="s">
        <v>109</v>
      </c>
      <c r="D377" s="35" t="s">
        <v>449</v>
      </c>
      <c r="E377" s="35" t="s">
        <v>47</v>
      </c>
      <c r="F377" s="35" t="s">
        <v>58</v>
      </c>
      <c r="G377" s="35" t="s">
        <v>320</v>
      </c>
      <c r="H377" s="35" t="s">
        <v>56</v>
      </c>
      <c r="I377" s="35" t="s">
        <v>27</v>
      </c>
      <c r="J377" s="35">
        <v>480</v>
      </c>
      <c r="K377" s="35" t="s">
        <v>123</v>
      </c>
      <c r="L377" s="35">
        <v>10</v>
      </c>
      <c r="M377" s="37">
        <v>60550</v>
      </c>
      <c r="N377" s="38">
        <f t="shared" si="6"/>
        <v>6055</v>
      </c>
      <c r="O377" s="35" t="s">
        <v>29</v>
      </c>
      <c r="P377" s="35" t="s">
        <v>30</v>
      </c>
      <c r="Q377" s="36">
        <v>46111</v>
      </c>
      <c r="R377" s="35" t="s">
        <v>31</v>
      </c>
      <c r="S377" s="35"/>
      <c r="T377" s="35"/>
    </row>
    <row r="378" spans="1:20" ht="15.6" x14ac:dyDescent="0.3">
      <c r="A378" s="35" t="s">
        <v>19</v>
      </c>
      <c r="B378" s="35" t="s">
        <v>176</v>
      </c>
      <c r="C378" s="35" t="s">
        <v>177</v>
      </c>
      <c r="D378" s="35" t="s">
        <v>449</v>
      </c>
      <c r="E378" s="35" t="s">
        <v>40</v>
      </c>
      <c r="F378" s="35" t="s">
        <v>36</v>
      </c>
      <c r="G378" s="35" t="s">
        <v>382</v>
      </c>
      <c r="H378" s="35" t="s">
        <v>56</v>
      </c>
      <c r="I378" s="35" t="s">
        <v>27</v>
      </c>
      <c r="J378" s="35">
        <v>481</v>
      </c>
      <c r="K378" s="35" t="s">
        <v>123</v>
      </c>
      <c r="L378" s="35">
        <v>20</v>
      </c>
      <c r="M378" s="37">
        <v>0</v>
      </c>
      <c r="N378" s="38">
        <f t="shared" si="6"/>
        <v>0</v>
      </c>
      <c r="O378" s="35" t="s">
        <v>29</v>
      </c>
      <c r="P378" s="35" t="s">
        <v>30</v>
      </c>
      <c r="Q378" s="36">
        <v>46082</v>
      </c>
      <c r="R378" s="35" t="s">
        <v>31</v>
      </c>
      <c r="S378" s="35"/>
      <c r="T378" s="35"/>
    </row>
    <row r="379" spans="1:20" ht="15.6" x14ac:dyDescent="0.3">
      <c r="A379" s="35" t="s">
        <v>19</v>
      </c>
      <c r="B379" s="35" t="s">
        <v>176</v>
      </c>
      <c r="C379" s="35" t="s">
        <v>177</v>
      </c>
      <c r="D379" s="35" t="s">
        <v>449</v>
      </c>
      <c r="E379" s="35" t="s">
        <v>40</v>
      </c>
      <c r="F379" s="35" t="s">
        <v>36</v>
      </c>
      <c r="G379" s="35" t="s">
        <v>455</v>
      </c>
      <c r="H379" s="35" t="s">
        <v>56</v>
      </c>
      <c r="I379" s="35" t="s">
        <v>27</v>
      </c>
      <c r="J379" s="35">
        <v>481</v>
      </c>
      <c r="K379" s="35" t="s">
        <v>123</v>
      </c>
      <c r="L379" s="35">
        <v>10</v>
      </c>
      <c r="M379" s="37">
        <v>0</v>
      </c>
      <c r="N379" s="38">
        <f t="shared" si="6"/>
        <v>0</v>
      </c>
      <c r="O379" s="35" t="s">
        <v>29</v>
      </c>
      <c r="P379" s="35" t="s">
        <v>30</v>
      </c>
      <c r="Q379" s="36">
        <v>46082</v>
      </c>
      <c r="R379" s="35" t="s">
        <v>31</v>
      </c>
      <c r="S379" s="35"/>
      <c r="T379" s="35"/>
    </row>
    <row r="380" spans="1:20" ht="15.6" x14ac:dyDescent="0.3">
      <c r="A380" s="35" t="s">
        <v>19</v>
      </c>
      <c r="B380" s="35" t="s">
        <v>61</v>
      </c>
      <c r="C380" s="35" t="s">
        <v>62</v>
      </c>
      <c r="D380" s="35" t="s">
        <v>449</v>
      </c>
      <c r="E380" s="35" t="s">
        <v>53</v>
      </c>
      <c r="F380" s="35" t="s">
        <v>24</v>
      </c>
      <c r="G380" s="35" t="s">
        <v>242</v>
      </c>
      <c r="H380" s="35" t="s">
        <v>26</v>
      </c>
      <c r="I380" s="35" t="s">
        <v>64</v>
      </c>
      <c r="J380" s="35">
        <v>181</v>
      </c>
      <c r="K380" s="35" t="s">
        <v>123</v>
      </c>
      <c r="L380" s="35">
        <v>40</v>
      </c>
      <c r="M380" s="37">
        <v>424000</v>
      </c>
      <c r="N380" s="38">
        <f t="shared" si="6"/>
        <v>10600</v>
      </c>
      <c r="O380" s="35" t="s">
        <v>29</v>
      </c>
      <c r="P380" s="35" t="s">
        <v>30</v>
      </c>
      <c r="Q380" s="36">
        <v>46172</v>
      </c>
      <c r="R380" s="35" t="s">
        <v>31</v>
      </c>
      <c r="S380" s="35"/>
      <c r="T380" s="35"/>
    </row>
    <row r="381" spans="1:20" ht="15.6" x14ac:dyDescent="0.3">
      <c r="A381" s="35" t="s">
        <v>19</v>
      </c>
      <c r="B381" s="35" t="s">
        <v>61</v>
      </c>
      <c r="C381" s="35" t="s">
        <v>62</v>
      </c>
      <c r="D381" s="35" t="s">
        <v>449</v>
      </c>
      <c r="E381" s="35" t="s">
        <v>53</v>
      </c>
      <c r="F381" s="35" t="s">
        <v>24</v>
      </c>
      <c r="G381" s="35" t="s">
        <v>379</v>
      </c>
      <c r="H381" s="35" t="s">
        <v>26</v>
      </c>
      <c r="I381" s="35" t="s">
        <v>64</v>
      </c>
      <c r="J381" s="35">
        <v>181</v>
      </c>
      <c r="K381" s="35" t="s">
        <v>123</v>
      </c>
      <c r="L381" s="35">
        <v>80</v>
      </c>
      <c r="M381" s="37">
        <v>288000</v>
      </c>
      <c r="N381" s="38">
        <f t="shared" si="6"/>
        <v>3600</v>
      </c>
      <c r="O381" s="35" t="s">
        <v>29</v>
      </c>
      <c r="P381" s="35" t="s">
        <v>30</v>
      </c>
      <c r="Q381" s="36">
        <v>46172</v>
      </c>
      <c r="R381" s="35" t="s">
        <v>31</v>
      </c>
      <c r="S381" s="35"/>
      <c r="T381" s="35"/>
    </row>
    <row r="382" spans="1:20" ht="15.6" x14ac:dyDescent="0.3">
      <c r="A382" s="35" t="s">
        <v>19</v>
      </c>
      <c r="B382" s="35" t="s">
        <v>457</v>
      </c>
      <c r="C382" s="35" t="s">
        <v>458</v>
      </c>
      <c r="D382" s="35" t="s">
        <v>456</v>
      </c>
      <c r="E382" s="35" t="s">
        <v>35</v>
      </c>
      <c r="F382" s="35" t="s">
        <v>36</v>
      </c>
      <c r="G382" s="35" t="s">
        <v>441</v>
      </c>
      <c r="H382" s="35" t="s">
        <v>56</v>
      </c>
      <c r="I382" s="35" t="s">
        <v>64</v>
      </c>
      <c r="J382" s="35">
        <v>184</v>
      </c>
      <c r="K382" s="35" t="s">
        <v>123</v>
      </c>
      <c r="L382" s="35">
        <v>1000</v>
      </c>
      <c r="M382" s="37">
        <v>2000000</v>
      </c>
      <c r="N382" s="38">
        <f t="shared" si="6"/>
        <v>2000</v>
      </c>
      <c r="O382" s="35" t="s">
        <v>29</v>
      </c>
      <c r="P382" s="35" t="s">
        <v>30</v>
      </c>
      <c r="Q382" s="36">
        <v>46254</v>
      </c>
      <c r="R382" s="35" t="s">
        <v>31</v>
      </c>
      <c r="S382" s="35"/>
      <c r="T382" s="35"/>
    </row>
    <row r="383" spans="1:20" ht="15.6" x14ac:dyDescent="0.3">
      <c r="A383" s="35" t="s">
        <v>19</v>
      </c>
      <c r="B383" s="35" t="s">
        <v>459</v>
      </c>
      <c r="C383" s="35" t="s">
        <v>460</v>
      </c>
      <c r="D383" s="35" t="s">
        <v>456</v>
      </c>
      <c r="E383" s="35" t="s">
        <v>461</v>
      </c>
      <c r="F383" s="35" t="s">
        <v>54</v>
      </c>
      <c r="G383" s="35" t="s">
        <v>462</v>
      </c>
      <c r="H383" s="35" t="s">
        <v>26</v>
      </c>
      <c r="I383" s="35" t="s">
        <v>64</v>
      </c>
      <c r="J383" s="35">
        <v>185</v>
      </c>
      <c r="K383" s="35" t="s">
        <v>123</v>
      </c>
      <c r="L383" s="35">
        <v>5</v>
      </c>
      <c r="M383" s="37">
        <v>32625</v>
      </c>
      <c r="N383" s="38">
        <f t="shared" si="6"/>
        <v>6525</v>
      </c>
      <c r="O383" s="35" t="s">
        <v>29</v>
      </c>
      <c r="P383" s="35" t="s">
        <v>30</v>
      </c>
      <c r="Q383" s="36">
        <v>46172</v>
      </c>
      <c r="R383" s="35" t="s">
        <v>31</v>
      </c>
      <c r="S383" s="35"/>
      <c r="T383" s="35"/>
    </row>
    <row r="384" spans="1:20" ht="15.6" x14ac:dyDescent="0.3">
      <c r="A384" s="35" t="s">
        <v>19</v>
      </c>
      <c r="B384" s="35" t="s">
        <v>459</v>
      </c>
      <c r="C384" s="35" t="s">
        <v>460</v>
      </c>
      <c r="D384" s="35" t="s">
        <v>456</v>
      </c>
      <c r="E384" s="35" t="s">
        <v>35</v>
      </c>
      <c r="F384" s="35" t="s">
        <v>54</v>
      </c>
      <c r="G384" s="35" t="s">
        <v>275</v>
      </c>
      <c r="H384" s="35" t="s">
        <v>26</v>
      </c>
      <c r="I384" s="35" t="s">
        <v>64</v>
      </c>
      <c r="J384" s="35">
        <v>185</v>
      </c>
      <c r="K384" s="35" t="s">
        <v>276</v>
      </c>
      <c r="L384" s="35">
        <v>1</v>
      </c>
      <c r="M384" s="37">
        <v>28500</v>
      </c>
      <c r="N384" s="38">
        <f t="shared" si="6"/>
        <v>28500</v>
      </c>
      <c r="O384" s="35" t="s">
        <v>29</v>
      </c>
      <c r="P384" s="35" t="s">
        <v>30</v>
      </c>
      <c r="Q384" s="36">
        <v>46172</v>
      </c>
      <c r="R384" s="35" t="s">
        <v>31</v>
      </c>
      <c r="S384" s="35"/>
      <c r="T384" s="35"/>
    </row>
    <row r="385" spans="1:20" ht="15.6" x14ac:dyDescent="0.3">
      <c r="A385" s="35" t="s">
        <v>19</v>
      </c>
      <c r="B385" s="35" t="s">
        <v>459</v>
      </c>
      <c r="C385" s="35" t="s">
        <v>460</v>
      </c>
      <c r="D385" s="35" t="s">
        <v>456</v>
      </c>
      <c r="E385" s="35" t="s">
        <v>461</v>
      </c>
      <c r="F385" s="35" t="s">
        <v>54</v>
      </c>
      <c r="G385" s="35" t="s">
        <v>463</v>
      </c>
      <c r="H385" s="35" t="s">
        <v>26</v>
      </c>
      <c r="I385" s="35" t="s">
        <v>64</v>
      </c>
      <c r="J385" s="35">
        <v>185</v>
      </c>
      <c r="K385" s="35" t="s">
        <v>123</v>
      </c>
      <c r="L385" s="35">
        <v>5</v>
      </c>
      <c r="M385" s="37">
        <v>53625</v>
      </c>
      <c r="N385" s="38">
        <f t="shared" si="6"/>
        <v>10725</v>
      </c>
      <c r="O385" s="35" t="s">
        <v>29</v>
      </c>
      <c r="P385" s="35" t="s">
        <v>30</v>
      </c>
      <c r="Q385" s="36">
        <v>46172</v>
      </c>
      <c r="R385" s="35" t="s">
        <v>31</v>
      </c>
      <c r="S385" s="35"/>
      <c r="T385" s="35"/>
    </row>
    <row r="386" spans="1:20" ht="15.6" x14ac:dyDescent="0.3">
      <c r="A386" s="35" t="s">
        <v>19</v>
      </c>
      <c r="B386" s="35" t="s">
        <v>459</v>
      </c>
      <c r="C386" s="35" t="s">
        <v>460</v>
      </c>
      <c r="D386" s="35" t="s">
        <v>456</v>
      </c>
      <c r="E386" s="35" t="s">
        <v>35</v>
      </c>
      <c r="F386" s="35" t="s">
        <v>54</v>
      </c>
      <c r="G386" s="35" t="s">
        <v>251</v>
      </c>
      <c r="H386" s="35" t="s">
        <v>26</v>
      </c>
      <c r="I386" s="35" t="s">
        <v>64</v>
      </c>
      <c r="J386" s="35">
        <v>185</v>
      </c>
      <c r="K386" s="35" t="s">
        <v>123</v>
      </c>
      <c r="L386" s="35">
        <v>40</v>
      </c>
      <c r="M386" s="37">
        <v>151520</v>
      </c>
      <c r="N386" s="38">
        <f t="shared" si="6"/>
        <v>3788</v>
      </c>
      <c r="O386" s="35" t="s">
        <v>29</v>
      </c>
      <c r="P386" s="35" t="s">
        <v>30</v>
      </c>
      <c r="Q386" s="36">
        <v>46172</v>
      </c>
      <c r="R386" s="35" t="s">
        <v>31</v>
      </c>
      <c r="S386" s="35"/>
      <c r="T386" s="35"/>
    </row>
    <row r="387" spans="1:20" ht="15.6" x14ac:dyDescent="0.3">
      <c r="A387" s="35" t="s">
        <v>19</v>
      </c>
      <c r="B387" s="35" t="s">
        <v>459</v>
      </c>
      <c r="C387" s="35" t="s">
        <v>460</v>
      </c>
      <c r="D387" s="35" t="s">
        <v>456</v>
      </c>
      <c r="E387" s="35" t="s">
        <v>461</v>
      </c>
      <c r="F387" s="35" t="s">
        <v>54</v>
      </c>
      <c r="G387" s="35" t="s">
        <v>310</v>
      </c>
      <c r="H387" s="35" t="s">
        <v>26</v>
      </c>
      <c r="I387" s="35" t="s">
        <v>64</v>
      </c>
      <c r="J387" s="35">
        <v>185</v>
      </c>
      <c r="K387" s="35" t="s">
        <v>123</v>
      </c>
      <c r="L387" s="35">
        <v>6</v>
      </c>
      <c r="M387" s="37">
        <v>37350</v>
      </c>
      <c r="N387" s="38">
        <f t="shared" si="6"/>
        <v>6225</v>
      </c>
      <c r="O387" s="35" t="s">
        <v>29</v>
      </c>
      <c r="P387" s="35" t="s">
        <v>30</v>
      </c>
      <c r="Q387" s="36">
        <v>46172</v>
      </c>
      <c r="R387" s="35" t="s">
        <v>31</v>
      </c>
      <c r="S387" s="35"/>
      <c r="T387" s="35"/>
    </row>
    <row r="388" spans="1:20" ht="15.6" x14ac:dyDescent="0.3">
      <c r="A388" s="35" t="s">
        <v>19</v>
      </c>
      <c r="B388" s="35" t="s">
        <v>459</v>
      </c>
      <c r="C388" s="35" t="s">
        <v>460</v>
      </c>
      <c r="D388" s="35" t="s">
        <v>456</v>
      </c>
      <c r="E388" s="35" t="s">
        <v>35</v>
      </c>
      <c r="F388" s="35" t="s">
        <v>54</v>
      </c>
      <c r="G388" s="35" t="s">
        <v>309</v>
      </c>
      <c r="H388" s="35" t="s">
        <v>26</v>
      </c>
      <c r="I388" s="35" t="s">
        <v>64</v>
      </c>
      <c r="J388" s="35">
        <v>185</v>
      </c>
      <c r="K388" s="35" t="s">
        <v>123</v>
      </c>
      <c r="L388" s="35">
        <v>10</v>
      </c>
      <c r="M388" s="37">
        <v>62250</v>
      </c>
      <c r="N388" s="38">
        <f t="shared" si="6"/>
        <v>6225</v>
      </c>
      <c r="O388" s="35" t="s">
        <v>29</v>
      </c>
      <c r="P388" s="35" t="s">
        <v>30</v>
      </c>
      <c r="Q388" s="36">
        <v>46172</v>
      </c>
      <c r="R388" s="35" t="s">
        <v>31</v>
      </c>
      <c r="S388" s="35"/>
      <c r="T388" s="35"/>
    </row>
    <row r="389" spans="1:20" ht="15.6" x14ac:dyDescent="0.3">
      <c r="A389" s="35" t="s">
        <v>19</v>
      </c>
      <c r="B389" s="35" t="s">
        <v>459</v>
      </c>
      <c r="C389" s="35" t="s">
        <v>460</v>
      </c>
      <c r="D389" s="35" t="s">
        <v>456</v>
      </c>
      <c r="E389" s="35" t="s">
        <v>461</v>
      </c>
      <c r="F389" s="35" t="s">
        <v>54</v>
      </c>
      <c r="G389" s="35" t="s">
        <v>464</v>
      </c>
      <c r="H389" s="35" t="s">
        <v>26</v>
      </c>
      <c r="I389" s="35" t="s">
        <v>64</v>
      </c>
      <c r="J389" s="35">
        <v>185</v>
      </c>
      <c r="K389" s="35" t="s">
        <v>123</v>
      </c>
      <c r="L389" s="35">
        <v>4</v>
      </c>
      <c r="M389" s="37">
        <v>58800</v>
      </c>
      <c r="N389" s="38">
        <f t="shared" si="6"/>
        <v>14700</v>
      </c>
      <c r="O389" s="35" t="s">
        <v>29</v>
      </c>
      <c r="P389" s="35" t="s">
        <v>30</v>
      </c>
      <c r="Q389" s="36">
        <v>46172</v>
      </c>
      <c r="R389" s="35" t="s">
        <v>31</v>
      </c>
      <c r="S389" s="35"/>
      <c r="T389" s="35"/>
    </row>
    <row r="390" spans="1:20" ht="15.6" x14ac:dyDescent="0.3">
      <c r="A390" s="35" t="s">
        <v>19</v>
      </c>
      <c r="B390" s="35" t="s">
        <v>459</v>
      </c>
      <c r="C390" s="35" t="s">
        <v>460</v>
      </c>
      <c r="D390" s="35" t="s">
        <v>456</v>
      </c>
      <c r="E390" s="35" t="s">
        <v>35</v>
      </c>
      <c r="F390" s="35" t="s">
        <v>54</v>
      </c>
      <c r="G390" s="35" t="s">
        <v>465</v>
      </c>
      <c r="H390" s="35" t="s">
        <v>26</v>
      </c>
      <c r="I390" s="35" t="s">
        <v>64</v>
      </c>
      <c r="J390" s="35">
        <v>185</v>
      </c>
      <c r="K390" s="35" t="s">
        <v>123</v>
      </c>
      <c r="L390" s="35">
        <v>6</v>
      </c>
      <c r="M390" s="37">
        <v>54000</v>
      </c>
      <c r="N390" s="38">
        <f t="shared" si="6"/>
        <v>9000</v>
      </c>
      <c r="O390" s="35" t="s">
        <v>29</v>
      </c>
      <c r="P390" s="35" t="s">
        <v>30</v>
      </c>
      <c r="Q390" s="36">
        <v>46172</v>
      </c>
      <c r="R390" s="35" t="s">
        <v>31</v>
      </c>
      <c r="S390" s="35"/>
      <c r="T390" s="35"/>
    </row>
    <row r="391" spans="1:20" ht="15.6" x14ac:dyDescent="0.3">
      <c r="A391" s="35" t="s">
        <v>19</v>
      </c>
      <c r="B391" s="35" t="s">
        <v>459</v>
      </c>
      <c r="C391" s="35" t="s">
        <v>460</v>
      </c>
      <c r="D391" s="35" t="s">
        <v>456</v>
      </c>
      <c r="E391" s="35" t="s">
        <v>461</v>
      </c>
      <c r="F391" s="35" t="s">
        <v>54</v>
      </c>
      <c r="G391" s="35" t="s">
        <v>327</v>
      </c>
      <c r="H391" s="35" t="s">
        <v>26</v>
      </c>
      <c r="I391" s="35" t="s">
        <v>64</v>
      </c>
      <c r="J391" s="35">
        <v>185</v>
      </c>
      <c r="K391" s="35" t="s">
        <v>123</v>
      </c>
      <c r="L391" s="35">
        <v>10</v>
      </c>
      <c r="M391" s="37">
        <v>86250</v>
      </c>
      <c r="N391" s="38">
        <f t="shared" si="6"/>
        <v>8625</v>
      </c>
      <c r="O391" s="35" t="s">
        <v>29</v>
      </c>
      <c r="P391" s="35" t="s">
        <v>30</v>
      </c>
      <c r="Q391" s="36">
        <v>46172</v>
      </c>
      <c r="R391" s="35" t="s">
        <v>31</v>
      </c>
      <c r="S391" s="35"/>
      <c r="T391" s="35"/>
    </row>
    <row r="392" spans="1:20" ht="15.6" x14ac:dyDescent="0.3">
      <c r="A392" s="35" t="s">
        <v>19</v>
      </c>
      <c r="B392" s="35" t="s">
        <v>459</v>
      </c>
      <c r="C392" s="35" t="s">
        <v>460</v>
      </c>
      <c r="D392" s="35" t="s">
        <v>456</v>
      </c>
      <c r="E392" s="35" t="s">
        <v>35</v>
      </c>
      <c r="F392" s="35" t="s">
        <v>54</v>
      </c>
      <c r="G392" s="35" t="s">
        <v>466</v>
      </c>
      <c r="H392" s="35" t="s">
        <v>26</v>
      </c>
      <c r="I392" s="35" t="s">
        <v>64</v>
      </c>
      <c r="J392" s="35">
        <v>185</v>
      </c>
      <c r="K392" s="35" t="s">
        <v>123</v>
      </c>
      <c r="L392" s="35">
        <v>2</v>
      </c>
      <c r="M392" s="37">
        <v>39750</v>
      </c>
      <c r="N392" s="38">
        <f t="shared" si="6"/>
        <v>19875</v>
      </c>
      <c r="O392" s="35" t="s">
        <v>29</v>
      </c>
      <c r="P392" s="35" t="s">
        <v>30</v>
      </c>
      <c r="Q392" s="36">
        <v>46172</v>
      </c>
      <c r="R392" s="35" t="s">
        <v>31</v>
      </c>
      <c r="S392" s="35"/>
      <c r="T392" s="35"/>
    </row>
    <row r="393" spans="1:20" ht="15.6" x14ac:dyDescent="0.3">
      <c r="A393" s="35" t="s">
        <v>19</v>
      </c>
      <c r="B393" s="35" t="s">
        <v>459</v>
      </c>
      <c r="C393" s="35" t="s">
        <v>460</v>
      </c>
      <c r="D393" s="35" t="s">
        <v>456</v>
      </c>
      <c r="E393" s="35" t="s">
        <v>461</v>
      </c>
      <c r="F393" s="35" t="s">
        <v>54</v>
      </c>
      <c r="G393" s="35" t="s">
        <v>287</v>
      </c>
      <c r="H393" s="35" t="s">
        <v>26</v>
      </c>
      <c r="I393" s="35" t="s">
        <v>64</v>
      </c>
      <c r="J393" s="35">
        <v>185</v>
      </c>
      <c r="K393" s="35" t="s">
        <v>123</v>
      </c>
      <c r="L393" s="35">
        <v>3</v>
      </c>
      <c r="M393" s="37">
        <v>49275</v>
      </c>
      <c r="N393" s="38">
        <f t="shared" si="6"/>
        <v>16425</v>
      </c>
      <c r="O393" s="35" t="s">
        <v>29</v>
      </c>
      <c r="P393" s="35" t="s">
        <v>30</v>
      </c>
      <c r="Q393" s="36">
        <v>46172</v>
      </c>
      <c r="R393" s="35" t="s">
        <v>31</v>
      </c>
      <c r="S393" s="35"/>
      <c r="T393" s="35"/>
    </row>
    <row r="394" spans="1:20" ht="15.6" x14ac:dyDescent="0.3">
      <c r="A394" s="35" t="s">
        <v>19</v>
      </c>
      <c r="B394" s="35" t="s">
        <v>459</v>
      </c>
      <c r="C394" s="35" t="s">
        <v>460</v>
      </c>
      <c r="D394" s="35" t="s">
        <v>456</v>
      </c>
      <c r="E394" s="35" t="s">
        <v>35</v>
      </c>
      <c r="F394" s="35" t="s">
        <v>54</v>
      </c>
      <c r="G394" s="35" t="s">
        <v>465</v>
      </c>
      <c r="H394" s="35" t="s">
        <v>26</v>
      </c>
      <c r="I394" s="35" t="s">
        <v>64</v>
      </c>
      <c r="J394" s="35">
        <v>185</v>
      </c>
      <c r="K394" s="35" t="s">
        <v>123</v>
      </c>
      <c r="L394" s="35">
        <v>6</v>
      </c>
      <c r="M394" s="37">
        <v>54000</v>
      </c>
      <c r="N394" s="38">
        <f t="shared" si="6"/>
        <v>9000</v>
      </c>
      <c r="O394" s="35" t="s">
        <v>29</v>
      </c>
      <c r="P394" s="35" t="s">
        <v>30</v>
      </c>
      <c r="Q394" s="36">
        <v>46172</v>
      </c>
      <c r="R394" s="35" t="s">
        <v>31</v>
      </c>
      <c r="S394" s="35"/>
      <c r="T394" s="35"/>
    </row>
    <row r="395" spans="1:20" ht="15.6" x14ac:dyDescent="0.3">
      <c r="A395" s="35" t="s">
        <v>19</v>
      </c>
      <c r="B395" s="35" t="s">
        <v>459</v>
      </c>
      <c r="C395" s="35" t="s">
        <v>460</v>
      </c>
      <c r="D395" s="35" t="s">
        <v>456</v>
      </c>
      <c r="E395" s="35" t="s">
        <v>461</v>
      </c>
      <c r="F395" s="35" t="s">
        <v>54</v>
      </c>
      <c r="G395" s="35" t="s">
        <v>434</v>
      </c>
      <c r="H395" s="35" t="s">
        <v>26</v>
      </c>
      <c r="I395" s="35" t="s">
        <v>64</v>
      </c>
      <c r="J395" s="35">
        <v>185</v>
      </c>
      <c r="K395" s="35" t="s">
        <v>123</v>
      </c>
      <c r="L395" s="35">
        <v>8</v>
      </c>
      <c r="M395" s="37">
        <v>49800</v>
      </c>
      <c r="N395" s="38">
        <f t="shared" si="6"/>
        <v>6225</v>
      </c>
      <c r="O395" s="35" t="s">
        <v>29</v>
      </c>
      <c r="P395" s="35" t="s">
        <v>30</v>
      </c>
      <c r="Q395" s="36">
        <v>46172</v>
      </c>
      <c r="R395" s="35" t="s">
        <v>31</v>
      </c>
      <c r="S395" s="35"/>
      <c r="T395" s="35"/>
    </row>
    <row r="396" spans="1:20" ht="15.6" x14ac:dyDescent="0.3">
      <c r="A396" s="35" t="s">
        <v>19</v>
      </c>
      <c r="B396" s="35" t="s">
        <v>459</v>
      </c>
      <c r="C396" s="35" t="s">
        <v>460</v>
      </c>
      <c r="D396" s="35" t="s">
        <v>456</v>
      </c>
      <c r="E396" s="35" t="s">
        <v>35</v>
      </c>
      <c r="F396" s="35" t="s">
        <v>54</v>
      </c>
      <c r="G396" s="35" t="s">
        <v>309</v>
      </c>
      <c r="H396" s="35" t="s">
        <v>26</v>
      </c>
      <c r="I396" s="35" t="s">
        <v>64</v>
      </c>
      <c r="J396" s="35">
        <v>185</v>
      </c>
      <c r="K396" s="35" t="s">
        <v>123</v>
      </c>
      <c r="L396" s="35">
        <v>10</v>
      </c>
      <c r="M396" s="37">
        <v>62250</v>
      </c>
      <c r="N396" s="38">
        <f t="shared" ref="N396:N458" si="7">M396/L396</f>
        <v>6225</v>
      </c>
      <c r="O396" s="35" t="s">
        <v>29</v>
      </c>
      <c r="P396" s="35" t="s">
        <v>30</v>
      </c>
      <c r="Q396" s="36">
        <v>46172</v>
      </c>
      <c r="R396" s="35" t="s">
        <v>31</v>
      </c>
      <c r="S396" s="35"/>
      <c r="T396" s="35"/>
    </row>
    <row r="397" spans="1:20" ht="15.6" x14ac:dyDescent="0.3">
      <c r="A397" s="35" t="s">
        <v>19</v>
      </c>
      <c r="B397" s="35" t="s">
        <v>459</v>
      </c>
      <c r="C397" s="35" t="s">
        <v>460</v>
      </c>
      <c r="D397" s="35" t="s">
        <v>456</v>
      </c>
      <c r="E397" s="35" t="s">
        <v>461</v>
      </c>
      <c r="F397" s="35" t="s">
        <v>54</v>
      </c>
      <c r="G397" s="35" t="s">
        <v>327</v>
      </c>
      <c r="H397" s="35" t="s">
        <v>26</v>
      </c>
      <c r="I397" s="35" t="s">
        <v>64</v>
      </c>
      <c r="J397" s="35">
        <v>185</v>
      </c>
      <c r="K397" s="35" t="s">
        <v>123</v>
      </c>
      <c r="L397" s="35">
        <v>10</v>
      </c>
      <c r="M397" s="37">
        <v>86250</v>
      </c>
      <c r="N397" s="38">
        <f t="shared" si="7"/>
        <v>8625</v>
      </c>
      <c r="O397" s="35" t="s">
        <v>29</v>
      </c>
      <c r="P397" s="35" t="s">
        <v>30</v>
      </c>
      <c r="Q397" s="36">
        <v>46172</v>
      </c>
      <c r="R397" s="35" t="s">
        <v>31</v>
      </c>
      <c r="S397" s="35"/>
      <c r="T397" s="35"/>
    </row>
    <row r="398" spans="1:20" ht="15.6" x14ac:dyDescent="0.3">
      <c r="A398" s="35" t="s">
        <v>19</v>
      </c>
      <c r="B398" s="35" t="s">
        <v>459</v>
      </c>
      <c r="C398" s="35" t="s">
        <v>460</v>
      </c>
      <c r="D398" s="35" t="s">
        <v>456</v>
      </c>
      <c r="E398" s="35" t="s">
        <v>35</v>
      </c>
      <c r="F398" s="35" t="s">
        <v>54</v>
      </c>
      <c r="G398" s="35" t="s">
        <v>310</v>
      </c>
      <c r="H398" s="35" t="s">
        <v>26</v>
      </c>
      <c r="I398" s="35" t="s">
        <v>64</v>
      </c>
      <c r="J398" s="35">
        <v>185</v>
      </c>
      <c r="K398" s="35" t="s">
        <v>123</v>
      </c>
      <c r="L398" s="35">
        <v>6</v>
      </c>
      <c r="M398" s="37">
        <v>37350</v>
      </c>
      <c r="N398" s="38">
        <f t="shared" si="7"/>
        <v>6225</v>
      </c>
      <c r="O398" s="35" t="s">
        <v>29</v>
      </c>
      <c r="P398" s="35" t="s">
        <v>30</v>
      </c>
      <c r="Q398" s="36">
        <v>46172</v>
      </c>
      <c r="R398" s="35" t="s">
        <v>31</v>
      </c>
      <c r="S398" s="35"/>
      <c r="T398" s="35"/>
    </row>
    <row r="399" spans="1:20" ht="15.6" x14ac:dyDescent="0.3">
      <c r="A399" s="35" t="s">
        <v>19</v>
      </c>
      <c r="B399" s="35" t="s">
        <v>459</v>
      </c>
      <c r="C399" s="35" t="s">
        <v>460</v>
      </c>
      <c r="D399" s="35" t="s">
        <v>456</v>
      </c>
      <c r="E399" s="35" t="s">
        <v>461</v>
      </c>
      <c r="F399" s="35" t="s">
        <v>54</v>
      </c>
      <c r="G399" s="35" t="s">
        <v>454</v>
      </c>
      <c r="H399" s="35" t="s">
        <v>26</v>
      </c>
      <c r="I399" s="35" t="s">
        <v>64</v>
      </c>
      <c r="J399" s="35">
        <v>185</v>
      </c>
      <c r="K399" s="35" t="s">
        <v>123</v>
      </c>
      <c r="L399" s="35">
        <v>8</v>
      </c>
      <c r="M399" s="37">
        <v>52200</v>
      </c>
      <c r="N399" s="38">
        <f t="shared" si="7"/>
        <v>6525</v>
      </c>
      <c r="O399" s="35" t="s">
        <v>29</v>
      </c>
      <c r="P399" s="35" t="s">
        <v>30</v>
      </c>
      <c r="Q399" s="36">
        <v>46172</v>
      </c>
      <c r="R399" s="35" t="s">
        <v>31</v>
      </c>
      <c r="S399" s="35"/>
      <c r="T399" s="35"/>
    </row>
    <row r="400" spans="1:20" ht="15.6" x14ac:dyDescent="0.3">
      <c r="A400" s="35" t="s">
        <v>19</v>
      </c>
      <c r="B400" s="35" t="s">
        <v>459</v>
      </c>
      <c r="C400" s="35" t="s">
        <v>460</v>
      </c>
      <c r="D400" s="35" t="s">
        <v>456</v>
      </c>
      <c r="E400" s="35" t="s">
        <v>35</v>
      </c>
      <c r="F400" s="35" t="s">
        <v>54</v>
      </c>
      <c r="G400" s="35" t="s">
        <v>275</v>
      </c>
      <c r="H400" s="35" t="s">
        <v>26</v>
      </c>
      <c r="I400" s="35" t="s">
        <v>64</v>
      </c>
      <c r="J400" s="35">
        <v>185</v>
      </c>
      <c r="K400" s="35" t="s">
        <v>276</v>
      </c>
      <c r="L400" s="35">
        <v>1</v>
      </c>
      <c r="M400" s="37">
        <v>28500</v>
      </c>
      <c r="N400" s="38">
        <f t="shared" si="7"/>
        <v>28500</v>
      </c>
      <c r="O400" s="35" t="s">
        <v>29</v>
      </c>
      <c r="P400" s="35" t="s">
        <v>30</v>
      </c>
      <c r="Q400" s="36">
        <v>46172</v>
      </c>
      <c r="R400" s="35" t="s">
        <v>31</v>
      </c>
      <c r="S400" s="35"/>
      <c r="T400" s="35"/>
    </row>
    <row r="401" spans="1:20" ht="15.6" x14ac:dyDescent="0.3">
      <c r="A401" s="35" t="s">
        <v>19</v>
      </c>
      <c r="B401" s="35" t="s">
        <v>459</v>
      </c>
      <c r="C401" s="35" t="s">
        <v>460</v>
      </c>
      <c r="D401" s="35" t="s">
        <v>456</v>
      </c>
      <c r="E401" s="35" t="s">
        <v>461</v>
      </c>
      <c r="F401" s="35" t="s">
        <v>54</v>
      </c>
      <c r="G401" s="35" t="s">
        <v>467</v>
      </c>
      <c r="H401" s="35" t="s">
        <v>56</v>
      </c>
      <c r="I401" s="35" t="s">
        <v>64</v>
      </c>
      <c r="J401" s="35">
        <v>185</v>
      </c>
      <c r="K401" s="35" t="s">
        <v>276</v>
      </c>
      <c r="L401" s="35">
        <v>6</v>
      </c>
      <c r="M401" s="37">
        <v>157500</v>
      </c>
      <c r="N401" s="38">
        <f t="shared" si="7"/>
        <v>26250</v>
      </c>
      <c r="O401" s="35" t="s">
        <v>29</v>
      </c>
      <c r="P401" s="35" t="s">
        <v>30</v>
      </c>
      <c r="Q401" s="36">
        <v>46172</v>
      </c>
      <c r="R401" s="35" t="s">
        <v>31</v>
      </c>
      <c r="S401" s="35"/>
      <c r="T401" s="35"/>
    </row>
    <row r="402" spans="1:20" ht="15.6" x14ac:dyDescent="0.3">
      <c r="A402" s="35" t="s">
        <v>19</v>
      </c>
      <c r="B402" s="35" t="s">
        <v>235</v>
      </c>
      <c r="C402" s="35" t="s">
        <v>236</v>
      </c>
      <c r="D402" s="35" t="s">
        <v>456</v>
      </c>
      <c r="E402" s="35" t="s">
        <v>325</v>
      </c>
      <c r="F402" s="35" t="s">
        <v>54</v>
      </c>
      <c r="G402" s="35" t="s">
        <v>468</v>
      </c>
      <c r="H402" s="35" t="s">
        <v>56</v>
      </c>
      <c r="I402" s="35" t="s">
        <v>64</v>
      </c>
      <c r="J402" s="35">
        <v>187</v>
      </c>
      <c r="K402" s="35" t="s">
        <v>123</v>
      </c>
      <c r="L402" s="35">
        <v>2000</v>
      </c>
      <c r="M402" s="37">
        <v>3780000</v>
      </c>
      <c r="N402" s="38">
        <f t="shared" si="7"/>
        <v>1890</v>
      </c>
      <c r="O402" s="35" t="s">
        <v>29</v>
      </c>
      <c r="P402" s="35" t="s">
        <v>30</v>
      </c>
      <c r="Q402" s="36">
        <v>46174</v>
      </c>
      <c r="R402" s="35" t="s">
        <v>31</v>
      </c>
      <c r="S402" s="35"/>
      <c r="T402" s="35"/>
    </row>
    <row r="403" spans="1:20" ht="15.6" x14ac:dyDescent="0.3">
      <c r="A403" s="35" t="s">
        <v>469</v>
      </c>
      <c r="B403" s="35" t="s">
        <v>470</v>
      </c>
      <c r="C403" s="35" t="s">
        <v>471</v>
      </c>
      <c r="D403" s="35" t="s">
        <v>472</v>
      </c>
      <c r="E403" s="35" t="s">
        <v>47</v>
      </c>
      <c r="F403" s="35" t="s">
        <v>24</v>
      </c>
      <c r="G403" s="35" t="s">
        <v>407</v>
      </c>
      <c r="H403" s="35" t="s">
        <v>26</v>
      </c>
      <c r="I403" s="35" t="s">
        <v>27</v>
      </c>
      <c r="J403" s="35">
        <v>483</v>
      </c>
      <c r="K403" s="35" t="s">
        <v>123</v>
      </c>
      <c r="L403" s="35">
        <v>20</v>
      </c>
      <c r="M403" s="37">
        <v>300000</v>
      </c>
      <c r="N403" s="38">
        <f t="shared" si="7"/>
        <v>15000</v>
      </c>
      <c r="O403" s="35" t="s">
        <v>29</v>
      </c>
      <c r="P403" s="35" t="s">
        <v>30</v>
      </c>
      <c r="Q403" s="36">
        <v>46085</v>
      </c>
      <c r="R403" s="35" t="s">
        <v>31</v>
      </c>
      <c r="S403" s="35"/>
      <c r="T403" s="35"/>
    </row>
    <row r="404" spans="1:20" ht="15.6" x14ac:dyDescent="0.3">
      <c r="A404" s="35" t="s">
        <v>469</v>
      </c>
      <c r="B404" s="35" t="s">
        <v>470</v>
      </c>
      <c r="C404" s="35" t="s">
        <v>471</v>
      </c>
      <c r="D404" s="35" t="s">
        <v>472</v>
      </c>
      <c r="E404" s="35" t="s">
        <v>47</v>
      </c>
      <c r="F404" s="35" t="s">
        <v>24</v>
      </c>
      <c r="G404" s="35" t="s">
        <v>408</v>
      </c>
      <c r="H404" s="35" t="s">
        <v>26</v>
      </c>
      <c r="I404" s="35" t="s">
        <v>27</v>
      </c>
      <c r="J404" s="35">
        <v>483</v>
      </c>
      <c r="K404" s="35" t="s">
        <v>123</v>
      </c>
      <c r="L404" s="35">
        <v>5</v>
      </c>
      <c r="M404" s="37">
        <v>75000</v>
      </c>
      <c r="N404" s="38">
        <f t="shared" si="7"/>
        <v>15000</v>
      </c>
      <c r="O404" s="35" t="s">
        <v>29</v>
      </c>
      <c r="P404" s="35" t="s">
        <v>30</v>
      </c>
      <c r="Q404" s="36">
        <v>46085</v>
      </c>
      <c r="R404" s="35" t="s">
        <v>31</v>
      </c>
      <c r="S404" s="35"/>
      <c r="T404" s="35"/>
    </row>
    <row r="405" spans="1:20" ht="15.6" x14ac:dyDescent="0.3">
      <c r="A405" s="35" t="s">
        <v>469</v>
      </c>
      <c r="B405" s="35" t="s">
        <v>470</v>
      </c>
      <c r="C405" s="35" t="s">
        <v>471</v>
      </c>
      <c r="D405" s="35" t="s">
        <v>472</v>
      </c>
      <c r="E405" s="35" t="s">
        <v>47</v>
      </c>
      <c r="F405" s="35" t="s">
        <v>24</v>
      </c>
      <c r="G405" s="35" t="s">
        <v>287</v>
      </c>
      <c r="H405" s="35" t="s">
        <v>26</v>
      </c>
      <c r="I405" s="35" t="s">
        <v>27</v>
      </c>
      <c r="J405" s="35">
        <v>483</v>
      </c>
      <c r="K405" s="35" t="s">
        <v>123</v>
      </c>
      <c r="L405" s="35">
        <v>1</v>
      </c>
      <c r="M405" s="37">
        <v>15000</v>
      </c>
      <c r="N405" s="38">
        <f t="shared" si="7"/>
        <v>15000</v>
      </c>
      <c r="O405" s="35" t="s">
        <v>29</v>
      </c>
      <c r="P405" s="35" t="s">
        <v>30</v>
      </c>
      <c r="Q405" s="36">
        <v>46085</v>
      </c>
      <c r="R405" s="35" t="s">
        <v>31</v>
      </c>
      <c r="S405" s="35"/>
      <c r="T405" s="35"/>
    </row>
    <row r="406" spans="1:20" ht="15.6" x14ac:dyDescent="0.3">
      <c r="A406" s="35" t="s">
        <v>469</v>
      </c>
      <c r="B406" s="35" t="s">
        <v>470</v>
      </c>
      <c r="C406" s="35" t="s">
        <v>471</v>
      </c>
      <c r="D406" s="35" t="s">
        <v>472</v>
      </c>
      <c r="E406" s="35" t="s">
        <v>47</v>
      </c>
      <c r="F406" s="35" t="s">
        <v>24</v>
      </c>
      <c r="G406" s="35" t="s">
        <v>473</v>
      </c>
      <c r="H406" s="35" t="s">
        <v>26</v>
      </c>
      <c r="I406" s="35" t="s">
        <v>27</v>
      </c>
      <c r="J406" s="35">
        <v>483</v>
      </c>
      <c r="K406" s="35" t="s">
        <v>123</v>
      </c>
      <c r="L406" s="35">
        <v>20</v>
      </c>
      <c r="M406" s="37">
        <v>80000</v>
      </c>
      <c r="N406" s="38">
        <f t="shared" si="7"/>
        <v>4000</v>
      </c>
      <c r="O406" s="35" t="s">
        <v>29</v>
      </c>
      <c r="P406" s="35" t="s">
        <v>30</v>
      </c>
      <c r="Q406" s="36">
        <v>46085</v>
      </c>
      <c r="R406" s="35" t="s">
        <v>31</v>
      </c>
      <c r="S406" s="35"/>
      <c r="T406" s="35"/>
    </row>
    <row r="407" spans="1:20" ht="15.6" x14ac:dyDescent="0.3">
      <c r="A407" s="35" t="s">
        <v>469</v>
      </c>
      <c r="B407" s="35" t="s">
        <v>470</v>
      </c>
      <c r="C407" s="35" t="s">
        <v>471</v>
      </c>
      <c r="D407" s="35" t="s">
        <v>472</v>
      </c>
      <c r="E407" s="35" t="s">
        <v>47</v>
      </c>
      <c r="F407" s="35" t="s">
        <v>24</v>
      </c>
      <c r="G407" s="35" t="s">
        <v>294</v>
      </c>
      <c r="H407" s="35" t="s">
        <v>26</v>
      </c>
      <c r="I407" s="35" t="s">
        <v>27</v>
      </c>
      <c r="J407" s="35">
        <v>483</v>
      </c>
      <c r="K407" s="35" t="s">
        <v>123</v>
      </c>
      <c r="L407" s="35">
        <v>5</v>
      </c>
      <c r="M407" s="37">
        <v>20000</v>
      </c>
      <c r="N407" s="38">
        <f t="shared" si="7"/>
        <v>4000</v>
      </c>
      <c r="O407" s="35" t="s">
        <v>29</v>
      </c>
      <c r="P407" s="35" t="s">
        <v>30</v>
      </c>
      <c r="Q407" s="36">
        <v>46085</v>
      </c>
      <c r="R407" s="35" t="s">
        <v>31</v>
      </c>
      <c r="S407" s="35"/>
      <c r="T407" s="35"/>
    </row>
    <row r="408" spans="1:20" ht="15.6" x14ac:dyDescent="0.3">
      <c r="A408" s="35" t="s">
        <v>469</v>
      </c>
      <c r="B408" s="35" t="s">
        <v>470</v>
      </c>
      <c r="C408" s="35" t="s">
        <v>471</v>
      </c>
      <c r="D408" s="35" t="s">
        <v>472</v>
      </c>
      <c r="E408" s="35" t="s">
        <v>47</v>
      </c>
      <c r="F408" s="35" t="s">
        <v>24</v>
      </c>
      <c r="G408" s="35" t="s">
        <v>474</v>
      </c>
      <c r="H408" s="35" t="s">
        <v>26</v>
      </c>
      <c r="I408" s="35" t="s">
        <v>27</v>
      </c>
      <c r="J408" s="35">
        <v>483</v>
      </c>
      <c r="K408" s="35" t="s">
        <v>123</v>
      </c>
      <c r="L408" s="35">
        <v>1</v>
      </c>
      <c r="M408" s="37">
        <v>4000</v>
      </c>
      <c r="N408" s="38">
        <f t="shared" si="7"/>
        <v>4000</v>
      </c>
      <c r="O408" s="35" t="s">
        <v>29</v>
      </c>
      <c r="P408" s="35" t="s">
        <v>30</v>
      </c>
      <c r="Q408" s="36">
        <v>46085</v>
      </c>
      <c r="R408" s="35" t="s">
        <v>31</v>
      </c>
      <c r="S408" s="35"/>
      <c r="T408" s="35"/>
    </row>
    <row r="409" spans="1:20" ht="15.6" x14ac:dyDescent="0.3">
      <c r="A409" s="35" t="s">
        <v>469</v>
      </c>
      <c r="B409" s="35" t="s">
        <v>470</v>
      </c>
      <c r="C409" s="35" t="s">
        <v>471</v>
      </c>
      <c r="D409" s="35" t="s">
        <v>472</v>
      </c>
      <c r="E409" s="35" t="s">
        <v>47</v>
      </c>
      <c r="F409" s="35" t="s">
        <v>24</v>
      </c>
      <c r="G409" s="35" t="s">
        <v>410</v>
      </c>
      <c r="H409" s="35" t="s">
        <v>26</v>
      </c>
      <c r="I409" s="35" t="s">
        <v>27</v>
      </c>
      <c r="J409" s="35">
        <v>483</v>
      </c>
      <c r="K409" s="35" t="s">
        <v>123</v>
      </c>
      <c r="L409" s="35">
        <v>20</v>
      </c>
      <c r="M409" s="37">
        <v>80000</v>
      </c>
      <c r="N409" s="38">
        <f t="shared" si="7"/>
        <v>4000</v>
      </c>
      <c r="O409" s="35" t="s">
        <v>29</v>
      </c>
      <c r="P409" s="35" t="s">
        <v>30</v>
      </c>
      <c r="Q409" s="36">
        <v>46085</v>
      </c>
      <c r="R409" s="35" t="s">
        <v>31</v>
      </c>
      <c r="S409" s="35"/>
      <c r="T409" s="35"/>
    </row>
    <row r="410" spans="1:20" ht="15.6" x14ac:dyDescent="0.3">
      <c r="A410" s="35" t="s">
        <v>469</v>
      </c>
      <c r="B410" s="35" t="s">
        <v>470</v>
      </c>
      <c r="C410" s="35" t="s">
        <v>471</v>
      </c>
      <c r="D410" s="35" t="s">
        <v>472</v>
      </c>
      <c r="E410" s="35" t="s">
        <v>47</v>
      </c>
      <c r="F410" s="35" t="s">
        <v>24</v>
      </c>
      <c r="G410" s="35" t="s">
        <v>295</v>
      </c>
      <c r="H410" s="35" t="s">
        <v>26</v>
      </c>
      <c r="I410" s="35" t="s">
        <v>27</v>
      </c>
      <c r="J410" s="35">
        <v>483</v>
      </c>
      <c r="K410" s="35" t="s">
        <v>123</v>
      </c>
      <c r="L410" s="35">
        <v>5</v>
      </c>
      <c r="M410" s="37">
        <v>20000</v>
      </c>
      <c r="N410" s="38">
        <f t="shared" si="7"/>
        <v>4000</v>
      </c>
      <c r="O410" s="35" t="s">
        <v>29</v>
      </c>
      <c r="P410" s="35" t="s">
        <v>30</v>
      </c>
      <c r="Q410" s="36">
        <v>46085</v>
      </c>
      <c r="R410" s="35" t="s">
        <v>31</v>
      </c>
      <c r="S410" s="35"/>
      <c r="T410" s="35"/>
    </row>
    <row r="411" spans="1:20" ht="15.6" x14ac:dyDescent="0.3">
      <c r="A411" s="35" t="s">
        <v>469</v>
      </c>
      <c r="B411" s="35" t="s">
        <v>470</v>
      </c>
      <c r="C411" s="35" t="s">
        <v>471</v>
      </c>
      <c r="D411" s="35" t="s">
        <v>472</v>
      </c>
      <c r="E411" s="35" t="s">
        <v>47</v>
      </c>
      <c r="F411" s="35" t="s">
        <v>24</v>
      </c>
      <c r="G411" s="35" t="s">
        <v>310</v>
      </c>
      <c r="H411" s="35" t="s">
        <v>26</v>
      </c>
      <c r="I411" s="35" t="s">
        <v>27</v>
      </c>
      <c r="J411" s="35">
        <v>483</v>
      </c>
      <c r="K411" s="35" t="s">
        <v>123</v>
      </c>
      <c r="L411" s="35">
        <v>1</v>
      </c>
      <c r="M411" s="37">
        <v>4000</v>
      </c>
      <c r="N411" s="38">
        <f t="shared" si="7"/>
        <v>4000</v>
      </c>
      <c r="O411" s="35" t="s">
        <v>29</v>
      </c>
      <c r="P411" s="35" t="s">
        <v>30</v>
      </c>
      <c r="Q411" s="36">
        <v>46085</v>
      </c>
      <c r="R411" s="35" t="s">
        <v>31</v>
      </c>
      <c r="S411" s="35"/>
      <c r="T411" s="35"/>
    </row>
    <row r="412" spans="1:20" ht="15.6" x14ac:dyDescent="0.3">
      <c r="A412" s="35" t="s">
        <v>469</v>
      </c>
      <c r="B412" s="35" t="s">
        <v>176</v>
      </c>
      <c r="C412" s="35" t="s">
        <v>177</v>
      </c>
      <c r="D412" s="35" t="s">
        <v>472</v>
      </c>
      <c r="E412" s="35" t="s">
        <v>40</v>
      </c>
      <c r="F412" s="35" t="s">
        <v>36</v>
      </c>
      <c r="G412" s="35" t="s">
        <v>382</v>
      </c>
      <c r="H412" s="35" t="s">
        <v>26</v>
      </c>
      <c r="I412" s="35" t="s">
        <v>27</v>
      </c>
      <c r="J412" s="35">
        <v>484</v>
      </c>
      <c r="K412" s="35" t="s">
        <v>123</v>
      </c>
      <c r="L412" s="35">
        <v>20</v>
      </c>
      <c r="M412" s="37">
        <v>110000</v>
      </c>
      <c r="N412" s="38">
        <f t="shared" si="7"/>
        <v>5500</v>
      </c>
      <c r="O412" s="35" t="s">
        <v>29</v>
      </c>
      <c r="P412" s="35" t="s">
        <v>30</v>
      </c>
      <c r="Q412" s="36">
        <v>46082</v>
      </c>
      <c r="R412" s="35" t="s">
        <v>31</v>
      </c>
      <c r="S412" s="35"/>
      <c r="T412" s="35"/>
    </row>
    <row r="413" spans="1:20" ht="15.6" x14ac:dyDescent="0.3">
      <c r="A413" s="35" t="s">
        <v>469</v>
      </c>
      <c r="B413" s="35" t="s">
        <v>176</v>
      </c>
      <c r="C413" s="35" t="s">
        <v>177</v>
      </c>
      <c r="D413" s="35" t="s">
        <v>472</v>
      </c>
      <c r="E413" s="35" t="s">
        <v>40</v>
      </c>
      <c r="F413" s="35" t="s">
        <v>36</v>
      </c>
      <c r="G413" s="35" t="s">
        <v>455</v>
      </c>
      <c r="H413" s="35" t="s">
        <v>26</v>
      </c>
      <c r="I413" s="35" t="s">
        <v>27</v>
      </c>
      <c r="J413" s="35">
        <v>484</v>
      </c>
      <c r="K413" s="35" t="s">
        <v>123</v>
      </c>
      <c r="L413" s="35">
        <v>5</v>
      </c>
      <c r="M413" s="37">
        <v>27500</v>
      </c>
      <c r="N413" s="38">
        <f t="shared" si="7"/>
        <v>5500</v>
      </c>
      <c r="O413" s="35" t="s">
        <v>29</v>
      </c>
      <c r="P413" s="35" t="s">
        <v>30</v>
      </c>
      <c r="Q413" s="36">
        <v>46082</v>
      </c>
      <c r="R413" s="35" t="s">
        <v>31</v>
      </c>
      <c r="S413" s="35"/>
      <c r="T413" s="35"/>
    </row>
    <row r="414" spans="1:20" ht="15.6" x14ac:dyDescent="0.3">
      <c r="A414" s="35" t="s">
        <v>469</v>
      </c>
      <c r="B414" s="35" t="s">
        <v>20</v>
      </c>
      <c r="C414" s="35" t="s">
        <v>21</v>
      </c>
      <c r="D414" s="35" t="s">
        <v>472</v>
      </c>
      <c r="E414" s="41" t="s">
        <v>23</v>
      </c>
      <c r="F414" s="35" t="s">
        <v>24</v>
      </c>
      <c r="G414" s="35" t="s">
        <v>242</v>
      </c>
      <c r="H414" s="35" t="s">
        <v>26</v>
      </c>
      <c r="I414" s="35" t="s">
        <v>27</v>
      </c>
      <c r="J414" s="35">
        <v>485</v>
      </c>
      <c r="K414" s="35" t="s">
        <v>123</v>
      </c>
      <c r="L414" s="35">
        <v>40</v>
      </c>
      <c r="M414" s="37">
        <v>0</v>
      </c>
      <c r="N414" s="38">
        <f t="shared" si="7"/>
        <v>0</v>
      </c>
      <c r="O414" s="35" t="s">
        <v>29</v>
      </c>
      <c r="P414" s="35" t="s">
        <v>30</v>
      </c>
      <c r="Q414" s="36">
        <v>46142</v>
      </c>
      <c r="R414" s="35" t="s">
        <v>31</v>
      </c>
      <c r="S414" s="35" t="s">
        <v>475</v>
      </c>
      <c r="T414" s="36">
        <v>46044</v>
      </c>
    </row>
    <row r="415" spans="1:20" ht="15.6" x14ac:dyDescent="0.3">
      <c r="A415" s="35" t="s">
        <v>469</v>
      </c>
      <c r="B415" s="35" t="s">
        <v>476</v>
      </c>
      <c r="C415" s="35" t="s">
        <v>477</v>
      </c>
      <c r="D415" s="35" t="s">
        <v>472</v>
      </c>
      <c r="E415" s="35" t="s">
        <v>237</v>
      </c>
      <c r="F415" s="35" t="s">
        <v>24</v>
      </c>
      <c r="G415" s="35" t="s">
        <v>467</v>
      </c>
      <c r="H415" s="35" t="s">
        <v>26</v>
      </c>
      <c r="I415" s="35" t="s">
        <v>27</v>
      </c>
      <c r="J415" s="35">
        <v>486</v>
      </c>
      <c r="K415" s="35" t="s">
        <v>276</v>
      </c>
      <c r="L415" s="35">
        <v>100</v>
      </c>
      <c r="M415" s="37">
        <v>2600000</v>
      </c>
      <c r="N415" s="38">
        <f t="shared" si="7"/>
        <v>26000</v>
      </c>
      <c r="O415" s="35" t="s">
        <v>29</v>
      </c>
      <c r="P415" s="35" t="s">
        <v>30</v>
      </c>
      <c r="Q415" s="36">
        <v>46085</v>
      </c>
      <c r="R415" s="35" t="s">
        <v>31</v>
      </c>
      <c r="S415" s="35" t="s">
        <v>478</v>
      </c>
      <c r="T415" s="36">
        <v>46055</v>
      </c>
    </row>
    <row r="416" spans="1:20" ht="15.6" x14ac:dyDescent="0.3">
      <c r="A416" s="35" t="s">
        <v>469</v>
      </c>
      <c r="B416" s="35" t="s">
        <v>476</v>
      </c>
      <c r="C416" s="35" t="s">
        <v>477</v>
      </c>
      <c r="D416" s="35" t="s">
        <v>472</v>
      </c>
      <c r="E416" s="35" t="s">
        <v>237</v>
      </c>
      <c r="F416" s="35" t="s">
        <v>24</v>
      </c>
      <c r="G416" s="35" t="s">
        <v>467</v>
      </c>
      <c r="H416" s="35" t="s">
        <v>26</v>
      </c>
      <c r="I416" s="35" t="s">
        <v>64</v>
      </c>
      <c r="J416" s="35">
        <v>188</v>
      </c>
      <c r="K416" s="35" t="s">
        <v>276</v>
      </c>
      <c r="L416" s="35">
        <v>100</v>
      </c>
      <c r="M416" s="37">
        <v>0</v>
      </c>
      <c r="N416" s="38">
        <f t="shared" si="7"/>
        <v>0</v>
      </c>
      <c r="O416" s="35" t="s">
        <v>29</v>
      </c>
      <c r="P416" s="35" t="s">
        <v>30</v>
      </c>
      <c r="Q416" s="36">
        <v>46085</v>
      </c>
      <c r="R416" s="35" t="s">
        <v>31</v>
      </c>
      <c r="S416" s="35"/>
      <c r="T416" s="35"/>
    </row>
    <row r="417" spans="1:20" ht="15.6" x14ac:dyDescent="0.3">
      <c r="A417" s="35" t="s">
        <v>469</v>
      </c>
      <c r="B417" s="35" t="s">
        <v>138</v>
      </c>
      <c r="C417" s="35" t="s">
        <v>139</v>
      </c>
      <c r="D417" s="35" t="s">
        <v>472</v>
      </c>
      <c r="E417" s="35" t="s">
        <v>47</v>
      </c>
      <c r="F417" s="35" t="s">
        <v>58</v>
      </c>
      <c r="G417" s="35" t="s">
        <v>251</v>
      </c>
      <c r="H417" s="35" t="s">
        <v>26</v>
      </c>
      <c r="I417" s="35" t="s">
        <v>64</v>
      </c>
      <c r="J417" s="35">
        <v>189</v>
      </c>
      <c r="K417" s="35" t="s">
        <v>123</v>
      </c>
      <c r="L417" s="35">
        <v>100</v>
      </c>
      <c r="M417" s="37">
        <v>270000</v>
      </c>
      <c r="N417" s="38">
        <f t="shared" si="7"/>
        <v>2700</v>
      </c>
      <c r="O417" s="35" t="s">
        <v>29</v>
      </c>
      <c r="P417" s="35" t="s">
        <v>30</v>
      </c>
      <c r="Q417" s="36">
        <v>46173</v>
      </c>
      <c r="R417" s="35" t="s">
        <v>31</v>
      </c>
      <c r="S417" s="35"/>
      <c r="T417" s="35"/>
    </row>
    <row r="418" spans="1:20" ht="15.6" x14ac:dyDescent="0.3">
      <c r="A418" s="35" t="s">
        <v>469</v>
      </c>
      <c r="B418" s="35" t="s">
        <v>138</v>
      </c>
      <c r="C418" s="35" t="s">
        <v>139</v>
      </c>
      <c r="D418" s="35" t="s">
        <v>472</v>
      </c>
      <c r="E418" s="35" t="s">
        <v>47</v>
      </c>
      <c r="F418" s="35" t="s">
        <v>58</v>
      </c>
      <c r="G418" s="35" t="s">
        <v>442</v>
      </c>
      <c r="H418" s="35" t="s">
        <v>26</v>
      </c>
      <c r="I418" s="35" t="s">
        <v>64</v>
      </c>
      <c r="J418" s="35">
        <v>189</v>
      </c>
      <c r="K418" s="35" t="s">
        <v>123</v>
      </c>
      <c r="L418" s="35">
        <v>400</v>
      </c>
      <c r="M418" s="37">
        <v>1000000</v>
      </c>
      <c r="N418" s="38">
        <f t="shared" si="7"/>
        <v>2500</v>
      </c>
      <c r="O418" s="35" t="s">
        <v>29</v>
      </c>
      <c r="P418" s="35" t="s">
        <v>30</v>
      </c>
      <c r="Q418" s="36">
        <v>46173</v>
      </c>
      <c r="R418" s="35" t="s">
        <v>31</v>
      </c>
      <c r="S418" s="35"/>
      <c r="T418" s="35"/>
    </row>
    <row r="419" spans="1:20" ht="15.6" x14ac:dyDescent="0.3">
      <c r="A419" s="35" t="s">
        <v>469</v>
      </c>
      <c r="B419" s="35" t="s">
        <v>386</v>
      </c>
      <c r="C419" s="35" t="s">
        <v>387</v>
      </c>
      <c r="D419" s="35" t="s">
        <v>479</v>
      </c>
      <c r="E419" s="35" t="s">
        <v>47</v>
      </c>
      <c r="F419" s="35" t="s">
        <v>58</v>
      </c>
      <c r="G419" s="35" t="s">
        <v>407</v>
      </c>
      <c r="H419" s="35" t="s">
        <v>26</v>
      </c>
      <c r="I419" s="35" t="s">
        <v>27</v>
      </c>
      <c r="J419" s="35">
        <v>487</v>
      </c>
      <c r="K419" s="35" t="s">
        <v>123</v>
      </c>
      <c r="L419" s="35">
        <v>20</v>
      </c>
      <c r="M419" s="37">
        <v>235600</v>
      </c>
      <c r="N419" s="38">
        <f t="shared" si="7"/>
        <v>11780</v>
      </c>
      <c r="O419" s="35" t="s">
        <v>29</v>
      </c>
      <c r="P419" s="35" t="s">
        <v>30</v>
      </c>
      <c r="Q419" s="36">
        <v>46086</v>
      </c>
      <c r="R419" s="35" t="s">
        <v>31</v>
      </c>
      <c r="S419" s="35"/>
      <c r="T419" s="35"/>
    </row>
    <row r="420" spans="1:20" ht="15.6" x14ac:dyDescent="0.3">
      <c r="A420" s="35" t="s">
        <v>469</v>
      </c>
      <c r="B420" s="35" t="s">
        <v>386</v>
      </c>
      <c r="C420" s="35" t="s">
        <v>387</v>
      </c>
      <c r="D420" s="35" t="s">
        <v>479</v>
      </c>
      <c r="E420" s="35" t="s">
        <v>47</v>
      </c>
      <c r="F420" s="35" t="s">
        <v>58</v>
      </c>
      <c r="G420" s="35" t="s">
        <v>295</v>
      </c>
      <c r="H420" s="35" t="s">
        <v>26</v>
      </c>
      <c r="I420" s="35" t="s">
        <v>27</v>
      </c>
      <c r="J420" s="35">
        <v>487</v>
      </c>
      <c r="K420" s="35" t="s">
        <v>123</v>
      </c>
      <c r="L420" s="35">
        <v>10</v>
      </c>
      <c r="M420" s="37">
        <v>43300</v>
      </c>
      <c r="N420" s="38">
        <f t="shared" si="7"/>
        <v>4330</v>
      </c>
      <c r="O420" s="35" t="s">
        <v>29</v>
      </c>
      <c r="P420" s="35" t="s">
        <v>30</v>
      </c>
      <c r="Q420" s="36">
        <v>46086</v>
      </c>
      <c r="R420" s="35" t="s">
        <v>31</v>
      </c>
      <c r="S420" s="35"/>
      <c r="T420" s="35"/>
    </row>
    <row r="421" spans="1:20" ht="15.6" x14ac:dyDescent="0.3">
      <c r="A421" s="35" t="s">
        <v>469</v>
      </c>
      <c r="B421" s="35" t="s">
        <v>480</v>
      </c>
      <c r="C421" s="35" t="s">
        <v>481</v>
      </c>
      <c r="D421" s="35" t="s">
        <v>479</v>
      </c>
      <c r="E421" s="41" t="s">
        <v>23</v>
      </c>
      <c r="F421" s="35" t="s">
        <v>482</v>
      </c>
      <c r="G421" s="35" t="s">
        <v>398</v>
      </c>
      <c r="H421" s="35" t="s">
        <v>56</v>
      </c>
      <c r="I421" s="35" t="s">
        <v>27</v>
      </c>
      <c r="J421" s="35">
        <v>488</v>
      </c>
      <c r="K421" s="35" t="s">
        <v>276</v>
      </c>
      <c r="L421" s="35">
        <v>20</v>
      </c>
      <c r="M421" s="37">
        <v>0</v>
      </c>
      <c r="N421" s="38">
        <f t="shared" si="7"/>
        <v>0</v>
      </c>
      <c r="O421" s="35" t="s">
        <v>29</v>
      </c>
      <c r="P421" s="35" t="s">
        <v>30</v>
      </c>
      <c r="Q421" s="36">
        <v>46056</v>
      </c>
      <c r="R421" s="35" t="s">
        <v>31</v>
      </c>
      <c r="S421" s="35"/>
      <c r="T421" s="35"/>
    </row>
    <row r="422" spans="1:20" ht="15.6" x14ac:dyDescent="0.3">
      <c r="A422" s="35" t="s">
        <v>469</v>
      </c>
      <c r="B422" s="35" t="s">
        <v>480</v>
      </c>
      <c r="C422" s="35" t="s">
        <v>481</v>
      </c>
      <c r="D422" s="35" t="s">
        <v>479</v>
      </c>
      <c r="E422" s="41" t="s">
        <v>23</v>
      </c>
      <c r="F422" s="35" t="s">
        <v>482</v>
      </c>
      <c r="G422" s="35" t="s">
        <v>396</v>
      </c>
      <c r="H422" s="35" t="s">
        <v>56</v>
      </c>
      <c r="I422" s="35" t="s">
        <v>27</v>
      </c>
      <c r="J422" s="35">
        <v>488</v>
      </c>
      <c r="K422" s="35" t="s">
        <v>276</v>
      </c>
      <c r="L422" s="35">
        <v>5</v>
      </c>
      <c r="M422" s="37">
        <v>0</v>
      </c>
      <c r="N422" s="38">
        <f t="shared" si="7"/>
        <v>0</v>
      </c>
      <c r="O422" s="35" t="s">
        <v>29</v>
      </c>
      <c r="P422" s="35" t="s">
        <v>30</v>
      </c>
      <c r="Q422" s="36">
        <v>46056</v>
      </c>
      <c r="R422" s="35" t="s">
        <v>31</v>
      </c>
      <c r="S422" s="35"/>
      <c r="T422" s="35"/>
    </row>
    <row r="423" spans="1:20" ht="15.6" x14ac:dyDescent="0.3">
      <c r="A423" s="35" t="s">
        <v>469</v>
      </c>
      <c r="B423" s="35" t="s">
        <v>480</v>
      </c>
      <c r="C423" s="35" t="s">
        <v>481</v>
      </c>
      <c r="D423" s="35" t="s">
        <v>479</v>
      </c>
      <c r="E423" s="41" t="s">
        <v>23</v>
      </c>
      <c r="F423" s="35" t="s">
        <v>482</v>
      </c>
      <c r="G423" s="35" t="s">
        <v>483</v>
      </c>
      <c r="H423" s="35" t="s">
        <v>56</v>
      </c>
      <c r="I423" s="35" t="s">
        <v>27</v>
      </c>
      <c r="J423" s="35">
        <v>488</v>
      </c>
      <c r="K423" s="35" t="s">
        <v>276</v>
      </c>
      <c r="L423" s="35">
        <v>1</v>
      </c>
      <c r="M423" s="37">
        <v>0</v>
      </c>
      <c r="N423" s="38">
        <f t="shared" si="7"/>
        <v>0</v>
      </c>
      <c r="O423" s="35" t="s">
        <v>29</v>
      </c>
      <c r="P423" s="35" t="s">
        <v>30</v>
      </c>
      <c r="Q423" s="36">
        <v>46056</v>
      </c>
      <c r="R423" s="35" t="s">
        <v>31</v>
      </c>
      <c r="S423" s="35"/>
      <c r="T423" s="35"/>
    </row>
    <row r="424" spans="1:20" ht="15.6" x14ac:dyDescent="0.3">
      <c r="A424" s="35" t="s">
        <v>469</v>
      </c>
      <c r="B424" s="35" t="s">
        <v>480</v>
      </c>
      <c r="C424" s="35" t="s">
        <v>481</v>
      </c>
      <c r="D424" s="35" t="s">
        <v>479</v>
      </c>
      <c r="E424" s="41" t="s">
        <v>23</v>
      </c>
      <c r="F424" s="35" t="s">
        <v>482</v>
      </c>
      <c r="G424" s="35" t="s">
        <v>419</v>
      </c>
      <c r="H424" s="35" t="s">
        <v>56</v>
      </c>
      <c r="I424" s="35" t="s">
        <v>27</v>
      </c>
      <c r="J424" s="35">
        <v>488</v>
      </c>
      <c r="K424" s="35" t="s">
        <v>276</v>
      </c>
      <c r="L424" s="35">
        <v>3</v>
      </c>
      <c r="M424" s="37">
        <v>0</v>
      </c>
      <c r="N424" s="38">
        <f t="shared" si="7"/>
        <v>0</v>
      </c>
      <c r="O424" s="35" t="s">
        <v>29</v>
      </c>
      <c r="P424" s="35" t="s">
        <v>30</v>
      </c>
      <c r="Q424" s="36">
        <v>46056</v>
      </c>
      <c r="R424" s="35" t="s">
        <v>31</v>
      </c>
      <c r="S424" s="35"/>
      <c r="T424" s="35"/>
    </row>
    <row r="425" spans="1:20" ht="15.6" x14ac:dyDescent="0.3">
      <c r="A425" s="35" t="s">
        <v>469</v>
      </c>
      <c r="B425" s="35" t="s">
        <v>480</v>
      </c>
      <c r="C425" s="35" t="s">
        <v>481</v>
      </c>
      <c r="D425" s="35" t="s">
        <v>479</v>
      </c>
      <c r="E425" s="41" t="s">
        <v>23</v>
      </c>
      <c r="F425" s="35" t="s">
        <v>482</v>
      </c>
      <c r="G425" s="35" t="s">
        <v>399</v>
      </c>
      <c r="H425" s="35" t="s">
        <v>56</v>
      </c>
      <c r="I425" s="35" t="s">
        <v>27</v>
      </c>
      <c r="J425" s="35">
        <v>488</v>
      </c>
      <c r="K425" s="35" t="s">
        <v>276</v>
      </c>
      <c r="L425" s="35">
        <v>5</v>
      </c>
      <c r="M425" s="37">
        <v>0</v>
      </c>
      <c r="N425" s="38">
        <f t="shared" si="7"/>
        <v>0</v>
      </c>
      <c r="O425" s="35" t="s">
        <v>29</v>
      </c>
      <c r="P425" s="35" t="s">
        <v>30</v>
      </c>
      <c r="Q425" s="36">
        <v>46056</v>
      </c>
      <c r="R425" s="35" t="s">
        <v>31</v>
      </c>
      <c r="S425" s="35"/>
      <c r="T425" s="35"/>
    </row>
    <row r="426" spans="1:20" ht="15.6" x14ac:dyDescent="0.3">
      <c r="A426" s="35" t="s">
        <v>469</v>
      </c>
      <c r="B426" s="35" t="s">
        <v>374</v>
      </c>
      <c r="C426" s="35" t="s">
        <v>375</v>
      </c>
      <c r="D426" s="35" t="s">
        <v>484</v>
      </c>
      <c r="E426" s="41" t="s">
        <v>23</v>
      </c>
      <c r="F426" s="35" t="s">
        <v>54</v>
      </c>
      <c r="G426" s="35" t="s">
        <v>41</v>
      </c>
      <c r="H426" s="35" t="s">
        <v>56</v>
      </c>
      <c r="I426" s="35" t="s">
        <v>27</v>
      </c>
      <c r="J426" s="35">
        <v>489</v>
      </c>
      <c r="K426" s="35" t="s">
        <v>28</v>
      </c>
      <c r="L426" s="35">
        <v>200</v>
      </c>
      <c r="M426" s="37">
        <v>0</v>
      </c>
      <c r="N426" s="38">
        <f t="shared" si="7"/>
        <v>0</v>
      </c>
      <c r="O426" s="35" t="s">
        <v>29</v>
      </c>
      <c r="P426" s="35" t="s">
        <v>30</v>
      </c>
      <c r="Q426" s="36">
        <v>46061</v>
      </c>
      <c r="R426" s="35" t="s">
        <v>31</v>
      </c>
      <c r="S426" s="35" t="s">
        <v>485</v>
      </c>
      <c r="T426" s="36">
        <v>46001</v>
      </c>
    </row>
    <row r="427" spans="1:20" ht="15.6" x14ac:dyDescent="0.3">
      <c r="A427" s="35" t="s">
        <v>469</v>
      </c>
      <c r="B427" s="35" t="s">
        <v>374</v>
      </c>
      <c r="C427" s="35" t="s">
        <v>375</v>
      </c>
      <c r="D427" s="35" t="s">
        <v>484</v>
      </c>
      <c r="E427" s="41" t="s">
        <v>23</v>
      </c>
      <c r="F427" s="35" t="s">
        <v>54</v>
      </c>
      <c r="G427" s="35" t="s">
        <v>41</v>
      </c>
      <c r="H427" s="35" t="s">
        <v>56</v>
      </c>
      <c r="I427" s="35" t="s">
        <v>27</v>
      </c>
      <c r="J427" s="35">
        <v>490</v>
      </c>
      <c r="K427" s="35" t="s">
        <v>28</v>
      </c>
      <c r="L427" s="35">
        <v>300</v>
      </c>
      <c r="M427" s="37">
        <v>0</v>
      </c>
      <c r="N427" s="38">
        <f t="shared" si="7"/>
        <v>0</v>
      </c>
      <c r="O427" s="35" t="s">
        <v>29</v>
      </c>
      <c r="P427" s="35" t="s">
        <v>30</v>
      </c>
      <c r="Q427" s="36">
        <v>46067</v>
      </c>
      <c r="R427" s="35" t="s">
        <v>31</v>
      </c>
      <c r="S427" s="35" t="s">
        <v>486</v>
      </c>
      <c r="T427" s="36">
        <v>46372</v>
      </c>
    </row>
    <row r="428" spans="1:20" ht="15.6" x14ac:dyDescent="0.3">
      <c r="A428" s="35" t="s">
        <v>469</v>
      </c>
      <c r="B428" s="35" t="s">
        <v>405</v>
      </c>
      <c r="C428" s="35" t="s">
        <v>406</v>
      </c>
      <c r="D428" s="35" t="s">
        <v>484</v>
      </c>
      <c r="E428" s="35" t="s">
        <v>47</v>
      </c>
      <c r="F428" s="35" t="s">
        <v>58</v>
      </c>
      <c r="G428" s="35" t="s">
        <v>407</v>
      </c>
      <c r="H428" s="35" t="s">
        <v>56</v>
      </c>
      <c r="I428" s="35" t="s">
        <v>27</v>
      </c>
      <c r="J428" s="35">
        <v>491</v>
      </c>
      <c r="K428" s="35" t="s">
        <v>123</v>
      </c>
      <c r="L428" s="35">
        <v>120</v>
      </c>
      <c r="M428" s="37">
        <v>0</v>
      </c>
      <c r="N428" s="38">
        <f t="shared" si="7"/>
        <v>0</v>
      </c>
      <c r="O428" s="35" t="s">
        <v>29</v>
      </c>
      <c r="P428" s="35" t="s">
        <v>30</v>
      </c>
      <c r="Q428" s="36">
        <v>46164</v>
      </c>
      <c r="R428" s="35" t="s">
        <v>31</v>
      </c>
      <c r="S428" s="35" t="s">
        <v>487</v>
      </c>
      <c r="T428" s="36">
        <v>46045</v>
      </c>
    </row>
    <row r="429" spans="1:20" ht="15.6" x14ac:dyDescent="0.3">
      <c r="A429" s="35" t="s">
        <v>469</v>
      </c>
      <c r="B429" s="35" t="s">
        <v>405</v>
      </c>
      <c r="C429" s="35" t="s">
        <v>406</v>
      </c>
      <c r="D429" s="35" t="s">
        <v>484</v>
      </c>
      <c r="E429" s="35" t="s">
        <v>47</v>
      </c>
      <c r="F429" s="35" t="s">
        <v>58</v>
      </c>
      <c r="G429" s="35" t="s">
        <v>408</v>
      </c>
      <c r="H429" s="35" t="s">
        <v>56</v>
      </c>
      <c r="I429" s="35" t="s">
        <v>27</v>
      </c>
      <c r="J429" s="35">
        <v>491</v>
      </c>
      <c r="K429" s="35" t="s">
        <v>123</v>
      </c>
      <c r="L429" s="35">
        <v>5</v>
      </c>
      <c r="M429" s="37">
        <v>0</v>
      </c>
      <c r="N429" s="38">
        <f t="shared" si="7"/>
        <v>0</v>
      </c>
      <c r="O429" s="35" t="s">
        <v>29</v>
      </c>
      <c r="P429" s="35" t="s">
        <v>30</v>
      </c>
      <c r="Q429" s="36">
        <v>46164</v>
      </c>
      <c r="R429" s="35" t="s">
        <v>31</v>
      </c>
      <c r="S429" s="35" t="s">
        <v>487</v>
      </c>
      <c r="T429" s="36">
        <v>46045</v>
      </c>
    </row>
    <row r="430" spans="1:20" ht="15.6" x14ac:dyDescent="0.3">
      <c r="A430" s="35" t="s">
        <v>469</v>
      </c>
      <c r="B430" s="35" t="s">
        <v>405</v>
      </c>
      <c r="C430" s="35" t="s">
        <v>406</v>
      </c>
      <c r="D430" s="35" t="s">
        <v>484</v>
      </c>
      <c r="E430" s="35" t="s">
        <v>47</v>
      </c>
      <c r="F430" s="35" t="s">
        <v>58</v>
      </c>
      <c r="G430" s="35" t="s">
        <v>287</v>
      </c>
      <c r="H430" s="35" t="s">
        <v>56</v>
      </c>
      <c r="I430" s="35" t="s">
        <v>27</v>
      </c>
      <c r="J430" s="35">
        <v>491</v>
      </c>
      <c r="K430" s="35" t="s">
        <v>123</v>
      </c>
      <c r="L430" s="35">
        <v>1</v>
      </c>
      <c r="M430" s="37">
        <v>0</v>
      </c>
      <c r="N430" s="38">
        <f t="shared" si="7"/>
        <v>0</v>
      </c>
      <c r="O430" s="35" t="s">
        <v>29</v>
      </c>
      <c r="P430" s="35" t="s">
        <v>30</v>
      </c>
      <c r="Q430" s="36">
        <v>46164</v>
      </c>
      <c r="R430" s="35" t="s">
        <v>31</v>
      </c>
      <c r="S430" s="35" t="s">
        <v>487</v>
      </c>
      <c r="T430" s="36">
        <v>46045</v>
      </c>
    </row>
    <row r="431" spans="1:20" ht="15.6" x14ac:dyDescent="0.3">
      <c r="A431" s="35" t="s">
        <v>469</v>
      </c>
      <c r="B431" s="35" t="s">
        <v>405</v>
      </c>
      <c r="C431" s="35" t="s">
        <v>406</v>
      </c>
      <c r="D431" s="35" t="s">
        <v>484</v>
      </c>
      <c r="E431" s="35" t="s">
        <v>47</v>
      </c>
      <c r="F431" s="35" t="s">
        <v>58</v>
      </c>
      <c r="G431" s="35" t="s">
        <v>409</v>
      </c>
      <c r="H431" s="35" t="s">
        <v>26</v>
      </c>
      <c r="I431" s="35" t="s">
        <v>27</v>
      </c>
      <c r="J431" s="35">
        <v>492</v>
      </c>
      <c r="K431" s="35" t="s">
        <v>123</v>
      </c>
      <c r="L431" s="35">
        <v>60</v>
      </c>
      <c r="M431" s="37">
        <v>0</v>
      </c>
      <c r="N431" s="38">
        <f t="shared" si="7"/>
        <v>0</v>
      </c>
      <c r="O431" s="35" t="s">
        <v>29</v>
      </c>
      <c r="P431" s="35" t="s">
        <v>30</v>
      </c>
      <c r="Q431" s="36">
        <v>46164</v>
      </c>
      <c r="R431" s="35" t="s">
        <v>31</v>
      </c>
      <c r="S431" s="35" t="s">
        <v>488</v>
      </c>
      <c r="T431" s="36">
        <v>46045</v>
      </c>
    </row>
    <row r="432" spans="1:20" ht="15.6" x14ac:dyDescent="0.3">
      <c r="A432" s="35" t="s">
        <v>469</v>
      </c>
      <c r="B432" s="35" t="s">
        <v>405</v>
      </c>
      <c r="C432" s="35" t="s">
        <v>406</v>
      </c>
      <c r="D432" s="35" t="s">
        <v>484</v>
      </c>
      <c r="E432" s="35" t="s">
        <v>47</v>
      </c>
      <c r="F432" s="35" t="s">
        <v>58</v>
      </c>
      <c r="G432" s="35" t="s">
        <v>410</v>
      </c>
      <c r="H432" s="35" t="s">
        <v>26</v>
      </c>
      <c r="I432" s="35" t="s">
        <v>27</v>
      </c>
      <c r="J432" s="35">
        <v>492</v>
      </c>
      <c r="K432" s="35" t="s">
        <v>123</v>
      </c>
      <c r="L432" s="35">
        <v>480</v>
      </c>
      <c r="M432" s="37">
        <v>0</v>
      </c>
      <c r="N432" s="38">
        <f t="shared" si="7"/>
        <v>0</v>
      </c>
      <c r="O432" s="35" t="s">
        <v>29</v>
      </c>
      <c r="P432" s="35" t="s">
        <v>30</v>
      </c>
      <c r="Q432" s="36">
        <v>46164</v>
      </c>
      <c r="R432" s="35" t="s">
        <v>31</v>
      </c>
      <c r="S432" s="35" t="s">
        <v>488</v>
      </c>
      <c r="T432" s="36">
        <v>46045</v>
      </c>
    </row>
    <row r="433" spans="1:20" ht="15.6" x14ac:dyDescent="0.3">
      <c r="A433" s="35" t="s">
        <v>469</v>
      </c>
      <c r="B433" s="35" t="s">
        <v>405</v>
      </c>
      <c r="C433" s="35" t="s">
        <v>406</v>
      </c>
      <c r="D433" s="35" t="s">
        <v>484</v>
      </c>
      <c r="E433" s="35" t="s">
        <v>47</v>
      </c>
      <c r="F433" s="35" t="s">
        <v>58</v>
      </c>
      <c r="G433" s="35" t="s">
        <v>289</v>
      </c>
      <c r="H433" s="35" t="s">
        <v>26</v>
      </c>
      <c r="I433" s="35" t="s">
        <v>27</v>
      </c>
      <c r="J433" s="35">
        <v>492</v>
      </c>
      <c r="K433" s="35" t="s">
        <v>123</v>
      </c>
      <c r="L433" s="35">
        <v>440</v>
      </c>
      <c r="M433" s="37">
        <v>0</v>
      </c>
      <c r="N433" s="38">
        <f t="shared" si="7"/>
        <v>0</v>
      </c>
      <c r="O433" s="35" t="s">
        <v>29</v>
      </c>
      <c r="P433" s="35" t="s">
        <v>30</v>
      </c>
      <c r="Q433" s="36">
        <v>46164</v>
      </c>
      <c r="R433" s="35" t="s">
        <v>31</v>
      </c>
      <c r="S433" s="35" t="s">
        <v>488</v>
      </c>
      <c r="T433" s="36">
        <v>46045</v>
      </c>
    </row>
    <row r="434" spans="1:20" ht="15.6" x14ac:dyDescent="0.3">
      <c r="A434" s="35" t="s">
        <v>469</v>
      </c>
      <c r="B434" s="35" t="s">
        <v>489</v>
      </c>
      <c r="C434" s="35" t="s">
        <v>490</v>
      </c>
      <c r="D434" s="35" t="s">
        <v>491</v>
      </c>
      <c r="E434" s="35" t="s">
        <v>88</v>
      </c>
      <c r="F434" s="35" t="s">
        <v>24</v>
      </c>
      <c r="G434" s="35" t="s">
        <v>41</v>
      </c>
      <c r="H434" s="35" t="s">
        <v>26</v>
      </c>
      <c r="I434" s="35" t="s">
        <v>27</v>
      </c>
      <c r="J434" s="35">
        <v>493</v>
      </c>
      <c r="K434" s="35" t="s">
        <v>28</v>
      </c>
      <c r="L434" s="35">
        <v>320</v>
      </c>
      <c r="M434" s="37">
        <v>0</v>
      </c>
      <c r="N434" s="38">
        <f t="shared" si="7"/>
        <v>0</v>
      </c>
      <c r="O434" s="35" t="s">
        <v>29</v>
      </c>
      <c r="P434" s="35" t="s">
        <v>30</v>
      </c>
      <c r="Q434" s="36">
        <v>46088</v>
      </c>
      <c r="R434" s="35" t="s">
        <v>31</v>
      </c>
      <c r="S434" s="35" t="s">
        <v>492</v>
      </c>
      <c r="T434" s="36">
        <v>45978</v>
      </c>
    </row>
    <row r="435" spans="1:20" ht="15.6" x14ac:dyDescent="0.3">
      <c r="A435" s="35" t="s">
        <v>469</v>
      </c>
      <c r="B435" s="35" t="s">
        <v>489</v>
      </c>
      <c r="C435" s="35" t="s">
        <v>490</v>
      </c>
      <c r="D435" s="35" t="s">
        <v>491</v>
      </c>
      <c r="E435" s="35" t="s">
        <v>88</v>
      </c>
      <c r="F435" s="35" t="s">
        <v>24</v>
      </c>
      <c r="G435" s="35" t="s">
        <v>302</v>
      </c>
      <c r="H435" s="35" t="s">
        <v>26</v>
      </c>
      <c r="I435" s="35" t="s">
        <v>27</v>
      </c>
      <c r="J435" s="35">
        <v>493</v>
      </c>
      <c r="K435" s="35" t="s">
        <v>28</v>
      </c>
      <c r="L435" s="35">
        <v>80</v>
      </c>
      <c r="M435" s="37">
        <v>0</v>
      </c>
      <c r="N435" s="38">
        <f t="shared" si="7"/>
        <v>0</v>
      </c>
      <c r="O435" s="35" t="s">
        <v>29</v>
      </c>
      <c r="P435" s="35" t="s">
        <v>30</v>
      </c>
      <c r="Q435" s="36">
        <v>46088</v>
      </c>
      <c r="R435" s="35" t="s">
        <v>31</v>
      </c>
      <c r="S435" s="35" t="s">
        <v>492</v>
      </c>
      <c r="T435" s="36">
        <v>45978</v>
      </c>
    </row>
    <row r="436" spans="1:20" ht="15.6" x14ac:dyDescent="0.3">
      <c r="A436" s="35" t="s">
        <v>469</v>
      </c>
      <c r="B436" s="35" t="s">
        <v>489</v>
      </c>
      <c r="C436" s="35" t="s">
        <v>490</v>
      </c>
      <c r="D436" s="35" t="s">
        <v>491</v>
      </c>
      <c r="E436" s="35" t="s">
        <v>88</v>
      </c>
      <c r="F436" s="35" t="s">
        <v>24</v>
      </c>
      <c r="G436" s="35" t="s">
        <v>493</v>
      </c>
      <c r="H436" s="35" t="s">
        <v>26</v>
      </c>
      <c r="I436" s="35" t="s">
        <v>27</v>
      </c>
      <c r="J436" s="35">
        <v>493</v>
      </c>
      <c r="K436" s="35" t="s">
        <v>28</v>
      </c>
      <c r="L436" s="35">
        <v>10</v>
      </c>
      <c r="M436" s="37">
        <v>0</v>
      </c>
      <c r="N436" s="38">
        <f t="shared" si="7"/>
        <v>0</v>
      </c>
      <c r="O436" s="35" t="s">
        <v>29</v>
      </c>
      <c r="P436" s="35" t="s">
        <v>30</v>
      </c>
      <c r="Q436" s="36">
        <v>46088</v>
      </c>
      <c r="R436" s="35" t="s">
        <v>31</v>
      </c>
      <c r="S436" s="35" t="s">
        <v>492</v>
      </c>
      <c r="T436" s="36">
        <v>45978</v>
      </c>
    </row>
    <row r="437" spans="1:20" ht="15.6" x14ac:dyDescent="0.3">
      <c r="A437" s="35" t="s">
        <v>469</v>
      </c>
      <c r="B437" s="35" t="s">
        <v>489</v>
      </c>
      <c r="C437" s="35" t="s">
        <v>490</v>
      </c>
      <c r="D437" s="35" t="s">
        <v>491</v>
      </c>
      <c r="E437" s="35" t="s">
        <v>88</v>
      </c>
      <c r="F437" s="35" t="s">
        <v>24</v>
      </c>
      <c r="G437" s="35" t="s">
        <v>153</v>
      </c>
      <c r="H437" s="35" t="s">
        <v>26</v>
      </c>
      <c r="I437" s="35" t="s">
        <v>27</v>
      </c>
      <c r="J437" s="35">
        <v>493</v>
      </c>
      <c r="K437" s="35" t="s">
        <v>28</v>
      </c>
      <c r="L437" s="35">
        <v>80</v>
      </c>
      <c r="M437" s="37">
        <v>0</v>
      </c>
      <c r="N437" s="38">
        <f t="shared" si="7"/>
        <v>0</v>
      </c>
      <c r="O437" s="35" t="s">
        <v>29</v>
      </c>
      <c r="P437" s="35" t="s">
        <v>30</v>
      </c>
      <c r="Q437" s="36">
        <v>46088</v>
      </c>
      <c r="R437" s="35" t="s">
        <v>31</v>
      </c>
      <c r="S437" s="35" t="s">
        <v>492</v>
      </c>
      <c r="T437" s="36">
        <v>45978</v>
      </c>
    </row>
    <row r="438" spans="1:20" ht="15.6" x14ac:dyDescent="0.3">
      <c r="A438" s="35" t="s">
        <v>469</v>
      </c>
      <c r="B438" s="35" t="s">
        <v>489</v>
      </c>
      <c r="C438" s="35" t="s">
        <v>490</v>
      </c>
      <c r="D438" s="35" t="s">
        <v>491</v>
      </c>
      <c r="E438" s="35" t="s">
        <v>88</v>
      </c>
      <c r="F438" s="35" t="s">
        <v>24</v>
      </c>
      <c r="G438" s="35" t="s">
        <v>494</v>
      </c>
      <c r="H438" s="35" t="s">
        <v>26</v>
      </c>
      <c r="I438" s="35" t="s">
        <v>27</v>
      </c>
      <c r="J438" s="35">
        <v>493</v>
      </c>
      <c r="K438" s="35" t="s">
        <v>28</v>
      </c>
      <c r="L438" s="35">
        <v>10</v>
      </c>
      <c r="M438" s="37">
        <v>0</v>
      </c>
      <c r="N438" s="38">
        <f t="shared" si="7"/>
        <v>0</v>
      </c>
      <c r="O438" s="35" t="s">
        <v>29</v>
      </c>
      <c r="P438" s="35" t="s">
        <v>30</v>
      </c>
      <c r="Q438" s="36">
        <v>46088</v>
      </c>
      <c r="R438" s="35" t="s">
        <v>31</v>
      </c>
      <c r="S438" s="35" t="s">
        <v>492</v>
      </c>
      <c r="T438" s="36">
        <v>45978</v>
      </c>
    </row>
    <row r="439" spans="1:20" ht="15.6" x14ac:dyDescent="0.3">
      <c r="A439" s="35" t="s">
        <v>469</v>
      </c>
      <c r="B439" s="35" t="s">
        <v>489</v>
      </c>
      <c r="C439" s="35" t="s">
        <v>490</v>
      </c>
      <c r="D439" s="35" t="s">
        <v>491</v>
      </c>
      <c r="E439" s="35" t="s">
        <v>88</v>
      </c>
      <c r="F439" s="35" t="s">
        <v>24</v>
      </c>
      <c r="G439" s="35" t="s">
        <v>158</v>
      </c>
      <c r="H439" s="35" t="s">
        <v>26</v>
      </c>
      <c r="I439" s="35" t="s">
        <v>27</v>
      </c>
      <c r="J439" s="35">
        <v>493</v>
      </c>
      <c r="K439" s="35" t="s">
        <v>28</v>
      </c>
      <c r="L439" s="35">
        <v>320</v>
      </c>
      <c r="M439" s="37">
        <v>0</v>
      </c>
      <c r="N439" s="38">
        <f t="shared" si="7"/>
        <v>0</v>
      </c>
      <c r="O439" s="35" t="s">
        <v>29</v>
      </c>
      <c r="P439" s="35" t="s">
        <v>30</v>
      </c>
      <c r="Q439" s="36">
        <v>46088</v>
      </c>
      <c r="R439" s="35" t="s">
        <v>31</v>
      </c>
      <c r="S439" s="35" t="s">
        <v>492</v>
      </c>
      <c r="T439" s="36">
        <v>45978</v>
      </c>
    </row>
    <row r="440" spans="1:20" ht="15.6" x14ac:dyDescent="0.3">
      <c r="A440" s="35" t="s">
        <v>469</v>
      </c>
      <c r="B440" s="35" t="s">
        <v>489</v>
      </c>
      <c r="C440" s="35" t="s">
        <v>490</v>
      </c>
      <c r="D440" s="35" t="s">
        <v>491</v>
      </c>
      <c r="E440" s="35" t="s">
        <v>88</v>
      </c>
      <c r="F440" s="35" t="s">
        <v>24</v>
      </c>
      <c r="G440" s="35" t="s">
        <v>122</v>
      </c>
      <c r="H440" s="35" t="s">
        <v>26</v>
      </c>
      <c r="I440" s="35" t="s">
        <v>27</v>
      </c>
      <c r="J440" s="35">
        <v>493</v>
      </c>
      <c r="K440" s="35" t="s">
        <v>28</v>
      </c>
      <c r="L440" s="35">
        <v>280</v>
      </c>
      <c r="M440" s="37">
        <v>0</v>
      </c>
      <c r="N440" s="38">
        <f t="shared" si="7"/>
        <v>0</v>
      </c>
      <c r="O440" s="35" t="s">
        <v>29</v>
      </c>
      <c r="P440" s="35" t="s">
        <v>30</v>
      </c>
      <c r="Q440" s="36">
        <v>46088</v>
      </c>
      <c r="R440" s="35" t="s">
        <v>31</v>
      </c>
      <c r="S440" s="35" t="s">
        <v>492</v>
      </c>
      <c r="T440" s="36">
        <v>45978</v>
      </c>
    </row>
    <row r="441" spans="1:20" ht="15.6" x14ac:dyDescent="0.3">
      <c r="A441" s="35" t="s">
        <v>469</v>
      </c>
      <c r="B441" s="35" t="s">
        <v>489</v>
      </c>
      <c r="C441" s="35" t="s">
        <v>490</v>
      </c>
      <c r="D441" s="35" t="s">
        <v>491</v>
      </c>
      <c r="E441" s="35" t="s">
        <v>88</v>
      </c>
      <c r="F441" s="35" t="s">
        <v>24</v>
      </c>
      <c r="G441" s="35" t="s">
        <v>495</v>
      </c>
      <c r="H441" s="35" t="s">
        <v>26</v>
      </c>
      <c r="I441" s="35" t="s">
        <v>27</v>
      </c>
      <c r="J441" s="35">
        <v>493</v>
      </c>
      <c r="K441" s="35" t="s">
        <v>28</v>
      </c>
      <c r="L441" s="35">
        <v>140</v>
      </c>
      <c r="M441" s="37">
        <v>0</v>
      </c>
      <c r="N441" s="38">
        <f t="shared" si="7"/>
        <v>0</v>
      </c>
      <c r="O441" s="35" t="s">
        <v>29</v>
      </c>
      <c r="P441" s="35" t="s">
        <v>30</v>
      </c>
      <c r="Q441" s="36">
        <v>46088</v>
      </c>
      <c r="R441" s="35" t="s">
        <v>31</v>
      </c>
      <c r="S441" s="35" t="s">
        <v>492</v>
      </c>
      <c r="T441" s="36">
        <v>45978</v>
      </c>
    </row>
    <row r="442" spans="1:20" ht="15.6" x14ac:dyDescent="0.3">
      <c r="A442" s="35" t="s">
        <v>469</v>
      </c>
      <c r="B442" s="35" t="s">
        <v>489</v>
      </c>
      <c r="C442" s="35" t="s">
        <v>490</v>
      </c>
      <c r="D442" s="35" t="s">
        <v>491</v>
      </c>
      <c r="E442" s="35" t="s">
        <v>88</v>
      </c>
      <c r="F442" s="35" t="s">
        <v>24</v>
      </c>
      <c r="G442" s="35" t="s">
        <v>496</v>
      </c>
      <c r="H442" s="35" t="s">
        <v>26</v>
      </c>
      <c r="I442" s="35" t="s">
        <v>27</v>
      </c>
      <c r="J442" s="35">
        <v>493</v>
      </c>
      <c r="K442" s="35" t="s">
        <v>7</v>
      </c>
      <c r="L442" s="35">
        <v>28</v>
      </c>
      <c r="M442" s="37">
        <v>0</v>
      </c>
      <c r="N442" s="38">
        <f t="shared" si="7"/>
        <v>0</v>
      </c>
      <c r="O442" s="35" t="s">
        <v>29</v>
      </c>
      <c r="P442" s="35" t="s">
        <v>30</v>
      </c>
      <c r="Q442" s="36">
        <v>46088</v>
      </c>
      <c r="R442" s="35" t="s">
        <v>31</v>
      </c>
      <c r="S442" s="35" t="s">
        <v>492</v>
      </c>
      <c r="T442" s="36">
        <v>45978</v>
      </c>
    </row>
    <row r="443" spans="1:20" ht="15.6" x14ac:dyDescent="0.3">
      <c r="A443" s="35" t="s">
        <v>469</v>
      </c>
      <c r="B443" s="35" t="s">
        <v>489</v>
      </c>
      <c r="C443" s="35" t="s">
        <v>490</v>
      </c>
      <c r="D443" s="35" t="s">
        <v>491</v>
      </c>
      <c r="E443" s="35" t="s">
        <v>88</v>
      </c>
      <c r="F443" s="35" t="s">
        <v>24</v>
      </c>
      <c r="G443" s="35" t="s">
        <v>44</v>
      </c>
      <c r="H443" s="35" t="s">
        <v>26</v>
      </c>
      <c r="I443" s="35" t="s">
        <v>27</v>
      </c>
      <c r="J443" s="35">
        <v>493</v>
      </c>
      <c r="K443" s="35" t="s">
        <v>28</v>
      </c>
      <c r="L443" s="35">
        <v>460</v>
      </c>
      <c r="M443" s="37">
        <v>0</v>
      </c>
      <c r="N443" s="38">
        <f t="shared" si="7"/>
        <v>0</v>
      </c>
      <c r="O443" s="35" t="s">
        <v>29</v>
      </c>
      <c r="P443" s="35" t="s">
        <v>30</v>
      </c>
      <c r="Q443" s="36">
        <v>46088</v>
      </c>
      <c r="R443" s="35" t="s">
        <v>31</v>
      </c>
      <c r="S443" s="35" t="s">
        <v>492</v>
      </c>
      <c r="T443" s="36">
        <v>45978</v>
      </c>
    </row>
    <row r="444" spans="1:20" ht="15.6" x14ac:dyDescent="0.3">
      <c r="A444" s="35" t="s">
        <v>469</v>
      </c>
      <c r="B444" s="35" t="s">
        <v>497</v>
      </c>
      <c r="C444" s="35" t="s">
        <v>498</v>
      </c>
      <c r="D444" s="35" t="s">
        <v>491</v>
      </c>
      <c r="E444" s="35" t="s">
        <v>88</v>
      </c>
      <c r="F444" s="35" t="s">
        <v>58</v>
      </c>
      <c r="G444" s="35" t="s">
        <v>253</v>
      </c>
      <c r="H444" s="35" t="s">
        <v>56</v>
      </c>
      <c r="I444" s="35" t="s">
        <v>64</v>
      </c>
      <c r="J444" s="35">
        <v>194</v>
      </c>
      <c r="K444" s="35" t="s">
        <v>123</v>
      </c>
      <c r="L444" s="35">
        <v>80</v>
      </c>
      <c r="M444" s="37">
        <v>336175</v>
      </c>
      <c r="N444" s="38">
        <f t="shared" si="7"/>
        <v>4202.1875</v>
      </c>
      <c r="O444" s="35" t="s">
        <v>29</v>
      </c>
      <c r="P444" s="35" t="s">
        <v>30</v>
      </c>
      <c r="Q444" s="36">
        <v>46178</v>
      </c>
      <c r="R444" s="35" t="s">
        <v>31</v>
      </c>
      <c r="S444" s="35"/>
      <c r="T444" s="35"/>
    </row>
    <row r="445" spans="1:20" ht="15.6" x14ac:dyDescent="0.3">
      <c r="A445" s="35" t="s">
        <v>469</v>
      </c>
      <c r="B445" s="35" t="s">
        <v>497</v>
      </c>
      <c r="C445" s="35" t="s">
        <v>498</v>
      </c>
      <c r="D445" s="35" t="s">
        <v>491</v>
      </c>
      <c r="E445" s="35" t="s">
        <v>88</v>
      </c>
      <c r="F445" s="35" t="s">
        <v>58</v>
      </c>
      <c r="G445" s="35" t="s">
        <v>320</v>
      </c>
      <c r="H445" s="35" t="s">
        <v>56</v>
      </c>
      <c r="I445" s="35" t="s">
        <v>64</v>
      </c>
      <c r="J445" s="35">
        <v>194</v>
      </c>
      <c r="K445" s="35" t="s">
        <v>123</v>
      </c>
      <c r="L445" s="35">
        <v>10</v>
      </c>
      <c r="M445" s="37">
        <v>42022</v>
      </c>
      <c r="N445" s="38">
        <f t="shared" si="7"/>
        <v>4202.2</v>
      </c>
      <c r="O445" s="35" t="s">
        <v>29</v>
      </c>
      <c r="P445" s="35" t="s">
        <v>30</v>
      </c>
      <c r="Q445" s="36">
        <v>46178</v>
      </c>
      <c r="R445" s="35" t="s">
        <v>31</v>
      </c>
      <c r="S445" s="35"/>
      <c r="T445" s="35"/>
    </row>
    <row r="446" spans="1:20" ht="15.6" x14ac:dyDescent="0.3">
      <c r="A446" s="35" t="s">
        <v>469</v>
      </c>
      <c r="B446" s="35" t="s">
        <v>499</v>
      </c>
      <c r="C446" s="35" t="s">
        <v>500</v>
      </c>
      <c r="D446" s="35" t="s">
        <v>501</v>
      </c>
      <c r="E446" s="35" t="s">
        <v>47</v>
      </c>
      <c r="F446" s="35" t="s">
        <v>24</v>
      </c>
      <c r="G446" s="35" t="s">
        <v>242</v>
      </c>
      <c r="H446" s="35" t="s">
        <v>26</v>
      </c>
      <c r="I446" s="35" t="s">
        <v>64</v>
      </c>
      <c r="J446" s="35">
        <v>195</v>
      </c>
      <c r="K446" s="35" t="s">
        <v>123</v>
      </c>
      <c r="L446" s="35">
        <v>20</v>
      </c>
      <c r="M446" s="37">
        <v>178400</v>
      </c>
      <c r="N446" s="38">
        <f t="shared" si="7"/>
        <v>8920</v>
      </c>
      <c r="O446" s="35" t="s">
        <v>29</v>
      </c>
      <c r="P446" s="35" t="s">
        <v>30</v>
      </c>
      <c r="Q446" s="36">
        <v>46089</v>
      </c>
      <c r="R446" s="35" t="s">
        <v>31</v>
      </c>
      <c r="S446" s="35"/>
      <c r="T446" s="35"/>
    </row>
    <row r="447" spans="1:20" ht="15.6" x14ac:dyDescent="0.3">
      <c r="A447" s="35" t="s">
        <v>469</v>
      </c>
      <c r="B447" s="35" t="s">
        <v>499</v>
      </c>
      <c r="C447" s="35" t="s">
        <v>500</v>
      </c>
      <c r="D447" s="35" t="s">
        <v>501</v>
      </c>
      <c r="E447" s="35" t="s">
        <v>47</v>
      </c>
      <c r="F447" s="35" t="s">
        <v>24</v>
      </c>
      <c r="G447" s="35" t="s">
        <v>165</v>
      </c>
      <c r="H447" s="35" t="s">
        <v>26</v>
      </c>
      <c r="I447" s="35" t="s">
        <v>64</v>
      </c>
      <c r="J447" s="35">
        <v>195</v>
      </c>
      <c r="K447" s="35" t="s">
        <v>123</v>
      </c>
      <c r="L447" s="35">
        <v>20</v>
      </c>
      <c r="M447" s="37">
        <v>104800</v>
      </c>
      <c r="N447" s="38">
        <f t="shared" si="7"/>
        <v>5240</v>
      </c>
      <c r="O447" s="35" t="s">
        <v>29</v>
      </c>
      <c r="P447" s="35" t="s">
        <v>30</v>
      </c>
      <c r="Q447" s="36">
        <v>46089</v>
      </c>
      <c r="R447" s="35" t="s">
        <v>31</v>
      </c>
      <c r="S447" s="35"/>
      <c r="T447" s="35"/>
    </row>
    <row r="448" spans="1:20" ht="15.6" x14ac:dyDescent="0.3">
      <c r="A448" s="35" t="s">
        <v>469</v>
      </c>
      <c r="B448" s="35" t="s">
        <v>499</v>
      </c>
      <c r="C448" s="35" t="s">
        <v>500</v>
      </c>
      <c r="D448" s="35" t="s">
        <v>501</v>
      </c>
      <c r="E448" s="35" t="s">
        <v>47</v>
      </c>
      <c r="F448" s="35" t="s">
        <v>24</v>
      </c>
      <c r="G448" s="35" t="s">
        <v>326</v>
      </c>
      <c r="H448" s="35" t="s">
        <v>26</v>
      </c>
      <c r="I448" s="35" t="s">
        <v>64</v>
      </c>
      <c r="J448" s="35">
        <v>195</v>
      </c>
      <c r="K448" s="35" t="s">
        <v>123</v>
      </c>
      <c r="L448" s="35">
        <v>5</v>
      </c>
      <c r="M448" s="37">
        <v>28895</v>
      </c>
      <c r="N448" s="38">
        <f t="shared" si="7"/>
        <v>5779</v>
      </c>
      <c r="O448" s="35" t="s">
        <v>29</v>
      </c>
      <c r="P448" s="35" t="s">
        <v>30</v>
      </c>
      <c r="Q448" s="36">
        <v>46089</v>
      </c>
      <c r="R448" s="35" t="s">
        <v>31</v>
      </c>
      <c r="S448" s="35"/>
      <c r="T448" s="35"/>
    </row>
    <row r="449" spans="1:20" ht="15.6" x14ac:dyDescent="0.3">
      <c r="A449" s="35" t="s">
        <v>469</v>
      </c>
      <c r="B449" s="35" t="s">
        <v>499</v>
      </c>
      <c r="C449" s="35" t="s">
        <v>500</v>
      </c>
      <c r="D449" s="35" t="s">
        <v>501</v>
      </c>
      <c r="E449" s="35" t="s">
        <v>47</v>
      </c>
      <c r="F449" s="35" t="s">
        <v>24</v>
      </c>
      <c r="G449" s="35" t="s">
        <v>275</v>
      </c>
      <c r="H449" s="35" t="s">
        <v>26</v>
      </c>
      <c r="I449" s="35" t="s">
        <v>64</v>
      </c>
      <c r="J449" s="35">
        <v>195</v>
      </c>
      <c r="K449" s="35" t="s">
        <v>276</v>
      </c>
      <c r="L449" s="35">
        <v>3</v>
      </c>
      <c r="M449" s="37">
        <v>114000</v>
      </c>
      <c r="N449" s="38">
        <f t="shared" si="7"/>
        <v>38000</v>
      </c>
      <c r="O449" s="35" t="s">
        <v>29</v>
      </c>
      <c r="P449" s="35" t="s">
        <v>30</v>
      </c>
      <c r="Q449" s="36">
        <v>46089</v>
      </c>
      <c r="R449" s="35" t="s">
        <v>31</v>
      </c>
      <c r="S449" s="35"/>
      <c r="T449" s="35"/>
    </row>
    <row r="450" spans="1:20" ht="15.6" x14ac:dyDescent="0.3">
      <c r="A450" s="35" t="s">
        <v>469</v>
      </c>
      <c r="B450" s="35" t="s">
        <v>499</v>
      </c>
      <c r="C450" s="35" t="s">
        <v>500</v>
      </c>
      <c r="D450" s="35" t="s">
        <v>501</v>
      </c>
      <c r="E450" s="35" t="s">
        <v>47</v>
      </c>
      <c r="F450" s="35" t="s">
        <v>24</v>
      </c>
      <c r="G450" s="35" t="s">
        <v>197</v>
      </c>
      <c r="H450" s="35" t="s">
        <v>26</v>
      </c>
      <c r="I450" s="35" t="s">
        <v>64</v>
      </c>
      <c r="J450" s="35">
        <v>195</v>
      </c>
      <c r="K450" s="35" t="s">
        <v>276</v>
      </c>
      <c r="L450" s="35">
        <v>1</v>
      </c>
      <c r="M450" s="37">
        <v>28000</v>
      </c>
      <c r="N450" s="38">
        <f t="shared" si="7"/>
        <v>28000</v>
      </c>
      <c r="O450" s="35" t="s">
        <v>29</v>
      </c>
      <c r="P450" s="35" t="s">
        <v>30</v>
      </c>
      <c r="Q450" s="36">
        <v>46089</v>
      </c>
      <c r="R450" s="35" t="s">
        <v>31</v>
      </c>
      <c r="S450" s="35"/>
      <c r="T450" s="35"/>
    </row>
    <row r="451" spans="1:20" ht="15.6" x14ac:dyDescent="0.3">
      <c r="A451" s="35" t="s">
        <v>469</v>
      </c>
      <c r="B451" s="35" t="s">
        <v>499</v>
      </c>
      <c r="C451" s="35" t="s">
        <v>500</v>
      </c>
      <c r="D451" s="35" t="s">
        <v>501</v>
      </c>
      <c r="E451" s="35" t="s">
        <v>47</v>
      </c>
      <c r="F451" s="35" t="s">
        <v>24</v>
      </c>
      <c r="G451" s="35" t="s">
        <v>467</v>
      </c>
      <c r="H451" s="35" t="s">
        <v>26</v>
      </c>
      <c r="I451" s="35" t="s">
        <v>64</v>
      </c>
      <c r="J451" s="35">
        <v>195</v>
      </c>
      <c r="K451" s="35" t="s">
        <v>276</v>
      </c>
      <c r="L451" s="35">
        <v>1</v>
      </c>
      <c r="M451" s="37">
        <v>28000</v>
      </c>
      <c r="N451" s="38">
        <f t="shared" si="7"/>
        <v>28000</v>
      </c>
      <c r="O451" s="35" t="s">
        <v>29</v>
      </c>
      <c r="P451" s="35" t="s">
        <v>30</v>
      </c>
      <c r="Q451" s="36">
        <v>46089</v>
      </c>
      <c r="R451" s="35" t="s">
        <v>31</v>
      </c>
      <c r="S451" s="35"/>
      <c r="T451" s="35"/>
    </row>
    <row r="452" spans="1:20" ht="15.6" x14ac:dyDescent="0.3">
      <c r="A452" s="35" t="s">
        <v>469</v>
      </c>
      <c r="B452" s="35" t="s">
        <v>502</v>
      </c>
      <c r="C452" s="35" t="s">
        <v>503</v>
      </c>
      <c r="D452" s="35" t="s">
        <v>501</v>
      </c>
      <c r="E452" s="35" t="s">
        <v>88</v>
      </c>
      <c r="F452" s="35" t="s">
        <v>24</v>
      </c>
      <c r="G452" s="35" t="s">
        <v>379</v>
      </c>
      <c r="H452" s="35" t="s">
        <v>26</v>
      </c>
      <c r="I452" s="35" t="s">
        <v>64</v>
      </c>
      <c r="J452" s="35">
        <v>196</v>
      </c>
      <c r="K452" s="35" t="s">
        <v>123</v>
      </c>
      <c r="L452" s="35">
        <v>20</v>
      </c>
      <c r="M452" s="37">
        <v>80000</v>
      </c>
      <c r="N452" s="38">
        <f t="shared" si="7"/>
        <v>4000</v>
      </c>
      <c r="O452" s="35" t="s">
        <v>29</v>
      </c>
      <c r="P452" s="35" t="s">
        <v>30</v>
      </c>
      <c r="Q452" s="36">
        <v>46089</v>
      </c>
      <c r="R452" s="35" t="s">
        <v>31</v>
      </c>
      <c r="S452" s="35"/>
      <c r="T452" s="35"/>
    </row>
    <row r="453" spans="1:20" ht="15.6" x14ac:dyDescent="0.3">
      <c r="A453" s="35" t="s">
        <v>469</v>
      </c>
      <c r="B453" s="35" t="s">
        <v>502</v>
      </c>
      <c r="C453" s="35" t="s">
        <v>503</v>
      </c>
      <c r="D453" s="35" t="s">
        <v>501</v>
      </c>
      <c r="E453" s="35" t="s">
        <v>88</v>
      </c>
      <c r="F453" s="35" t="s">
        <v>24</v>
      </c>
      <c r="G453" s="35" t="s">
        <v>467</v>
      </c>
      <c r="H453" s="35" t="s">
        <v>26</v>
      </c>
      <c r="I453" s="35" t="s">
        <v>64</v>
      </c>
      <c r="J453" s="35">
        <v>196</v>
      </c>
      <c r="K453" s="35" t="s">
        <v>276</v>
      </c>
      <c r="L453" s="35">
        <v>2</v>
      </c>
      <c r="M453" s="37">
        <v>56000</v>
      </c>
      <c r="N453" s="38">
        <f t="shared" si="7"/>
        <v>28000</v>
      </c>
      <c r="O453" s="35" t="s">
        <v>29</v>
      </c>
      <c r="P453" s="35" t="s">
        <v>30</v>
      </c>
      <c r="Q453" s="36">
        <v>46089</v>
      </c>
      <c r="R453" s="35" t="s">
        <v>31</v>
      </c>
      <c r="S453" s="35"/>
      <c r="T453" s="35"/>
    </row>
    <row r="454" spans="1:20" ht="15.6" x14ac:dyDescent="0.3">
      <c r="A454" s="35" t="s">
        <v>469</v>
      </c>
      <c r="B454" s="35" t="s">
        <v>502</v>
      </c>
      <c r="C454" s="35" t="s">
        <v>503</v>
      </c>
      <c r="D454" s="35" t="s">
        <v>501</v>
      </c>
      <c r="E454" s="35" t="s">
        <v>88</v>
      </c>
      <c r="F454" s="35" t="s">
        <v>24</v>
      </c>
      <c r="G454" s="35" t="s">
        <v>282</v>
      </c>
      <c r="H454" s="35" t="s">
        <v>26</v>
      </c>
      <c r="I454" s="35" t="s">
        <v>64</v>
      </c>
      <c r="J454" s="35">
        <v>196</v>
      </c>
      <c r="K454" s="35" t="s">
        <v>123</v>
      </c>
      <c r="L454" s="35">
        <v>10</v>
      </c>
      <c r="M454" s="37">
        <v>103000</v>
      </c>
      <c r="N454" s="38">
        <f t="shared" si="7"/>
        <v>10300</v>
      </c>
      <c r="O454" s="35" t="s">
        <v>29</v>
      </c>
      <c r="P454" s="35" t="s">
        <v>30</v>
      </c>
      <c r="Q454" s="36">
        <v>46089</v>
      </c>
      <c r="R454" s="35" t="s">
        <v>31</v>
      </c>
      <c r="S454" s="35"/>
      <c r="T454" s="35"/>
    </row>
    <row r="455" spans="1:20" ht="15.6" x14ac:dyDescent="0.3">
      <c r="A455" s="35" t="s">
        <v>469</v>
      </c>
      <c r="B455" s="35" t="s">
        <v>383</v>
      </c>
      <c r="C455" s="35" t="s">
        <v>384</v>
      </c>
      <c r="D455" s="35" t="s">
        <v>504</v>
      </c>
      <c r="E455" s="35" t="s">
        <v>47</v>
      </c>
      <c r="F455" s="35" t="s">
        <v>58</v>
      </c>
      <c r="G455" s="35" t="s">
        <v>289</v>
      </c>
      <c r="H455" s="35" t="s">
        <v>26</v>
      </c>
      <c r="I455" s="35" t="s">
        <v>27</v>
      </c>
      <c r="J455" s="35">
        <v>494</v>
      </c>
      <c r="K455" s="35" t="s">
        <v>123</v>
      </c>
      <c r="L455" s="35">
        <v>60</v>
      </c>
      <c r="M455" s="37">
        <v>143520</v>
      </c>
      <c r="N455" s="38">
        <f t="shared" si="7"/>
        <v>2392</v>
      </c>
      <c r="O455" s="35" t="s">
        <v>29</v>
      </c>
      <c r="P455" s="35" t="s">
        <v>30</v>
      </c>
      <c r="Q455" s="36">
        <v>46093</v>
      </c>
      <c r="R455" s="35" t="s">
        <v>31</v>
      </c>
      <c r="S455" s="35"/>
      <c r="T455" s="35"/>
    </row>
    <row r="456" spans="1:20" ht="15.6" x14ac:dyDescent="0.3">
      <c r="A456" s="35" t="s">
        <v>469</v>
      </c>
      <c r="B456" s="35" t="s">
        <v>505</v>
      </c>
      <c r="C456" s="35" t="s">
        <v>506</v>
      </c>
      <c r="D456" s="35" t="s">
        <v>504</v>
      </c>
      <c r="E456" s="35" t="s">
        <v>381</v>
      </c>
      <c r="F456" s="35" t="s">
        <v>36</v>
      </c>
      <c r="G456" s="35" t="s">
        <v>442</v>
      </c>
      <c r="H456" s="35" t="s">
        <v>26</v>
      </c>
      <c r="I456" s="35" t="s">
        <v>27</v>
      </c>
      <c r="J456" s="35">
        <v>495</v>
      </c>
      <c r="K456" s="35" t="s">
        <v>123</v>
      </c>
      <c r="L456" s="35">
        <v>1000</v>
      </c>
      <c r="M456" s="37">
        <v>2300000</v>
      </c>
      <c r="N456" s="38">
        <f t="shared" si="7"/>
        <v>2300</v>
      </c>
      <c r="O456" s="35" t="s">
        <v>29</v>
      </c>
      <c r="P456" s="35" t="s">
        <v>30</v>
      </c>
      <c r="Q456" s="36">
        <v>46144</v>
      </c>
      <c r="R456" s="35" t="s">
        <v>31</v>
      </c>
      <c r="S456" s="35"/>
      <c r="T456" s="35"/>
    </row>
    <row r="457" spans="1:20" ht="15.6" x14ac:dyDescent="0.3">
      <c r="A457" s="35" t="s">
        <v>469</v>
      </c>
      <c r="B457" s="35" t="s">
        <v>505</v>
      </c>
      <c r="C457" s="35" t="s">
        <v>506</v>
      </c>
      <c r="D457" s="35" t="s">
        <v>504</v>
      </c>
      <c r="E457" s="35" t="s">
        <v>381</v>
      </c>
      <c r="F457" s="35" t="s">
        <v>36</v>
      </c>
      <c r="G457" s="35" t="s">
        <v>251</v>
      </c>
      <c r="H457" s="35" t="s">
        <v>26</v>
      </c>
      <c r="I457" s="35" t="s">
        <v>27</v>
      </c>
      <c r="J457" s="35">
        <v>495</v>
      </c>
      <c r="K457" s="35" t="s">
        <v>123</v>
      </c>
      <c r="L457" s="35">
        <v>80</v>
      </c>
      <c r="M457" s="37">
        <v>184000</v>
      </c>
      <c r="N457" s="38">
        <f t="shared" si="7"/>
        <v>2300</v>
      </c>
      <c r="O457" s="35" t="s">
        <v>29</v>
      </c>
      <c r="P457" s="35" t="s">
        <v>30</v>
      </c>
      <c r="Q457" s="36">
        <v>46144</v>
      </c>
      <c r="R457" s="35" t="s">
        <v>31</v>
      </c>
      <c r="S457" s="35"/>
      <c r="T457" s="35"/>
    </row>
    <row r="458" spans="1:20" ht="15.6" x14ac:dyDescent="0.3">
      <c r="A458" s="35" t="s">
        <v>469</v>
      </c>
      <c r="B458" s="35" t="s">
        <v>507</v>
      </c>
      <c r="C458" s="35" t="s">
        <v>508</v>
      </c>
      <c r="D458" s="35" t="s">
        <v>504</v>
      </c>
      <c r="E458" s="35" t="s">
        <v>157</v>
      </c>
      <c r="F458" s="35" t="s">
        <v>89</v>
      </c>
      <c r="G458" s="35" t="s">
        <v>244</v>
      </c>
      <c r="H458" s="35" t="s">
        <v>26</v>
      </c>
      <c r="I458" s="35" t="s">
        <v>27</v>
      </c>
      <c r="J458" s="35">
        <v>496</v>
      </c>
      <c r="K458" s="35" t="s">
        <v>123</v>
      </c>
      <c r="L458" s="35">
        <v>100</v>
      </c>
      <c r="M458" s="37">
        <v>840000</v>
      </c>
      <c r="N458" s="38">
        <f t="shared" si="7"/>
        <v>8400</v>
      </c>
      <c r="O458" s="35" t="s">
        <v>29</v>
      </c>
      <c r="P458" s="35" t="s">
        <v>30</v>
      </c>
      <c r="Q458" s="36">
        <v>46063</v>
      </c>
      <c r="R458" s="35" t="s">
        <v>31</v>
      </c>
      <c r="S458" s="35"/>
      <c r="T458" s="35"/>
    </row>
    <row r="459" spans="1:20" ht="15.6" x14ac:dyDescent="0.3">
      <c r="A459" s="35" t="s">
        <v>469</v>
      </c>
      <c r="B459" s="35" t="s">
        <v>509</v>
      </c>
      <c r="C459" s="35" t="s">
        <v>510</v>
      </c>
      <c r="D459" s="35" t="s">
        <v>504</v>
      </c>
      <c r="E459" s="35" t="s">
        <v>511</v>
      </c>
      <c r="F459" s="35" t="s">
        <v>48</v>
      </c>
      <c r="G459" s="35" t="s">
        <v>512</v>
      </c>
      <c r="H459" s="35" t="s">
        <v>85</v>
      </c>
      <c r="I459" s="35" t="s">
        <v>27</v>
      </c>
      <c r="J459" s="35">
        <v>497</v>
      </c>
      <c r="K459" s="35" t="s">
        <v>7</v>
      </c>
      <c r="L459" s="35">
        <v>2</v>
      </c>
      <c r="M459" s="37">
        <v>0</v>
      </c>
      <c r="N459" s="38">
        <f t="shared" ref="N459:N523" si="8">M459/L459</f>
        <v>0</v>
      </c>
      <c r="O459" s="35" t="s">
        <v>29</v>
      </c>
      <c r="P459" s="35" t="s">
        <v>30</v>
      </c>
      <c r="Q459" s="36">
        <v>46063</v>
      </c>
      <c r="R459" s="35" t="s">
        <v>31</v>
      </c>
      <c r="S459" s="35"/>
      <c r="T459" s="35"/>
    </row>
    <row r="460" spans="1:20" ht="15.6" x14ac:dyDescent="0.3">
      <c r="A460" s="35" t="s">
        <v>469</v>
      </c>
      <c r="B460" s="35" t="s">
        <v>145</v>
      </c>
      <c r="C460" s="35" t="s">
        <v>146</v>
      </c>
      <c r="D460" s="35" t="s">
        <v>504</v>
      </c>
      <c r="E460" s="35" t="s">
        <v>511</v>
      </c>
      <c r="F460" s="35" t="s">
        <v>48</v>
      </c>
      <c r="G460" s="35" t="s">
        <v>513</v>
      </c>
      <c r="H460" s="35" t="s">
        <v>85</v>
      </c>
      <c r="I460" s="35" t="s">
        <v>27</v>
      </c>
      <c r="J460" s="35">
        <v>498</v>
      </c>
      <c r="K460" s="35" t="s">
        <v>7</v>
      </c>
      <c r="L460" s="35">
        <v>1</v>
      </c>
      <c r="M460" s="37">
        <v>0</v>
      </c>
      <c r="N460" s="38">
        <f t="shared" si="8"/>
        <v>0</v>
      </c>
      <c r="O460" s="35" t="s">
        <v>29</v>
      </c>
      <c r="P460" s="35" t="s">
        <v>30</v>
      </c>
      <c r="Q460" s="36">
        <v>46063</v>
      </c>
      <c r="R460" s="35" t="s">
        <v>31</v>
      </c>
      <c r="S460" s="35"/>
      <c r="T460" s="35"/>
    </row>
    <row r="461" spans="1:20" ht="15.6" x14ac:dyDescent="0.3">
      <c r="A461" s="35" t="s">
        <v>469</v>
      </c>
      <c r="B461" s="35" t="s">
        <v>145</v>
      </c>
      <c r="C461" s="35" t="s">
        <v>146</v>
      </c>
      <c r="D461" s="35" t="s">
        <v>504</v>
      </c>
      <c r="E461" s="35" t="s">
        <v>511</v>
      </c>
      <c r="F461" s="35" t="s">
        <v>48</v>
      </c>
      <c r="G461" s="35" t="s">
        <v>514</v>
      </c>
      <c r="H461" s="35" t="s">
        <v>56</v>
      </c>
      <c r="I461" s="35" t="s">
        <v>27</v>
      </c>
      <c r="J461" s="35">
        <v>498</v>
      </c>
      <c r="K461" s="35" t="s">
        <v>7</v>
      </c>
      <c r="L461" s="35">
        <v>1</v>
      </c>
      <c r="M461" s="37">
        <v>0</v>
      </c>
      <c r="N461" s="38">
        <f t="shared" si="8"/>
        <v>0</v>
      </c>
      <c r="O461" s="35" t="s">
        <v>29</v>
      </c>
      <c r="P461" s="35" t="s">
        <v>30</v>
      </c>
      <c r="Q461" s="36">
        <v>46063</v>
      </c>
      <c r="R461" s="35" t="s">
        <v>31</v>
      </c>
      <c r="S461" s="35"/>
      <c r="T461" s="35"/>
    </row>
    <row r="462" spans="1:20" ht="15.6" x14ac:dyDescent="0.3">
      <c r="A462" s="35" t="s">
        <v>469</v>
      </c>
      <c r="B462" s="35" t="s">
        <v>515</v>
      </c>
      <c r="C462" s="35" t="s">
        <v>516</v>
      </c>
      <c r="D462" s="35" t="s">
        <v>504</v>
      </c>
      <c r="E462" s="35" t="s">
        <v>47</v>
      </c>
      <c r="F462" s="35" t="s">
        <v>24</v>
      </c>
      <c r="G462" s="35" t="s">
        <v>244</v>
      </c>
      <c r="H462" s="35" t="s">
        <v>56</v>
      </c>
      <c r="I462" s="35" t="s">
        <v>27</v>
      </c>
      <c r="J462" s="35">
        <v>499</v>
      </c>
      <c r="K462" s="35" t="s">
        <v>123</v>
      </c>
      <c r="L462" s="35">
        <v>40</v>
      </c>
      <c r="M462" s="37">
        <v>0</v>
      </c>
      <c r="N462" s="38">
        <f t="shared" si="8"/>
        <v>0</v>
      </c>
      <c r="O462" s="35" t="s">
        <v>29</v>
      </c>
      <c r="P462" s="35" t="s">
        <v>30</v>
      </c>
      <c r="Q462" s="36">
        <v>46093</v>
      </c>
      <c r="R462" s="35" t="s">
        <v>31</v>
      </c>
      <c r="S462" s="35" t="s">
        <v>517</v>
      </c>
      <c r="T462" s="36">
        <v>46055</v>
      </c>
    </row>
    <row r="463" spans="1:20" ht="15.6" x14ac:dyDescent="0.3">
      <c r="A463" s="35" t="s">
        <v>469</v>
      </c>
      <c r="B463" s="35" t="s">
        <v>515</v>
      </c>
      <c r="C463" s="35" t="s">
        <v>516</v>
      </c>
      <c r="D463" s="35" t="s">
        <v>504</v>
      </c>
      <c r="E463" s="35" t="s">
        <v>47</v>
      </c>
      <c r="F463" s="35" t="s">
        <v>24</v>
      </c>
      <c r="G463" s="35" t="s">
        <v>327</v>
      </c>
      <c r="H463" s="35" t="s">
        <v>56</v>
      </c>
      <c r="I463" s="35" t="s">
        <v>27</v>
      </c>
      <c r="J463" s="35">
        <v>499</v>
      </c>
      <c r="K463" s="35" t="s">
        <v>123</v>
      </c>
      <c r="L463" s="35">
        <v>10</v>
      </c>
      <c r="M463" s="37">
        <v>0</v>
      </c>
      <c r="N463" s="38">
        <f t="shared" si="8"/>
        <v>0</v>
      </c>
      <c r="O463" s="35" t="s">
        <v>29</v>
      </c>
      <c r="P463" s="35" t="s">
        <v>30</v>
      </c>
      <c r="Q463" s="36">
        <v>46093</v>
      </c>
      <c r="R463" s="35" t="s">
        <v>31</v>
      </c>
      <c r="S463" s="35" t="s">
        <v>517</v>
      </c>
      <c r="T463" s="36">
        <v>46055</v>
      </c>
    </row>
    <row r="464" spans="1:20" ht="15.6" x14ac:dyDescent="0.3">
      <c r="A464" s="35" t="s">
        <v>469</v>
      </c>
      <c r="B464" s="35" t="s">
        <v>518</v>
      </c>
      <c r="C464" s="35" t="s">
        <v>519</v>
      </c>
      <c r="D464" s="35" t="s">
        <v>504</v>
      </c>
      <c r="E464" s="41" t="s">
        <v>23</v>
      </c>
      <c r="F464" s="35" t="s">
        <v>24</v>
      </c>
      <c r="G464" s="35" t="s">
        <v>321</v>
      </c>
      <c r="H464" s="35" t="s">
        <v>26</v>
      </c>
      <c r="I464" s="35" t="s">
        <v>27</v>
      </c>
      <c r="J464" s="35">
        <v>500</v>
      </c>
      <c r="K464" s="35" t="s">
        <v>123</v>
      </c>
      <c r="L464" s="35">
        <v>60</v>
      </c>
      <c r="M464" s="37">
        <v>858000</v>
      </c>
      <c r="N464" s="38">
        <f t="shared" si="8"/>
        <v>14300</v>
      </c>
      <c r="O464" s="35" t="s">
        <v>29</v>
      </c>
      <c r="P464" s="35" t="s">
        <v>30</v>
      </c>
      <c r="Q464" s="36">
        <v>46093</v>
      </c>
      <c r="R464" s="35" t="s">
        <v>31</v>
      </c>
      <c r="S464" s="35"/>
      <c r="T464" s="35"/>
    </row>
    <row r="465" spans="1:20" ht="15.6" x14ac:dyDescent="0.3">
      <c r="A465" s="35" t="s">
        <v>469</v>
      </c>
      <c r="B465" s="35" t="s">
        <v>515</v>
      </c>
      <c r="C465" s="35" t="s">
        <v>516</v>
      </c>
      <c r="D465" s="35" t="s">
        <v>504</v>
      </c>
      <c r="E465" s="35" t="s">
        <v>47</v>
      </c>
      <c r="F465" s="35" t="s">
        <v>24</v>
      </c>
      <c r="G465" s="35" t="s">
        <v>244</v>
      </c>
      <c r="H465" s="35" t="s">
        <v>26</v>
      </c>
      <c r="I465" s="35" t="s">
        <v>27</v>
      </c>
      <c r="J465" s="35">
        <v>501</v>
      </c>
      <c r="K465" s="35" t="s">
        <v>123</v>
      </c>
      <c r="L465" s="35">
        <v>40</v>
      </c>
      <c r="M465" s="37">
        <v>300000</v>
      </c>
      <c r="N465" s="38">
        <f t="shared" si="8"/>
        <v>7500</v>
      </c>
      <c r="O465" s="35" t="s">
        <v>29</v>
      </c>
      <c r="P465" s="35" t="s">
        <v>30</v>
      </c>
      <c r="Q465" s="36">
        <v>46093</v>
      </c>
      <c r="R465" s="35" t="s">
        <v>31</v>
      </c>
      <c r="S465" s="35"/>
      <c r="T465" s="35"/>
    </row>
    <row r="466" spans="1:20" ht="15.6" x14ac:dyDescent="0.3">
      <c r="A466" s="35" t="s">
        <v>469</v>
      </c>
      <c r="B466" s="35" t="s">
        <v>515</v>
      </c>
      <c r="C466" s="35" t="s">
        <v>516</v>
      </c>
      <c r="D466" s="35" t="s">
        <v>504</v>
      </c>
      <c r="E466" s="35" t="s">
        <v>47</v>
      </c>
      <c r="F466" s="35" t="s">
        <v>24</v>
      </c>
      <c r="G466" s="35" t="s">
        <v>327</v>
      </c>
      <c r="H466" s="35" t="s">
        <v>26</v>
      </c>
      <c r="I466" s="35" t="s">
        <v>27</v>
      </c>
      <c r="J466" s="35">
        <v>501</v>
      </c>
      <c r="K466" s="35" t="s">
        <v>123</v>
      </c>
      <c r="L466" s="35">
        <v>10</v>
      </c>
      <c r="M466" s="37">
        <v>75000</v>
      </c>
      <c r="N466" s="38">
        <f t="shared" si="8"/>
        <v>7500</v>
      </c>
      <c r="O466" s="35" t="s">
        <v>29</v>
      </c>
      <c r="P466" s="35" t="s">
        <v>30</v>
      </c>
      <c r="Q466" s="36">
        <v>46093</v>
      </c>
      <c r="R466" s="35" t="s">
        <v>31</v>
      </c>
      <c r="S466" s="35"/>
      <c r="T466" s="35"/>
    </row>
    <row r="467" spans="1:20" ht="15.6" x14ac:dyDescent="0.3">
      <c r="A467" s="35" t="s">
        <v>469</v>
      </c>
      <c r="B467" s="35" t="s">
        <v>520</v>
      </c>
      <c r="C467" s="44" t="s">
        <v>638</v>
      </c>
      <c r="D467" s="35" t="s">
        <v>504</v>
      </c>
      <c r="E467" s="35" t="s">
        <v>88</v>
      </c>
      <c r="F467" s="35" t="s">
        <v>24</v>
      </c>
      <c r="G467" s="35" t="s">
        <v>407</v>
      </c>
      <c r="H467" s="35" t="s">
        <v>26</v>
      </c>
      <c r="I467" s="35" t="s">
        <v>27</v>
      </c>
      <c r="J467" s="35">
        <v>502</v>
      </c>
      <c r="K467" s="35" t="s">
        <v>123</v>
      </c>
      <c r="L467" s="35">
        <v>20</v>
      </c>
      <c r="M467" s="37">
        <v>300000</v>
      </c>
      <c r="N467" s="38">
        <f t="shared" si="8"/>
        <v>15000</v>
      </c>
      <c r="O467" s="35" t="s">
        <v>29</v>
      </c>
      <c r="P467" s="35" t="s">
        <v>30</v>
      </c>
      <c r="Q467" s="36">
        <v>46183</v>
      </c>
      <c r="R467" s="35" t="s">
        <v>31</v>
      </c>
      <c r="S467" s="35"/>
      <c r="T467" s="35"/>
    </row>
    <row r="468" spans="1:20" ht="15.6" x14ac:dyDescent="0.3">
      <c r="A468" s="35" t="s">
        <v>469</v>
      </c>
      <c r="B468" s="35" t="s">
        <v>502</v>
      </c>
      <c r="C468" s="35" t="s">
        <v>503</v>
      </c>
      <c r="D468" s="35" t="s">
        <v>504</v>
      </c>
      <c r="E468" s="35" t="s">
        <v>88</v>
      </c>
      <c r="F468" s="35" t="s">
        <v>24</v>
      </c>
      <c r="G468" s="35" t="s">
        <v>379</v>
      </c>
      <c r="H468" s="35" t="s">
        <v>26</v>
      </c>
      <c r="I468" s="35" t="s">
        <v>27</v>
      </c>
      <c r="J468" s="35">
        <v>503</v>
      </c>
      <c r="K468" s="35" t="s">
        <v>123</v>
      </c>
      <c r="L468" s="35">
        <v>20</v>
      </c>
      <c r="M468" s="37">
        <v>0</v>
      </c>
      <c r="N468" s="38">
        <f t="shared" si="8"/>
        <v>0</v>
      </c>
      <c r="O468" s="35" t="s">
        <v>29</v>
      </c>
      <c r="P468" s="35" t="s">
        <v>30</v>
      </c>
      <c r="Q468" s="36">
        <v>46093</v>
      </c>
      <c r="R468" s="35" t="s">
        <v>31</v>
      </c>
      <c r="S468" s="35" t="s">
        <v>521</v>
      </c>
      <c r="T468" s="36">
        <v>46059</v>
      </c>
    </row>
    <row r="469" spans="1:20" ht="15.6" x14ac:dyDescent="0.3">
      <c r="A469" s="35" t="s">
        <v>469</v>
      </c>
      <c r="B469" s="35" t="s">
        <v>502</v>
      </c>
      <c r="C469" s="35" t="s">
        <v>503</v>
      </c>
      <c r="D469" s="35" t="s">
        <v>504</v>
      </c>
      <c r="E469" s="35" t="s">
        <v>88</v>
      </c>
      <c r="F469" s="35" t="s">
        <v>24</v>
      </c>
      <c r="G469" s="35" t="s">
        <v>467</v>
      </c>
      <c r="H469" s="35" t="s">
        <v>26</v>
      </c>
      <c r="I469" s="35" t="s">
        <v>27</v>
      </c>
      <c r="J469" s="35">
        <v>503</v>
      </c>
      <c r="K469" s="35" t="s">
        <v>276</v>
      </c>
      <c r="L469" s="35">
        <v>2</v>
      </c>
      <c r="M469" s="37">
        <v>0</v>
      </c>
      <c r="N469" s="38">
        <f t="shared" si="8"/>
        <v>0</v>
      </c>
      <c r="O469" s="35" t="s">
        <v>29</v>
      </c>
      <c r="P469" s="35" t="s">
        <v>30</v>
      </c>
      <c r="Q469" s="36">
        <v>46093</v>
      </c>
      <c r="R469" s="35" t="s">
        <v>31</v>
      </c>
      <c r="S469" s="35" t="s">
        <v>521</v>
      </c>
      <c r="T469" s="36">
        <v>46059</v>
      </c>
    </row>
    <row r="470" spans="1:20" ht="15.6" x14ac:dyDescent="0.3">
      <c r="A470" s="35" t="s">
        <v>469</v>
      </c>
      <c r="B470" s="35" t="s">
        <v>502</v>
      </c>
      <c r="C470" s="35" t="s">
        <v>503</v>
      </c>
      <c r="D470" s="35" t="s">
        <v>504</v>
      </c>
      <c r="E470" s="35" t="s">
        <v>88</v>
      </c>
      <c r="F470" s="35" t="s">
        <v>24</v>
      </c>
      <c r="G470" s="35" t="s">
        <v>282</v>
      </c>
      <c r="H470" s="35" t="s">
        <v>26</v>
      </c>
      <c r="I470" s="35" t="s">
        <v>27</v>
      </c>
      <c r="J470" s="35">
        <v>503</v>
      </c>
      <c r="K470" s="35" t="s">
        <v>123</v>
      </c>
      <c r="L470" s="35">
        <v>10</v>
      </c>
      <c r="M470" s="37">
        <v>0</v>
      </c>
      <c r="N470" s="38">
        <f t="shared" si="8"/>
        <v>0</v>
      </c>
      <c r="O470" s="35" t="s">
        <v>29</v>
      </c>
      <c r="P470" s="35" t="s">
        <v>30</v>
      </c>
      <c r="Q470" s="36">
        <v>46093</v>
      </c>
      <c r="R470" s="35" t="s">
        <v>31</v>
      </c>
      <c r="S470" s="35" t="s">
        <v>521</v>
      </c>
      <c r="T470" s="36">
        <v>46059</v>
      </c>
    </row>
    <row r="471" spans="1:20" ht="15.6" x14ac:dyDescent="0.3">
      <c r="A471" s="35" t="s">
        <v>469</v>
      </c>
      <c r="B471" s="35" t="s">
        <v>119</v>
      </c>
      <c r="C471" s="35" t="s">
        <v>120</v>
      </c>
      <c r="D471" s="35" t="s">
        <v>504</v>
      </c>
      <c r="E471" s="35" t="s">
        <v>47</v>
      </c>
      <c r="F471" s="35" t="s">
        <v>54</v>
      </c>
      <c r="G471" s="35" t="s">
        <v>327</v>
      </c>
      <c r="H471" s="35" t="s">
        <v>56</v>
      </c>
      <c r="I471" s="35" t="s">
        <v>27</v>
      </c>
      <c r="J471" s="35">
        <v>504</v>
      </c>
      <c r="K471" s="35" t="s">
        <v>123</v>
      </c>
      <c r="L471" s="35">
        <v>5</v>
      </c>
      <c r="M471" s="37">
        <v>42713</v>
      </c>
      <c r="N471" s="38">
        <f t="shared" si="8"/>
        <v>8542.6</v>
      </c>
      <c r="O471" s="35" t="s">
        <v>29</v>
      </c>
      <c r="P471" s="35" t="s">
        <v>30</v>
      </c>
      <c r="Q471" s="36">
        <v>46063</v>
      </c>
      <c r="R471" s="35" t="s">
        <v>31</v>
      </c>
      <c r="S471" s="35" t="s">
        <v>522</v>
      </c>
      <c r="T471" s="36">
        <v>46063</v>
      </c>
    </row>
    <row r="472" spans="1:20" ht="15.6" x14ac:dyDescent="0.3">
      <c r="A472" s="35" t="s">
        <v>469</v>
      </c>
      <c r="B472" s="35" t="s">
        <v>119</v>
      </c>
      <c r="C472" s="35" t="s">
        <v>120</v>
      </c>
      <c r="D472" s="35" t="s">
        <v>504</v>
      </c>
      <c r="E472" s="35" t="s">
        <v>47</v>
      </c>
      <c r="F472" s="35" t="s">
        <v>54</v>
      </c>
      <c r="G472" s="35" t="s">
        <v>130</v>
      </c>
      <c r="H472" s="35" t="s">
        <v>56</v>
      </c>
      <c r="I472" s="35" t="s">
        <v>27</v>
      </c>
      <c r="J472" s="35">
        <v>505</v>
      </c>
      <c r="K472" s="35" t="s">
        <v>28</v>
      </c>
      <c r="L472" s="35">
        <v>5</v>
      </c>
      <c r="M472" s="37">
        <v>0</v>
      </c>
      <c r="N472" s="38">
        <f t="shared" si="8"/>
        <v>0</v>
      </c>
      <c r="O472" s="35" t="s">
        <v>29</v>
      </c>
      <c r="P472" s="35" t="s">
        <v>30</v>
      </c>
      <c r="Q472" s="36">
        <v>46094</v>
      </c>
      <c r="R472" s="35" t="s">
        <v>31</v>
      </c>
      <c r="S472" s="35" t="s">
        <v>523</v>
      </c>
      <c r="T472" s="36">
        <v>46036</v>
      </c>
    </row>
    <row r="473" spans="1:20" ht="15.6" x14ac:dyDescent="0.3">
      <c r="A473" s="35" t="s">
        <v>469</v>
      </c>
      <c r="B473" s="35" t="s">
        <v>119</v>
      </c>
      <c r="C473" s="35" t="s">
        <v>120</v>
      </c>
      <c r="D473" s="35" t="s">
        <v>504</v>
      </c>
      <c r="E473" s="35" t="s">
        <v>47</v>
      </c>
      <c r="F473" s="35" t="s">
        <v>54</v>
      </c>
      <c r="G473" s="35" t="s">
        <v>246</v>
      </c>
      <c r="H473" s="35" t="s">
        <v>56</v>
      </c>
      <c r="I473" s="35" t="s">
        <v>27</v>
      </c>
      <c r="J473" s="35">
        <v>505</v>
      </c>
      <c r="K473" s="35" t="s">
        <v>28</v>
      </c>
      <c r="L473" s="35">
        <v>5</v>
      </c>
      <c r="M473" s="37">
        <v>0</v>
      </c>
      <c r="N473" s="38">
        <f t="shared" si="8"/>
        <v>0</v>
      </c>
      <c r="O473" s="35" t="s">
        <v>29</v>
      </c>
      <c r="P473" s="35" t="s">
        <v>30</v>
      </c>
      <c r="Q473" s="36">
        <v>46094</v>
      </c>
      <c r="R473" s="35" t="s">
        <v>31</v>
      </c>
      <c r="S473" s="35" t="s">
        <v>523</v>
      </c>
      <c r="T473" s="36">
        <v>46036</v>
      </c>
    </row>
    <row r="474" spans="1:20" ht="15.6" x14ac:dyDescent="0.3">
      <c r="A474" s="35" t="s">
        <v>469</v>
      </c>
      <c r="B474" s="35" t="s">
        <v>119</v>
      </c>
      <c r="C474" s="35" t="s">
        <v>120</v>
      </c>
      <c r="D474" s="35" t="s">
        <v>504</v>
      </c>
      <c r="E474" s="35" t="s">
        <v>47</v>
      </c>
      <c r="F474" s="35" t="s">
        <v>54</v>
      </c>
      <c r="G474" s="35" t="s">
        <v>166</v>
      </c>
      <c r="H474" s="35" t="s">
        <v>56</v>
      </c>
      <c r="I474" s="35" t="s">
        <v>27</v>
      </c>
      <c r="J474" s="35">
        <v>505</v>
      </c>
      <c r="K474" s="35" t="s">
        <v>28</v>
      </c>
      <c r="L474" s="35">
        <v>2</v>
      </c>
      <c r="M474" s="37">
        <v>0</v>
      </c>
      <c r="N474" s="38">
        <f t="shared" si="8"/>
        <v>0</v>
      </c>
      <c r="O474" s="35" t="s">
        <v>29</v>
      </c>
      <c r="P474" s="35" t="s">
        <v>30</v>
      </c>
      <c r="Q474" s="36">
        <v>46094</v>
      </c>
      <c r="R474" s="35" t="s">
        <v>31</v>
      </c>
      <c r="S474" s="35" t="s">
        <v>523</v>
      </c>
      <c r="T474" s="36">
        <v>46036</v>
      </c>
    </row>
    <row r="475" spans="1:20" ht="15.6" x14ac:dyDescent="0.3">
      <c r="A475" s="35" t="s">
        <v>469</v>
      </c>
      <c r="B475" s="35" t="s">
        <v>119</v>
      </c>
      <c r="C475" s="35" t="s">
        <v>120</v>
      </c>
      <c r="D475" s="35" t="s">
        <v>504</v>
      </c>
      <c r="E475" s="35" t="s">
        <v>47</v>
      </c>
      <c r="F475" s="35" t="s">
        <v>54</v>
      </c>
      <c r="G475" s="35" t="s">
        <v>247</v>
      </c>
      <c r="H475" s="35" t="s">
        <v>56</v>
      </c>
      <c r="I475" s="35" t="s">
        <v>27</v>
      </c>
      <c r="J475" s="35">
        <v>505</v>
      </c>
      <c r="K475" s="35" t="s">
        <v>7</v>
      </c>
      <c r="L475" s="35">
        <v>1</v>
      </c>
      <c r="M475" s="37">
        <v>0</v>
      </c>
      <c r="N475" s="38">
        <f t="shared" si="8"/>
        <v>0</v>
      </c>
      <c r="O475" s="35" t="s">
        <v>29</v>
      </c>
      <c r="P475" s="35" t="s">
        <v>30</v>
      </c>
      <c r="Q475" s="36">
        <v>46094</v>
      </c>
      <c r="R475" s="35" t="s">
        <v>31</v>
      </c>
      <c r="S475" s="35" t="s">
        <v>523</v>
      </c>
      <c r="T475" s="36">
        <v>46036</v>
      </c>
    </row>
    <row r="476" spans="1:20" ht="15.6" x14ac:dyDescent="0.3">
      <c r="A476" s="35" t="s">
        <v>469</v>
      </c>
      <c r="B476" s="35" t="s">
        <v>119</v>
      </c>
      <c r="C476" s="35" t="s">
        <v>120</v>
      </c>
      <c r="D476" s="35" t="s">
        <v>504</v>
      </c>
      <c r="E476" s="35" t="s">
        <v>47</v>
      </c>
      <c r="F476" s="35" t="s">
        <v>54</v>
      </c>
      <c r="G476" s="35" t="s">
        <v>327</v>
      </c>
      <c r="H476" s="35" t="s">
        <v>56</v>
      </c>
      <c r="I476" s="35" t="s">
        <v>27</v>
      </c>
      <c r="J476" s="35">
        <v>506</v>
      </c>
      <c r="K476" s="35" t="s">
        <v>123</v>
      </c>
      <c r="L476" s="35">
        <v>5</v>
      </c>
      <c r="M476" s="37">
        <v>0</v>
      </c>
      <c r="N476" s="38">
        <f t="shared" si="8"/>
        <v>0</v>
      </c>
      <c r="O476" s="35" t="s">
        <v>29</v>
      </c>
      <c r="P476" s="35" t="s">
        <v>30</v>
      </c>
      <c r="Q476" s="36">
        <v>46104</v>
      </c>
      <c r="R476" s="35" t="s">
        <v>31</v>
      </c>
      <c r="S476" s="35" t="s">
        <v>524</v>
      </c>
      <c r="T476" s="36">
        <v>46044</v>
      </c>
    </row>
    <row r="477" spans="1:20" ht="15.6" x14ac:dyDescent="0.3">
      <c r="A477" s="35" t="s">
        <v>469</v>
      </c>
      <c r="B477" s="35" t="s">
        <v>248</v>
      </c>
      <c r="C477" s="35" t="s">
        <v>249</v>
      </c>
      <c r="D477" s="35" t="s">
        <v>504</v>
      </c>
      <c r="E477" s="35" t="s">
        <v>381</v>
      </c>
      <c r="F477" s="35" t="s">
        <v>36</v>
      </c>
      <c r="G477" s="35" t="s">
        <v>251</v>
      </c>
      <c r="H477" s="35" t="s">
        <v>26</v>
      </c>
      <c r="I477" s="35" t="s">
        <v>64</v>
      </c>
      <c r="J477" s="35">
        <v>197</v>
      </c>
      <c r="K477" s="35" t="s">
        <v>123</v>
      </c>
      <c r="L477" s="35">
        <v>200</v>
      </c>
      <c r="M477" s="37">
        <v>500000</v>
      </c>
      <c r="N477" s="38">
        <f t="shared" si="8"/>
        <v>2500</v>
      </c>
      <c r="O477" s="35" t="s">
        <v>29</v>
      </c>
      <c r="P477" s="35" t="s">
        <v>30</v>
      </c>
      <c r="Q477" s="36">
        <v>46235</v>
      </c>
      <c r="R477" s="35" t="s">
        <v>31</v>
      </c>
      <c r="S477" s="35"/>
      <c r="T477" s="35"/>
    </row>
    <row r="478" spans="1:20" ht="15.6" x14ac:dyDescent="0.3">
      <c r="A478" s="35" t="s">
        <v>469</v>
      </c>
      <c r="B478" s="35" t="s">
        <v>248</v>
      </c>
      <c r="C478" s="35" t="s">
        <v>249</v>
      </c>
      <c r="D478" s="35" t="s">
        <v>504</v>
      </c>
      <c r="E478" s="35" t="s">
        <v>40</v>
      </c>
      <c r="F478" s="35" t="s">
        <v>36</v>
      </c>
      <c r="G478" s="35" t="s">
        <v>321</v>
      </c>
      <c r="H478" s="35" t="s">
        <v>26</v>
      </c>
      <c r="I478" s="35" t="s">
        <v>64</v>
      </c>
      <c r="J478" s="35">
        <v>197</v>
      </c>
      <c r="K478" s="35" t="s">
        <v>123</v>
      </c>
      <c r="L478" s="35">
        <v>60</v>
      </c>
      <c r="M478" s="37">
        <v>510000</v>
      </c>
      <c r="N478" s="38">
        <f t="shared" si="8"/>
        <v>8500</v>
      </c>
      <c r="O478" s="35" t="s">
        <v>29</v>
      </c>
      <c r="P478" s="35" t="s">
        <v>30</v>
      </c>
      <c r="Q478" s="36">
        <v>46235</v>
      </c>
      <c r="R478" s="35" t="s">
        <v>31</v>
      </c>
      <c r="S478" s="35"/>
      <c r="T478" s="35"/>
    </row>
    <row r="479" spans="1:20" ht="15.6" x14ac:dyDescent="0.3">
      <c r="A479" s="35" t="s">
        <v>469</v>
      </c>
      <c r="B479" s="35" t="s">
        <v>515</v>
      </c>
      <c r="C479" s="35" t="s">
        <v>516</v>
      </c>
      <c r="D479" s="35" t="s">
        <v>504</v>
      </c>
      <c r="E479" s="35" t="s">
        <v>47</v>
      </c>
      <c r="F479" s="35" t="s">
        <v>24</v>
      </c>
      <c r="G479" s="35" t="s">
        <v>244</v>
      </c>
      <c r="H479" s="35" t="s">
        <v>56</v>
      </c>
      <c r="I479" s="35" t="s">
        <v>64</v>
      </c>
      <c r="J479" s="35">
        <v>198</v>
      </c>
      <c r="K479" s="35" t="s">
        <v>123</v>
      </c>
      <c r="L479" s="35">
        <v>40</v>
      </c>
      <c r="M479" s="37">
        <v>0</v>
      </c>
      <c r="N479" s="38">
        <f t="shared" si="8"/>
        <v>0</v>
      </c>
      <c r="O479" s="35" t="s">
        <v>29</v>
      </c>
      <c r="P479" s="35" t="s">
        <v>30</v>
      </c>
      <c r="Q479" s="36">
        <v>46093</v>
      </c>
      <c r="R479" s="35" t="s">
        <v>31</v>
      </c>
      <c r="S479" s="35"/>
      <c r="T479" s="35"/>
    </row>
    <row r="480" spans="1:20" ht="15.6" x14ac:dyDescent="0.3">
      <c r="A480" s="35" t="s">
        <v>469</v>
      </c>
      <c r="B480" s="35" t="s">
        <v>515</v>
      </c>
      <c r="C480" s="35" t="s">
        <v>516</v>
      </c>
      <c r="D480" s="35" t="s">
        <v>504</v>
      </c>
      <c r="E480" s="35" t="s">
        <v>47</v>
      </c>
      <c r="F480" s="35" t="s">
        <v>24</v>
      </c>
      <c r="G480" s="35" t="s">
        <v>327</v>
      </c>
      <c r="H480" s="35" t="s">
        <v>56</v>
      </c>
      <c r="I480" s="35" t="s">
        <v>64</v>
      </c>
      <c r="J480" s="35">
        <v>198</v>
      </c>
      <c r="K480" s="35" t="s">
        <v>123</v>
      </c>
      <c r="L480" s="35">
        <v>10</v>
      </c>
      <c r="M480" s="37">
        <v>0</v>
      </c>
      <c r="N480" s="38">
        <f t="shared" si="8"/>
        <v>0</v>
      </c>
      <c r="O480" s="35" t="s">
        <v>29</v>
      </c>
      <c r="P480" s="35" t="s">
        <v>30</v>
      </c>
      <c r="Q480" s="36">
        <v>46093</v>
      </c>
      <c r="R480" s="35" t="s">
        <v>31</v>
      </c>
      <c r="S480" s="35"/>
      <c r="T480" s="35"/>
    </row>
    <row r="481" spans="1:20" ht="15.6" x14ac:dyDescent="0.3">
      <c r="A481" s="35" t="s">
        <v>469</v>
      </c>
      <c r="B481" s="35" t="s">
        <v>119</v>
      </c>
      <c r="C481" s="35" t="s">
        <v>120</v>
      </c>
      <c r="D481" s="35" t="s">
        <v>504</v>
      </c>
      <c r="E481" s="35" t="s">
        <v>47</v>
      </c>
      <c r="F481" s="35" t="s">
        <v>54</v>
      </c>
      <c r="G481" s="35" t="s">
        <v>327</v>
      </c>
      <c r="H481" s="35" t="s">
        <v>56</v>
      </c>
      <c r="I481" s="35" t="s">
        <v>64</v>
      </c>
      <c r="J481" s="35">
        <v>200</v>
      </c>
      <c r="K481" s="35" t="s">
        <v>123</v>
      </c>
      <c r="L481" s="35">
        <v>5</v>
      </c>
      <c r="M481" s="37">
        <v>0</v>
      </c>
      <c r="N481" s="38">
        <f t="shared" si="8"/>
        <v>0</v>
      </c>
      <c r="O481" s="35" t="s">
        <v>29</v>
      </c>
      <c r="P481" s="35" t="s">
        <v>30</v>
      </c>
      <c r="Q481" s="36">
        <v>46093</v>
      </c>
      <c r="R481" s="35" t="s">
        <v>31</v>
      </c>
      <c r="S481" s="35"/>
      <c r="T481" s="35"/>
    </row>
    <row r="482" spans="1:20" ht="15.6" x14ac:dyDescent="0.3">
      <c r="A482" s="35" t="s">
        <v>469</v>
      </c>
      <c r="B482" s="35" t="s">
        <v>141</v>
      </c>
      <c r="C482" s="35" t="s">
        <v>142</v>
      </c>
      <c r="D482" s="35" t="s">
        <v>525</v>
      </c>
      <c r="E482" s="35" t="s">
        <v>47</v>
      </c>
      <c r="F482" s="35" t="s">
        <v>54</v>
      </c>
      <c r="G482" s="35" t="s">
        <v>322</v>
      </c>
      <c r="H482" s="35" t="s">
        <v>56</v>
      </c>
      <c r="I482" s="35" t="s">
        <v>27</v>
      </c>
      <c r="J482" s="35">
        <v>507</v>
      </c>
      <c r="K482" s="35" t="s">
        <v>123</v>
      </c>
      <c r="L482" s="35">
        <v>5</v>
      </c>
      <c r="M482" s="37">
        <v>94167</v>
      </c>
      <c r="N482" s="38">
        <f t="shared" si="8"/>
        <v>18833.400000000001</v>
      </c>
      <c r="O482" s="35" t="s">
        <v>29</v>
      </c>
      <c r="P482" s="35" t="s">
        <v>30</v>
      </c>
      <c r="Q482" s="36">
        <v>46064</v>
      </c>
      <c r="R482" s="35" t="s">
        <v>31</v>
      </c>
      <c r="S482" s="35"/>
      <c r="T482" s="35"/>
    </row>
    <row r="483" spans="1:20" ht="15.6" x14ac:dyDescent="0.3">
      <c r="A483" s="35" t="s">
        <v>469</v>
      </c>
      <c r="B483" s="35" t="s">
        <v>141</v>
      </c>
      <c r="C483" s="35" t="s">
        <v>142</v>
      </c>
      <c r="D483" s="35" t="s">
        <v>525</v>
      </c>
      <c r="E483" s="35" t="s">
        <v>47</v>
      </c>
      <c r="F483" s="35" t="s">
        <v>54</v>
      </c>
      <c r="G483" s="35" t="s">
        <v>408</v>
      </c>
      <c r="H483" s="35" t="s">
        <v>56</v>
      </c>
      <c r="I483" s="35" t="s">
        <v>27</v>
      </c>
      <c r="J483" s="35">
        <v>507</v>
      </c>
      <c r="K483" s="35" t="s">
        <v>123</v>
      </c>
      <c r="L483" s="35">
        <v>5</v>
      </c>
      <c r="M483" s="37">
        <v>77045</v>
      </c>
      <c r="N483" s="38">
        <f t="shared" si="8"/>
        <v>15409</v>
      </c>
      <c r="O483" s="35" t="s">
        <v>29</v>
      </c>
      <c r="P483" s="35" t="s">
        <v>30</v>
      </c>
      <c r="Q483" s="36">
        <v>46064</v>
      </c>
      <c r="R483" s="35" t="s">
        <v>31</v>
      </c>
      <c r="S483" s="35"/>
      <c r="T483" s="35"/>
    </row>
    <row r="484" spans="1:20" ht="15.6" x14ac:dyDescent="0.3">
      <c r="A484" s="35" t="s">
        <v>469</v>
      </c>
      <c r="B484" s="35" t="s">
        <v>141</v>
      </c>
      <c r="C484" s="35" t="s">
        <v>142</v>
      </c>
      <c r="D484" s="35" t="s">
        <v>525</v>
      </c>
      <c r="E484" s="35" t="s">
        <v>47</v>
      </c>
      <c r="F484" s="35" t="s">
        <v>54</v>
      </c>
      <c r="G484" s="35" t="s">
        <v>293</v>
      </c>
      <c r="H484" s="35" t="s">
        <v>56</v>
      </c>
      <c r="I484" s="35" t="s">
        <v>27</v>
      </c>
      <c r="J484" s="35">
        <v>507</v>
      </c>
      <c r="K484" s="35" t="s">
        <v>123</v>
      </c>
      <c r="L484" s="35">
        <v>20</v>
      </c>
      <c r="M484" s="37">
        <v>154091</v>
      </c>
      <c r="N484" s="38">
        <f t="shared" si="8"/>
        <v>7704.55</v>
      </c>
      <c r="O484" s="35" t="s">
        <v>29</v>
      </c>
      <c r="P484" s="35" t="s">
        <v>30</v>
      </c>
      <c r="Q484" s="36">
        <v>46064</v>
      </c>
      <c r="R484" s="35" t="s">
        <v>31</v>
      </c>
      <c r="S484" s="35"/>
      <c r="T484" s="35"/>
    </row>
    <row r="485" spans="1:20" ht="15.6" x14ac:dyDescent="0.3">
      <c r="A485" s="35" t="s">
        <v>469</v>
      </c>
      <c r="B485" s="35" t="s">
        <v>141</v>
      </c>
      <c r="C485" s="35" t="s">
        <v>142</v>
      </c>
      <c r="D485" s="35" t="s">
        <v>525</v>
      </c>
      <c r="E485" s="35" t="s">
        <v>47</v>
      </c>
      <c r="F485" s="35" t="s">
        <v>54</v>
      </c>
      <c r="G485" s="35" t="s">
        <v>435</v>
      </c>
      <c r="H485" s="35" t="s">
        <v>56</v>
      </c>
      <c r="I485" s="35" t="s">
        <v>27</v>
      </c>
      <c r="J485" s="35">
        <v>507</v>
      </c>
      <c r="K485" s="35" t="s">
        <v>123</v>
      </c>
      <c r="L485" s="35">
        <v>20</v>
      </c>
      <c r="M485" s="37">
        <v>85606</v>
      </c>
      <c r="N485" s="38">
        <f t="shared" si="8"/>
        <v>4280.3</v>
      </c>
      <c r="O485" s="35" t="s">
        <v>29</v>
      </c>
      <c r="P485" s="35" t="s">
        <v>30</v>
      </c>
      <c r="Q485" s="36">
        <v>46064</v>
      </c>
      <c r="R485" s="35" t="s">
        <v>31</v>
      </c>
      <c r="S485" s="35"/>
      <c r="T485" s="35"/>
    </row>
    <row r="486" spans="1:20" ht="15.6" x14ac:dyDescent="0.3">
      <c r="A486" s="35" t="s">
        <v>469</v>
      </c>
      <c r="B486" s="35" t="s">
        <v>141</v>
      </c>
      <c r="C486" s="35" t="s">
        <v>142</v>
      </c>
      <c r="D486" s="35" t="s">
        <v>525</v>
      </c>
      <c r="E486" s="35" t="s">
        <v>47</v>
      </c>
      <c r="F486" s="35" t="s">
        <v>54</v>
      </c>
      <c r="G486" s="35" t="s">
        <v>308</v>
      </c>
      <c r="H486" s="35" t="s">
        <v>56</v>
      </c>
      <c r="I486" s="35" t="s">
        <v>27</v>
      </c>
      <c r="J486" s="35">
        <v>507</v>
      </c>
      <c r="K486" s="35" t="s">
        <v>123</v>
      </c>
      <c r="L486" s="35">
        <v>20</v>
      </c>
      <c r="M486" s="37">
        <v>85606</v>
      </c>
      <c r="N486" s="38">
        <f t="shared" si="8"/>
        <v>4280.3</v>
      </c>
      <c r="O486" s="35" t="s">
        <v>29</v>
      </c>
      <c r="P486" s="35" t="s">
        <v>30</v>
      </c>
      <c r="Q486" s="36">
        <v>46064</v>
      </c>
      <c r="R486" s="35" t="s">
        <v>31</v>
      </c>
      <c r="S486" s="35"/>
      <c r="T486" s="35"/>
    </row>
    <row r="487" spans="1:20" ht="15.6" x14ac:dyDescent="0.3">
      <c r="A487" s="35" t="s">
        <v>469</v>
      </c>
      <c r="B487" s="35" t="s">
        <v>141</v>
      </c>
      <c r="C487" s="35" t="s">
        <v>142</v>
      </c>
      <c r="D487" s="35" t="s">
        <v>525</v>
      </c>
      <c r="E487" s="35" t="s">
        <v>47</v>
      </c>
      <c r="F487" s="35" t="s">
        <v>54</v>
      </c>
      <c r="G487" s="35" t="s">
        <v>438</v>
      </c>
      <c r="H487" s="35" t="s">
        <v>56</v>
      </c>
      <c r="I487" s="35" t="s">
        <v>27</v>
      </c>
      <c r="J487" s="35">
        <v>507</v>
      </c>
      <c r="K487" s="35" t="s">
        <v>123</v>
      </c>
      <c r="L487" s="35">
        <v>20</v>
      </c>
      <c r="M487" s="37">
        <v>119848</v>
      </c>
      <c r="N487" s="38">
        <f t="shared" si="8"/>
        <v>5992.4</v>
      </c>
      <c r="O487" s="35" t="s">
        <v>29</v>
      </c>
      <c r="P487" s="35" t="s">
        <v>30</v>
      </c>
      <c r="Q487" s="36">
        <v>46064</v>
      </c>
      <c r="R487" s="35" t="s">
        <v>31</v>
      </c>
      <c r="S487" s="35"/>
      <c r="T487" s="35"/>
    </row>
    <row r="488" spans="1:20" ht="15.6" x14ac:dyDescent="0.3">
      <c r="A488" s="35" t="s">
        <v>469</v>
      </c>
      <c r="B488" s="35" t="s">
        <v>502</v>
      </c>
      <c r="C488" s="35" t="s">
        <v>503</v>
      </c>
      <c r="D488" s="35" t="s">
        <v>525</v>
      </c>
      <c r="E488" s="35" t="s">
        <v>88</v>
      </c>
      <c r="F488" s="35" t="s">
        <v>24</v>
      </c>
      <c r="G488" s="35" t="s">
        <v>286</v>
      </c>
      <c r="H488" s="35" t="s">
        <v>26</v>
      </c>
      <c r="I488" s="35" t="s">
        <v>27</v>
      </c>
      <c r="J488" s="35">
        <v>508</v>
      </c>
      <c r="K488" s="35" t="s">
        <v>123</v>
      </c>
      <c r="L488" s="35">
        <v>1</v>
      </c>
      <c r="M488" s="37">
        <v>12800</v>
      </c>
      <c r="N488" s="38">
        <f t="shared" si="8"/>
        <v>12800</v>
      </c>
      <c r="O488" s="35" t="s">
        <v>29</v>
      </c>
      <c r="P488" s="35" t="s">
        <v>30</v>
      </c>
      <c r="Q488" s="36">
        <v>46064</v>
      </c>
      <c r="R488" s="35" t="s">
        <v>31</v>
      </c>
      <c r="S488" s="35"/>
      <c r="T488" s="35"/>
    </row>
    <row r="489" spans="1:20" ht="15.6" x14ac:dyDescent="0.3">
      <c r="A489" s="35" t="s">
        <v>469</v>
      </c>
      <c r="B489" s="35" t="s">
        <v>526</v>
      </c>
      <c r="C489" s="35" t="s">
        <v>527</v>
      </c>
      <c r="D489" s="35" t="s">
        <v>528</v>
      </c>
      <c r="E489" s="35" t="s">
        <v>529</v>
      </c>
      <c r="F489" s="35" t="s">
        <v>24</v>
      </c>
      <c r="G489" s="35" t="s">
        <v>282</v>
      </c>
      <c r="H489" s="35" t="s">
        <v>26</v>
      </c>
      <c r="I489" s="35" t="s">
        <v>27</v>
      </c>
      <c r="J489" s="35">
        <v>509</v>
      </c>
      <c r="K489" s="35" t="s">
        <v>123</v>
      </c>
      <c r="L489" s="35">
        <v>5</v>
      </c>
      <c r="M489" s="37">
        <v>51500</v>
      </c>
      <c r="N489" s="38">
        <f t="shared" si="8"/>
        <v>10300</v>
      </c>
      <c r="O489" s="35" t="s">
        <v>29</v>
      </c>
      <c r="P489" s="35" t="s">
        <v>30</v>
      </c>
      <c r="Q489" s="36">
        <v>46065</v>
      </c>
      <c r="R489" s="35" t="s">
        <v>31</v>
      </c>
      <c r="S489" s="35"/>
      <c r="T489" s="35"/>
    </row>
    <row r="490" spans="1:20" ht="15.6" x14ac:dyDescent="0.3">
      <c r="A490" s="35" t="s">
        <v>469</v>
      </c>
      <c r="B490" s="35" t="s">
        <v>526</v>
      </c>
      <c r="C490" s="35" t="s">
        <v>527</v>
      </c>
      <c r="D490" s="35" t="s">
        <v>528</v>
      </c>
      <c r="E490" s="35" t="s">
        <v>529</v>
      </c>
      <c r="F490" s="35" t="s">
        <v>24</v>
      </c>
      <c r="G490" s="35" t="s">
        <v>80</v>
      </c>
      <c r="H490" s="35" t="s">
        <v>26</v>
      </c>
      <c r="I490" s="35" t="s">
        <v>27</v>
      </c>
      <c r="J490" s="35">
        <v>509</v>
      </c>
      <c r="K490" s="35" t="s">
        <v>123</v>
      </c>
      <c r="L490" s="35">
        <v>5</v>
      </c>
      <c r="M490" s="37">
        <v>65000</v>
      </c>
      <c r="N490" s="38">
        <f t="shared" si="8"/>
        <v>13000</v>
      </c>
      <c r="O490" s="35" t="s">
        <v>29</v>
      </c>
      <c r="P490" s="35" t="s">
        <v>30</v>
      </c>
      <c r="Q490" s="36">
        <v>46065</v>
      </c>
      <c r="R490" s="35" t="s">
        <v>31</v>
      </c>
      <c r="S490" s="35"/>
      <c r="T490" s="35"/>
    </row>
    <row r="491" spans="1:20" ht="15.6" x14ac:dyDescent="0.3">
      <c r="A491" s="35" t="s">
        <v>469</v>
      </c>
      <c r="B491" s="35" t="s">
        <v>306</v>
      </c>
      <c r="C491" s="35" t="s">
        <v>307</v>
      </c>
      <c r="D491" s="35" t="s">
        <v>528</v>
      </c>
      <c r="E491" s="35" t="s">
        <v>47</v>
      </c>
      <c r="F491" s="35" t="s">
        <v>58</v>
      </c>
      <c r="G491" s="35" t="s">
        <v>388</v>
      </c>
      <c r="H491" s="35" t="s">
        <v>26</v>
      </c>
      <c r="I491" s="35" t="s">
        <v>27</v>
      </c>
      <c r="J491" s="35">
        <v>511</v>
      </c>
      <c r="K491" s="35" t="s">
        <v>123</v>
      </c>
      <c r="L491" s="35">
        <v>20</v>
      </c>
      <c r="M491" s="37">
        <v>0</v>
      </c>
      <c r="N491" s="38">
        <f t="shared" si="8"/>
        <v>0</v>
      </c>
      <c r="O491" s="35" t="s">
        <v>29</v>
      </c>
      <c r="P491" s="35" t="s">
        <v>30</v>
      </c>
      <c r="Q491" s="36">
        <v>46125</v>
      </c>
      <c r="R491" s="35" t="s">
        <v>31</v>
      </c>
      <c r="S491" s="35"/>
      <c r="T491" s="35"/>
    </row>
    <row r="492" spans="1:20" ht="15.6" x14ac:dyDescent="0.3">
      <c r="A492" s="35" t="s">
        <v>469</v>
      </c>
      <c r="B492" s="35" t="s">
        <v>306</v>
      </c>
      <c r="C492" s="35" t="s">
        <v>307</v>
      </c>
      <c r="D492" s="35" t="s">
        <v>528</v>
      </c>
      <c r="E492" s="35" t="s">
        <v>47</v>
      </c>
      <c r="F492" s="35" t="s">
        <v>58</v>
      </c>
      <c r="G492" s="35" t="s">
        <v>438</v>
      </c>
      <c r="H492" s="35" t="s">
        <v>26</v>
      </c>
      <c r="I492" s="35" t="s">
        <v>27</v>
      </c>
      <c r="J492" s="35">
        <v>511</v>
      </c>
      <c r="K492" s="35" t="s">
        <v>123</v>
      </c>
      <c r="L492" s="35">
        <v>10</v>
      </c>
      <c r="M492" s="37">
        <v>0</v>
      </c>
      <c r="N492" s="38">
        <f t="shared" si="8"/>
        <v>0</v>
      </c>
      <c r="O492" s="35" t="s">
        <v>29</v>
      </c>
      <c r="P492" s="35" t="s">
        <v>30</v>
      </c>
      <c r="Q492" s="36">
        <v>46125</v>
      </c>
      <c r="R492" s="35" t="s">
        <v>31</v>
      </c>
      <c r="S492" s="35"/>
      <c r="T492" s="35"/>
    </row>
    <row r="493" spans="1:20" ht="15.6" x14ac:dyDescent="0.3">
      <c r="A493" s="35" t="s">
        <v>469</v>
      </c>
      <c r="B493" s="35" t="s">
        <v>306</v>
      </c>
      <c r="C493" s="35" t="s">
        <v>307</v>
      </c>
      <c r="D493" s="35" t="s">
        <v>528</v>
      </c>
      <c r="E493" s="35" t="s">
        <v>47</v>
      </c>
      <c r="F493" s="35" t="s">
        <v>58</v>
      </c>
      <c r="G493" s="35" t="s">
        <v>289</v>
      </c>
      <c r="H493" s="35" t="s">
        <v>26</v>
      </c>
      <c r="I493" s="35" t="s">
        <v>27</v>
      </c>
      <c r="J493" s="35">
        <v>511</v>
      </c>
      <c r="K493" s="35" t="s">
        <v>123</v>
      </c>
      <c r="L493" s="35">
        <v>60</v>
      </c>
      <c r="M493" s="37">
        <v>0</v>
      </c>
      <c r="N493" s="38">
        <f t="shared" si="8"/>
        <v>0</v>
      </c>
      <c r="O493" s="35" t="s">
        <v>29</v>
      </c>
      <c r="P493" s="35" t="s">
        <v>30</v>
      </c>
      <c r="Q493" s="36">
        <v>46125</v>
      </c>
      <c r="R493" s="35" t="s">
        <v>31</v>
      </c>
      <c r="S493" s="35"/>
      <c r="T493" s="35"/>
    </row>
    <row r="494" spans="1:20" ht="15.6" x14ac:dyDescent="0.3">
      <c r="A494" s="35" t="s">
        <v>469</v>
      </c>
      <c r="B494" s="35" t="s">
        <v>306</v>
      </c>
      <c r="C494" s="35" t="s">
        <v>307</v>
      </c>
      <c r="D494" s="35" t="s">
        <v>528</v>
      </c>
      <c r="E494" s="35" t="s">
        <v>47</v>
      </c>
      <c r="F494" s="35" t="s">
        <v>58</v>
      </c>
      <c r="G494" s="35" t="s">
        <v>410</v>
      </c>
      <c r="H494" s="35" t="s">
        <v>26</v>
      </c>
      <c r="I494" s="35" t="s">
        <v>27</v>
      </c>
      <c r="J494" s="35">
        <v>511</v>
      </c>
      <c r="K494" s="35" t="s">
        <v>123</v>
      </c>
      <c r="L494" s="35">
        <v>40</v>
      </c>
      <c r="M494" s="37">
        <v>0</v>
      </c>
      <c r="N494" s="38">
        <f t="shared" si="8"/>
        <v>0</v>
      </c>
      <c r="O494" s="35" t="s">
        <v>29</v>
      </c>
      <c r="P494" s="35" t="s">
        <v>30</v>
      </c>
      <c r="Q494" s="36">
        <v>46125</v>
      </c>
      <c r="R494" s="35" t="s">
        <v>31</v>
      </c>
      <c r="S494" s="35"/>
      <c r="T494" s="35"/>
    </row>
    <row r="495" spans="1:20" ht="15.6" x14ac:dyDescent="0.3">
      <c r="A495" s="35" t="s">
        <v>469</v>
      </c>
      <c r="B495" s="35" t="s">
        <v>306</v>
      </c>
      <c r="C495" s="35" t="s">
        <v>307</v>
      </c>
      <c r="D495" s="35" t="s">
        <v>528</v>
      </c>
      <c r="E495" s="35" t="s">
        <v>47</v>
      </c>
      <c r="F495" s="35" t="s">
        <v>58</v>
      </c>
      <c r="G495" s="35" t="s">
        <v>410</v>
      </c>
      <c r="H495" s="35" t="s">
        <v>56</v>
      </c>
      <c r="I495" s="35" t="s">
        <v>64</v>
      </c>
      <c r="J495" s="35">
        <v>201</v>
      </c>
      <c r="K495" s="35" t="s">
        <v>123</v>
      </c>
      <c r="L495" s="35">
        <v>20</v>
      </c>
      <c r="M495" s="37">
        <v>59920</v>
      </c>
      <c r="N495" s="38">
        <f t="shared" si="8"/>
        <v>2996</v>
      </c>
      <c r="O495" s="35" t="s">
        <v>29</v>
      </c>
      <c r="P495" s="35" t="s">
        <v>30</v>
      </c>
      <c r="Q495" s="36">
        <v>46125</v>
      </c>
      <c r="R495" s="35" t="s">
        <v>31</v>
      </c>
      <c r="S495" s="35"/>
      <c r="T495" s="35"/>
    </row>
    <row r="496" spans="1:20" ht="15.6" x14ac:dyDescent="0.3">
      <c r="A496" s="35" t="s">
        <v>469</v>
      </c>
      <c r="B496" s="35" t="s">
        <v>306</v>
      </c>
      <c r="C496" s="35" t="s">
        <v>307</v>
      </c>
      <c r="D496" s="35" t="s">
        <v>528</v>
      </c>
      <c r="E496" s="35" t="s">
        <v>47</v>
      </c>
      <c r="F496" s="35" t="s">
        <v>58</v>
      </c>
      <c r="G496" s="35" t="s">
        <v>310</v>
      </c>
      <c r="H496" s="35" t="s">
        <v>56</v>
      </c>
      <c r="I496" s="35" t="s">
        <v>64</v>
      </c>
      <c r="J496" s="35">
        <v>201</v>
      </c>
      <c r="K496" s="35" t="s">
        <v>123</v>
      </c>
      <c r="L496" s="35">
        <v>4</v>
      </c>
      <c r="M496" s="37">
        <v>11984</v>
      </c>
      <c r="N496" s="38">
        <f t="shared" si="8"/>
        <v>2996</v>
      </c>
      <c r="O496" s="35" t="s">
        <v>29</v>
      </c>
      <c r="P496" s="35" t="s">
        <v>30</v>
      </c>
      <c r="Q496" s="36">
        <v>46125</v>
      </c>
      <c r="R496" s="35" t="s">
        <v>31</v>
      </c>
      <c r="S496" s="35"/>
      <c r="T496" s="35"/>
    </row>
    <row r="497" spans="1:20" ht="15.6" x14ac:dyDescent="0.3">
      <c r="A497" s="35" t="s">
        <v>469</v>
      </c>
      <c r="B497" s="35" t="s">
        <v>306</v>
      </c>
      <c r="C497" s="35" t="s">
        <v>307</v>
      </c>
      <c r="D497" s="35" t="s">
        <v>528</v>
      </c>
      <c r="E497" s="35" t="s">
        <v>47</v>
      </c>
      <c r="F497" s="35" t="s">
        <v>58</v>
      </c>
      <c r="G497" s="35" t="s">
        <v>289</v>
      </c>
      <c r="H497" s="35" t="s">
        <v>56</v>
      </c>
      <c r="I497" s="35" t="s">
        <v>64</v>
      </c>
      <c r="J497" s="35">
        <v>201</v>
      </c>
      <c r="K497" s="35" t="s">
        <v>123</v>
      </c>
      <c r="L497" s="35">
        <v>40</v>
      </c>
      <c r="M497" s="37">
        <v>119840</v>
      </c>
      <c r="N497" s="38">
        <f t="shared" si="8"/>
        <v>2996</v>
      </c>
      <c r="O497" s="35" t="s">
        <v>29</v>
      </c>
      <c r="P497" s="35" t="s">
        <v>30</v>
      </c>
      <c r="Q497" s="36">
        <v>46125</v>
      </c>
      <c r="R497" s="35" t="s">
        <v>31</v>
      </c>
      <c r="S497" s="35"/>
      <c r="T497" s="35"/>
    </row>
    <row r="498" spans="1:20" ht="15.6" x14ac:dyDescent="0.3">
      <c r="A498" s="35" t="s">
        <v>469</v>
      </c>
      <c r="B498" s="35" t="s">
        <v>306</v>
      </c>
      <c r="C498" s="35" t="s">
        <v>307</v>
      </c>
      <c r="D498" s="35" t="s">
        <v>528</v>
      </c>
      <c r="E498" s="35" t="s">
        <v>47</v>
      </c>
      <c r="F498" s="35" t="s">
        <v>58</v>
      </c>
      <c r="G498" s="35" t="s">
        <v>388</v>
      </c>
      <c r="H498" s="35" t="s">
        <v>26</v>
      </c>
      <c r="I498" s="35" t="s">
        <v>64</v>
      </c>
      <c r="J498" s="35">
        <v>202</v>
      </c>
      <c r="K498" s="35" t="s">
        <v>123</v>
      </c>
      <c r="L498" s="35">
        <v>20</v>
      </c>
      <c r="M498" s="37">
        <v>99300</v>
      </c>
      <c r="N498" s="38">
        <f t="shared" si="8"/>
        <v>4965</v>
      </c>
      <c r="O498" s="35" t="s">
        <v>29</v>
      </c>
      <c r="P498" s="35" t="s">
        <v>30</v>
      </c>
      <c r="Q498" s="36">
        <v>46125</v>
      </c>
      <c r="R498" s="35" t="s">
        <v>31</v>
      </c>
      <c r="S498" s="35"/>
      <c r="T498" s="35"/>
    </row>
    <row r="499" spans="1:20" ht="15.6" x14ac:dyDescent="0.3">
      <c r="A499" s="35" t="s">
        <v>469</v>
      </c>
      <c r="B499" s="35" t="s">
        <v>306</v>
      </c>
      <c r="C499" s="35" t="s">
        <v>307</v>
      </c>
      <c r="D499" s="35" t="s">
        <v>528</v>
      </c>
      <c r="E499" s="35" t="s">
        <v>47</v>
      </c>
      <c r="F499" s="35" t="s">
        <v>58</v>
      </c>
      <c r="G499" s="35" t="s">
        <v>438</v>
      </c>
      <c r="H499" s="35" t="s">
        <v>26</v>
      </c>
      <c r="I499" s="35" t="s">
        <v>64</v>
      </c>
      <c r="J499" s="35">
        <v>202</v>
      </c>
      <c r="K499" s="35" t="s">
        <v>123</v>
      </c>
      <c r="L499" s="35">
        <v>10</v>
      </c>
      <c r="M499" s="37">
        <v>49650</v>
      </c>
      <c r="N499" s="38">
        <f t="shared" si="8"/>
        <v>4965</v>
      </c>
      <c r="O499" s="35" t="s">
        <v>29</v>
      </c>
      <c r="P499" s="35" t="s">
        <v>30</v>
      </c>
      <c r="Q499" s="36">
        <v>46125</v>
      </c>
      <c r="R499" s="35" t="s">
        <v>31</v>
      </c>
      <c r="S499" s="35"/>
      <c r="T499" s="35"/>
    </row>
    <row r="500" spans="1:20" ht="15.6" x14ac:dyDescent="0.3">
      <c r="A500" s="35" t="s">
        <v>469</v>
      </c>
      <c r="B500" s="35" t="s">
        <v>306</v>
      </c>
      <c r="C500" s="35" t="s">
        <v>307</v>
      </c>
      <c r="D500" s="35" t="s">
        <v>528</v>
      </c>
      <c r="E500" s="35" t="s">
        <v>47</v>
      </c>
      <c r="F500" s="35" t="s">
        <v>58</v>
      </c>
      <c r="G500" s="35" t="s">
        <v>289</v>
      </c>
      <c r="H500" s="35" t="s">
        <v>26</v>
      </c>
      <c r="I500" s="35" t="s">
        <v>64</v>
      </c>
      <c r="J500" s="35">
        <v>202</v>
      </c>
      <c r="K500" s="35" t="s">
        <v>123</v>
      </c>
      <c r="L500" s="35">
        <v>60</v>
      </c>
      <c r="M500" s="37">
        <v>179760</v>
      </c>
      <c r="N500" s="38">
        <f t="shared" si="8"/>
        <v>2996</v>
      </c>
      <c r="O500" s="35" t="s">
        <v>29</v>
      </c>
      <c r="P500" s="35" t="s">
        <v>30</v>
      </c>
      <c r="Q500" s="36">
        <v>46125</v>
      </c>
      <c r="R500" s="35" t="s">
        <v>31</v>
      </c>
      <c r="S500" s="35"/>
      <c r="T500" s="35"/>
    </row>
    <row r="501" spans="1:20" ht="15.6" x14ac:dyDescent="0.3">
      <c r="A501" s="35" t="s">
        <v>469</v>
      </c>
      <c r="B501" s="35" t="s">
        <v>306</v>
      </c>
      <c r="C501" s="35" t="s">
        <v>307</v>
      </c>
      <c r="D501" s="35" t="s">
        <v>528</v>
      </c>
      <c r="E501" s="35" t="s">
        <v>47</v>
      </c>
      <c r="F501" s="35" t="s">
        <v>58</v>
      </c>
      <c r="G501" s="35" t="s">
        <v>410</v>
      </c>
      <c r="H501" s="35" t="s">
        <v>26</v>
      </c>
      <c r="I501" s="35" t="s">
        <v>64</v>
      </c>
      <c r="J501" s="35">
        <v>202</v>
      </c>
      <c r="K501" s="35" t="s">
        <v>123</v>
      </c>
      <c r="L501" s="35">
        <v>40</v>
      </c>
      <c r="M501" s="37">
        <v>119840</v>
      </c>
      <c r="N501" s="38">
        <f t="shared" si="8"/>
        <v>2996</v>
      </c>
      <c r="O501" s="35" t="s">
        <v>29</v>
      </c>
      <c r="P501" s="35" t="s">
        <v>30</v>
      </c>
      <c r="Q501" s="36">
        <v>46125</v>
      </c>
      <c r="R501" s="35" t="s">
        <v>31</v>
      </c>
      <c r="S501" s="35"/>
      <c r="T501" s="35"/>
    </row>
    <row r="502" spans="1:20" ht="15.6" x14ac:dyDescent="0.3">
      <c r="A502" s="35" t="s">
        <v>469</v>
      </c>
      <c r="B502" s="35" t="s">
        <v>273</v>
      </c>
      <c r="C502" s="35" t="s">
        <v>274</v>
      </c>
      <c r="D502" s="35" t="s">
        <v>530</v>
      </c>
      <c r="E502" s="35" t="s">
        <v>40</v>
      </c>
      <c r="F502" s="35" t="s">
        <v>36</v>
      </c>
      <c r="G502" s="35" t="s">
        <v>531</v>
      </c>
      <c r="H502" s="35" t="s">
        <v>56</v>
      </c>
      <c r="I502" s="35" t="s">
        <v>27</v>
      </c>
      <c r="J502" s="35">
        <v>512</v>
      </c>
      <c r="K502" s="35" t="s">
        <v>123</v>
      </c>
      <c r="L502" s="35">
        <v>200</v>
      </c>
      <c r="M502" s="37">
        <v>800000</v>
      </c>
      <c r="N502" s="38">
        <f t="shared" si="8"/>
        <v>4000</v>
      </c>
      <c r="O502" s="35" t="s">
        <v>29</v>
      </c>
      <c r="P502" s="35" t="s">
        <v>30</v>
      </c>
      <c r="Q502" s="36">
        <v>46066</v>
      </c>
      <c r="R502" s="35" t="s">
        <v>31</v>
      </c>
      <c r="S502" s="35"/>
      <c r="T502" s="35"/>
    </row>
    <row r="503" spans="1:20" ht="15.6" x14ac:dyDescent="0.3">
      <c r="A503" s="35" t="s">
        <v>469</v>
      </c>
      <c r="B503" s="35" t="s">
        <v>263</v>
      </c>
      <c r="C503" s="35" t="s">
        <v>264</v>
      </c>
      <c r="D503" s="35" t="s">
        <v>530</v>
      </c>
      <c r="E503" s="35" t="s">
        <v>47</v>
      </c>
      <c r="F503" s="35" t="s">
        <v>24</v>
      </c>
      <c r="G503" s="35" t="s">
        <v>244</v>
      </c>
      <c r="H503" s="35" t="s">
        <v>26</v>
      </c>
      <c r="I503" s="35" t="s">
        <v>27</v>
      </c>
      <c r="J503" s="35">
        <v>513</v>
      </c>
      <c r="K503" s="35" t="s">
        <v>123</v>
      </c>
      <c r="L503" s="35">
        <v>60</v>
      </c>
      <c r="M503" s="37">
        <v>450000</v>
      </c>
      <c r="N503" s="38">
        <f t="shared" si="8"/>
        <v>7500</v>
      </c>
      <c r="O503" s="35" t="s">
        <v>29</v>
      </c>
      <c r="P503" s="35" t="s">
        <v>30</v>
      </c>
      <c r="Q503" s="36">
        <v>46066</v>
      </c>
      <c r="R503" s="35" t="s">
        <v>31</v>
      </c>
      <c r="S503" s="35"/>
      <c r="T503" s="35"/>
    </row>
    <row r="504" spans="1:20" ht="15.6" x14ac:dyDescent="0.3">
      <c r="A504" s="35" t="s">
        <v>469</v>
      </c>
      <c r="B504" s="35" t="s">
        <v>263</v>
      </c>
      <c r="C504" s="35" t="s">
        <v>264</v>
      </c>
      <c r="D504" s="35" t="s">
        <v>530</v>
      </c>
      <c r="E504" s="35" t="s">
        <v>47</v>
      </c>
      <c r="F504" s="35" t="s">
        <v>24</v>
      </c>
      <c r="G504" s="35" t="s">
        <v>327</v>
      </c>
      <c r="H504" s="35" t="s">
        <v>26</v>
      </c>
      <c r="I504" s="35" t="s">
        <v>27</v>
      </c>
      <c r="J504" s="35">
        <v>513</v>
      </c>
      <c r="K504" s="35" t="s">
        <v>123</v>
      </c>
      <c r="L504" s="35">
        <v>10</v>
      </c>
      <c r="M504" s="37">
        <v>75000</v>
      </c>
      <c r="N504" s="38">
        <f t="shared" si="8"/>
        <v>7500</v>
      </c>
      <c r="O504" s="35" t="s">
        <v>29</v>
      </c>
      <c r="P504" s="35" t="s">
        <v>30</v>
      </c>
      <c r="Q504" s="36">
        <v>46066</v>
      </c>
      <c r="R504" s="35" t="s">
        <v>31</v>
      </c>
      <c r="S504" s="35"/>
      <c r="T504" s="35"/>
    </row>
    <row r="505" spans="1:20" ht="15.6" x14ac:dyDescent="0.3">
      <c r="A505" s="35" t="s">
        <v>469</v>
      </c>
      <c r="B505" s="35" t="s">
        <v>20</v>
      </c>
      <c r="C505" s="35" t="s">
        <v>21</v>
      </c>
      <c r="D505" s="35" t="s">
        <v>530</v>
      </c>
      <c r="E505" s="41" t="s">
        <v>23</v>
      </c>
      <c r="F505" s="35" t="s">
        <v>24</v>
      </c>
      <c r="G505" s="35" t="s">
        <v>257</v>
      </c>
      <c r="H505" s="35" t="s">
        <v>56</v>
      </c>
      <c r="I505" s="35" t="s">
        <v>64</v>
      </c>
      <c r="J505" s="35">
        <v>203</v>
      </c>
      <c r="K505" s="35" t="s">
        <v>123</v>
      </c>
      <c r="L505" s="35">
        <v>160</v>
      </c>
      <c r="M505" s="37">
        <v>0</v>
      </c>
      <c r="N505" s="38">
        <f t="shared" si="8"/>
        <v>0</v>
      </c>
      <c r="O505" s="35" t="s">
        <v>29</v>
      </c>
      <c r="P505" s="35" t="s">
        <v>30</v>
      </c>
      <c r="Q505" s="36">
        <v>46142</v>
      </c>
      <c r="R505" s="35" t="s">
        <v>31</v>
      </c>
      <c r="S505" s="35"/>
      <c r="T505" s="35"/>
    </row>
    <row r="506" spans="1:20" ht="15.6" x14ac:dyDescent="0.3">
      <c r="A506" s="35" t="s">
        <v>469</v>
      </c>
      <c r="B506" s="35" t="s">
        <v>20</v>
      </c>
      <c r="C506" s="35" t="s">
        <v>21</v>
      </c>
      <c r="D506" s="35" t="s">
        <v>530</v>
      </c>
      <c r="E506" s="41" t="s">
        <v>23</v>
      </c>
      <c r="F506" s="35" t="s">
        <v>24</v>
      </c>
      <c r="G506" s="35" t="s">
        <v>257</v>
      </c>
      <c r="H506" s="35" t="s">
        <v>26</v>
      </c>
      <c r="I506" s="35" t="s">
        <v>64</v>
      </c>
      <c r="J506" s="35">
        <v>204</v>
      </c>
      <c r="K506" s="35" t="s">
        <v>123</v>
      </c>
      <c r="L506" s="35">
        <v>200</v>
      </c>
      <c r="M506" s="37">
        <v>0</v>
      </c>
      <c r="N506" s="38">
        <f t="shared" si="8"/>
        <v>0</v>
      </c>
      <c r="O506" s="35" t="s">
        <v>29</v>
      </c>
      <c r="P506" s="35" t="s">
        <v>30</v>
      </c>
      <c r="Q506" s="36">
        <v>46142</v>
      </c>
      <c r="R506" s="35" t="s">
        <v>31</v>
      </c>
      <c r="S506" s="35"/>
      <c r="T506" s="35"/>
    </row>
    <row r="507" spans="1:20" ht="15.6" x14ac:dyDescent="0.3">
      <c r="A507" s="35" t="s">
        <v>469</v>
      </c>
      <c r="B507" s="35" t="s">
        <v>20</v>
      </c>
      <c r="C507" s="35" t="s">
        <v>21</v>
      </c>
      <c r="D507" s="35" t="s">
        <v>530</v>
      </c>
      <c r="E507" s="41" t="s">
        <v>23</v>
      </c>
      <c r="F507" s="35" t="s">
        <v>24</v>
      </c>
      <c r="G507" s="35" t="s">
        <v>244</v>
      </c>
      <c r="H507" s="35" t="s">
        <v>26</v>
      </c>
      <c r="I507" s="35" t="s">
        <v>64</v>
      </c>
      <c r="J507" s="35">
        <v>205</v>
      </c>
      <c r="K507" s="35" t="s">
        <v>123</v>
      </c>
      <c r="L507" s="35">
        <v>180</v>
      </c>
      <c r="M507" s="37">
        <v>1260000</v>
      </c>
      <c r="N507" s="38">
        <f t="shared" si="8"/>
        <v>7000</v>
      </c>
      <c r="O507" s="35" t="s">
        <v>29</v>
      </c>
      <c r="P507" s="35" t="s">
        <v>30</v>
      </c>
      <c r="Q507" s="36">
        <v>46142</v>
      </c>
      <c r="R507" s="35" t="s">
        <v>31</v>
      </c>
      <c r="S507" s="35"/>
      <c r="T507" s="35"/>
    </row>
    <row r="508" spans="1:20" ht="15.6" x14ac:dyDescent="0.3">
      <c r="A508" s="35" t="s">
        <v>469</v>
      </c>
      <c r="B508" s="35" t="s">
        <v>532</v>
      </c>
      <c r="C508" s="35" t="s">
        <v>533</v>
      </c>
      <c r="D508" s="35" t="s">
        <v>534</v>
      </c>
      <c r="E508" s="35" t="s">
        <v>325</v>
      </c>
      <c r="F508" s="35" t="s">
        <v>54</v>
      </c>
      <c r="G508" s="35" t="s">
        <v>244</v>
      </c>
      <c r="H508" s="35" t="s">
        <v>56</v>
      </c>
      <c r="I508" s="35" t="s">
        <v>64</v>
      </c>
      <c r="J508" s="35">
        <v>206</v>
      </c>
      <c r="K508" s="35" t="s">
        <v>123</v>
      </c>
      <c r="L508" s="35">
        <v>100</v>
      </c>
      <c r="M508" s="37">
        <v>730000</v>
      </c>
      <c r="N508" s="38">
        <f t="shared" si="8"/>
        <v>7300</v>
      </c>
      <c r="O508" s="35" t="s">
        <v>29</v>
      </c>
      <c r="P508" s="35" t="s">
        <v>30</v>
      </c>
      <c r="Q508" s="36">
        <v>46190</v>
      </c>
      <c r="R508" s="35" t="s">
        <v>31</v>
      </c>
      <c r="S508" s="35"/>
      <c r="T508" s="35"/>
    </row>
    <row r="509" spans="1:20" ht="15.6" x14ac:dyDescent="0.3">
      <c r="A509" s="35" t="s">
        <v>469</v>
      </c>
      <c r="B509" s="35" t="s">
        <v>535</v>
      </c>
      <c r="C509" s="35" t="s">
        <v>536</v>
      </c>
      <c r="D509" s="35" t="s">
        <v>537</v>
      </c>
      <c r="E509" s="41" t="s">
        <v>23</v>
      </c>
      <c r="F509" s="35" t="s">
        <v>89</v>
      </c>
      <c r="G509" s="35" t="s">
        <v>242</v>
      </c>
      <c r="H509" s="35" t="s">
        <v>56</v>
      </c>
      <c r="I509" s="35" t="s">
        <v>27</v>
      </c>
      <c r="J509" s="35">
        <v>514</v>
      </c>
      <c r="K509" s="35" t="s">
        <v>123</v>
      </c>
      <c r="L509" s="35">
        <v>20</v>
      </c>
      <c r="M509" s="37">
        <v>0</v>
      </c>
      <c r="N509" s="38">
        <f t="shared" si="8"/>
        <v>0</v>
      </c>
      <c r="O509" s="35" t="s">
        <v>29</v>
      </c>
      <c r="P509" s="35" t="s">
        <v>30</v>
      </c>
      <c r="Q509" s="36">
        <v>46101</v>
      </c>
      <c r="R509" s="35" t="s">
        <v>31</v>
      </c>
      <c r="S509" s="35"/>
      <c r="T509" s="35"/>
    </row>
    <row r="510" spans="1:20" ht="15.6" x14ac:dyDescent="0.3">
      <c r="A510" s="35" t="s">
        <v>469</v>
      </c>
      <c r="B510" s="35" t="s">
        <v>538</v>
      </c>
      <c r="C510" s="35" t="s">
        <v>539</v>
      </c>
      <c r="D510" s="35" t="s">
        <v>537</v>
      </c>
      <c r="E510" s="35" t="s">
        <v>47</v>
      </c>
      <c r="F510" s="35" t="s">
        <v>58</v>
      </c>
      <c r="G510" s="35" t="s">
        <v>408</v>
      </c>
      <c r="H510" s="35" t="s">
        <v>56</v>
      </c>
      <c r="I510" s="35" t="s">
        <v>64</v>
      </c>
      <c r="J510" s="35">
        <v>207</v>
      </c>
      <c r="K510" s="35" t="s">
        <v>123</v>
      </c>
      <c r="L510" s="35">
        <v>20</v>
      </c>
      <c r="M510" s="37">
        <v>232800</v>
      </c>
      <c r="N510" s="38">
        <f t="shared" si="8"/>
        <v>11640</v>
      </c>
      <c r="O510" s="35" t="s">
        <v>29</v>
      </c>
      <c r="P510" s="35" t="s">
        <v>30</v>
      </c>
      <c r="Q510" s="36">
        <v>46203</v>
      </c>
      <c r="R510" s="35" t="s">
        <v>31</v>
      </c>
      <c r="S510" s="35"/>
      <c r="T510" s="35"/>
    </row>
    <row r="511" spans="1:20" ht="15.6" x14ac:dyDescent="0.3">
      <c r="A511" s="35" t="s">
        <v>469</v>
      </c>
      <c r="B511" s="35" t="s">
        <v>538</v>
      </c>
      <c r="C511" s="35" t="s">
        <v>539</v>
      </c>
      <c r="D511" s="35" t="s">
        <v>537</v>
      </c>
      <c r="E511" s="35" t="s">
        <v>47</v>
      </c>
      <c r="F511" s="35" t="s">
        <v>58</v>
      </c>
      <c r="G511" s="35" t="s">
        <v>287</v>
      </c>
      <c r="H511" s="35" t="s">
        <v>56</v>
      </c>
      <c r="I511" s="35" t="s">
        <v>64</v>
      </c>
      <c r="J511" s="35">
        <v>207</v>
      </c>
      <c r="K511" s="35" t="s">
        <v>123</v>
      </c>
      <c r="L511" s="35">
        <v>10</v>
      </c>
      <c r="M511" s="37">
        <v>129300</v>
      </c>
      <c r="N511" s="38">
        <f t="shared" si="8"/>
        <v>12930</v>
      </c>
      <c r="O511" s="35" t="s">
        <v>29</v>
      </c>
      <c r="P511" s="35" t="s">
        <v>30</v>
      </c>
      <c r="Q511" s="36">
        <v>46203</v>
      </c>
      <c r="R511" s="35" t="s">
        <v>31</v>
      </c>
      <c r="S511" s="35"/>
      <c r="T511" s="35"/>
    </row>
    <row r="512" spans="1:20" ht="15.6" x14ac:dyDescent="0.3">
      <c r="A512" s="35" t="s">
        <v>469</v>
      </c>
      <c r="B512" s="35" t="s">
        <v>426</v>
      </c>
      <c r="C512" s="35" t="s">
        <v>427</v>
      </c>
      <c r="D512" s="35" t="s">
        <v>540</v>
      </c>
      <c r="E512" s="41" t="s">
        <v>23</v>
      </c>
      <c r="F512" s="35" t="s">
        <v>24</v>
      </c>
      <c r="G512" s="35" t="s">
        <v>244</v>
      </c>
      <c r="H512" s="35" t="s">
        <v>26</v>
      </c>
      <c r="I512" s="35" t="s">
        <v>27</v>
      </c>
      <c r="J512" s="35">
        <v>515</v>
      </c>
      <c r="K512" s="35" t="s">
        <v>123</v>
      </c>
      <c r="L512" s="35">
        <v>40</v>
      </c>
      <c r="M512" s="37">
        <v>300000</v>
      </c>
      <c r="N512" s="38">
        <f t="shared" si="8"/>
        <v>7500</v>
      </c>
      <c r="O512" s="35" t="s">
        <v>29</v>
      </c>
      <c r="P512" s="35" t="s">
        <v>30</v>
      </c>
      <c r="Q512" s="36">
        <v>46132</v>
      </c>
      <c r="R512" s="35" t="s">
        <v>31</v>
      </c>
      <c r="S512" s="35"/>
      <c r="T512" s="35"/>
    </row>
    <row r="513" spans="1:20" ht="15.6" x14ac:dyDescent="0.3">
      <c r="A513" s="35" t="s">
        <v>469</v>
      </c>
      <c r="B513" s="35" t="s">
        <v>426</v>
      </c>
      <c r="C513" s="35" t="s">
        <v>427</v>
      </c>
      <c r="D513" s="35" t="s">
        <v>540</v>
      </c>
      <c r="E513" s="41" t="s">
        <v>23</v>
      </c>
      <c r="F513" s="35" t="s">
        <v>24</v>
      </c>
      <c r="G513" s="35" t="s">
        <v>428</v>
      </c>
      <c r="H513" s="35" t="s">
        <v>26</v>
      </c>
      <c r="I513" s="35" t="s">
        <v>27</v>
      </c>
      <c r="J513" s="35">
        <v>515</v>
      </c>
      <c r="K513" s="35" t="s">
        <v>123</v>
      </c>
      <c r="L513" s="35">
        <v>3</v>
      </c>
      <c r="M513" s="37">
        <v>22500</v>
      </c>
      <c r="N513" s="38">
        <f t="shared" si="8"/>
        <v>7500</v>
      </c>
      <c r="O513" s="35" t="s">
        <v>29</v>
      </c>
      <c r="P513" s="35" t="s">
        <v>30</v>
      </c>
      <c r="Q513" s="36">
        <v>46132</v>
      </c>
      <c r="R513" s="35" t="s">
        <v>31</v>
      </c>
      <c r="S513" s="35"/>
      <c r="T513" s="35"/>
    </row>
    <row r="514" spans="1:20" ht="15.6" x14ac:dyDescent="0.3">
      <c r="A514" s="35" t="s">
        <v>19</v>
      </c>
      <c r="B514" s="35" t="s">
        <v>38</v>
      </c>
      <c r="C514" s="35" t="s">
        <v>39</v>
      </c>
      <c r="D514" s="35" t="s">
        <v>380</v>
      </c>
      <c r="E514" s="35" t="s">
        <v>40</v>
      </c>
      <c r="F514" s="35" t="s">
        <v>36</v>
      </c>
      <c r="G514" s="35" t="s">
        <v>382</v>
      </c>
      <c r="H514" s="35" t="s">
        <v>56</v>
      </c>
      <c r="I514" s="35" t="s">
        <v>64</v>
      </c>
      <c r="J514" s="35">
        <v>190</v>
      </c>
      <c r="K514" s="35" t="s">
        <v>123</v>
      </c>
      <c r="L514" s="35">
        <v>500</v>
      </c>
      <c r="M514" s="37">
        <v>2125000</v>
      </c>
      <c r="N514" s="38">
        <f t="shared" si="8"/>
        <v>4250</v>
      </c>
      <c r="O514" s="35" t="s">
        <v>29</v>
      </c>
      <c r="P514" s="35" t="s">
        <v>30</v>
      </c>
      <c r="Q514" s="36">
        <v>46174</v>
      </c>
      <c r="R514" s="35" t="s">
        <v>31</v>
      </c>
      <c r="S514" s="35"/>
      <c r="T514" s="35"/>
    </row>
    <row r="515" spans="1:20" ht="15.6" x14ac:dyDescent="0.3">
      <c r="A515" s="35" t="s">
        <v>469</v>
      </c>
      <c r="B515" s="35" t="s">
        <v>38</v>
      </c>
      <c r="C515" s="35" t="s">
        <v>39</v>
      </c>
      <c r="D515" s="35" t="s">
        <v>541</v>
      </c>
      <c r="E515" s="41" t="s">
        <v>40</v>
      </c>
      <c r="F515" s="35" t="s">
        <v>36</v>
      </c>
      <c r="G515" s="35" t="s">
        <v>382</v>
      </c>
      <c r="H515" s="35" t="s">
        <v>26</v>
      </c>
      <c r="I515" s="35" t="s">
        <v>64</v>
      </c>
      <c r="J515" s="35">
        <v>210</v>
      </c>
      <c r="K515" s="35" t="s">
        <v>123</v>
      </c>
      <c r="L515" s="35">
        <v>500</v>
      </c>
      <c r="M515" s="37">
        <v>2125000</v>
      </c>
      <c r="N515" s="38">
        <f t="shared" si="8"/>
        <v>4250</v>
      </c>
      <c r="O515" s="35" t="s">
        <v>29</v>
      </c>
      <c r="P515" s="35" t="s">
        <v>30</v>
      </c>
      <c r="Q515" s="36">
        <v>46253</v>
      </c>
      <c r="R515" s="35" t="s">
        <v>31</v>
      </c>
      <c r="S515" s="35"/>
      <c r="T515" s="35"/>
    </row>
    <row r="516" spans="1:20" ht="15.6" x14ac:dyDescent="0.3">
      <c r="A516" s="35" t="s">
        <v>469</v>
      </c>
      <c r="B516" s="35" t="s">
        <v>542</v>
      </c>
      <c r="C516" s="35" t="s">
        <v>543</v>
      </c>
      <c r="D516" s="35" t="s">
        <v>541</v>
      </c>
      <c r="E516" s="41" t="s">
        <v>511</v>
      </c>
      <c r="F516" s="35" t="s">
        <v>48</v>
      </c>
      <c r="G516" s="35" t="s">
        <v>397</v>
      </c>
      <c r="H516" s="35" t="s">
        <v>56</v>
      </c>
      <c r="I516" s="35" t="s">
        <v>27</v>
      </c>
      <c r="J516" s="35">
        <v>516</v>
      </c>
      <c r="K516" s="35" t="s">
        <v>123</v>
      </c>
      <c r="L516" s="35">
        <v>1</v>
      </c>
      <c r="M516" s="37">
        <v>0</v>
      </c>
      <c r="N516" s="38">
        <f t="shared" si="8"/>
        <v>0</v>
      </c>
      <c r="O516" s="35" t="s">
        <v>29</v>
      </c>
      <c r="P516" s="35" t="s">
        <v>30</v>
      </c>
      <c r="Q516" s="45" t="s">
        <v>541</v>
      </c>
      <c r="R516" s="35" t="s">
        <v>31</v>
      </c>
      <c r="S516" s="35"/>
      <c r="T516" s="35"/>
    </row>
    <row r="517" spans="1:20" ht="15.6" x14ac:dyDescent="0.3">
      <c r="A517" s="35" t="s">
        <v>469</v>
      </c>
      <c r="B517" s="35" t="s">
        <v>542</v>
      </c>
      <c r="C517" s="35" t="s">
        <v>543</v>
      </c>
      <c r="D517" s="35" t="s">
        <v>541</v>
      </c>
      <c r="E517" s="41" t="s">
        <v>511</v>
      </c>
      <c r="F517" s="35" t="s">
        <v>48</v>
      </c>
      <c r="G517" s="35" t="s">
        <v>393</v>
      </c>
      <c r="H517" s="35" t="s">
        <v>56</v>
      </c>
      <c r="I517" s="35" t="s">
        <v>27</v>
      </c>
      <c r="J517" s="35">
        <v>516</v>
      </c>
      <c r="K517" s="35" t="s">
        <v>123</v>
      </c>
      <c r="L517" s="35">
        <v>1</v>
      </c>
      <c r="M517" s="37">
        <v>0</v>
      </c>
      <c r="N517" s="38">
        <f t="shared" si="8"/>
        <v>0</v>
      </c>
      <c r="O517" s="35" t="s">
        <v>29</v>
      </c>
      <c r="P517" s="35" t="s">
        <v>30</v>
      </c>
      <c r="Q517" s="45" t="s">
        <v>541</v>
      </c>
      <c r="R517" s="35" t="s">
        <v>31</v>
      </c>
      <c r="S517" s="35"/>
      <c r="T517" s="35"/>
    </row>
    <row r="518" spans="1:20" ht="15.6" x14ac:dyDescent="0.3">
      <c r="A518" s="35" t="s">
        <v>469</v>
      </c>
      <c r="B518" s="35" t="s">
        <v>542</v>
      </c>
      <c r="C518" s="35" t="s">
        <v>543</v>
      </c>
      <c r="D518" s="35" t="s">
        <v>541</v>
      </c>
      <c r="E518" s="41" t="s">
        <v>511</v>
      </c>
      <c r="F518" s="35" t="s">
        <v>48</v>
      </c>
      <c r="G518" s="35" t="s">
        <v>544</v>
      </c>
      <c r="H518" s="35" t="s">
        <v>56</v>
      </c>
      <c r="I518" s="35" t="s">
        <v>27</v>
      </c>
      <c r="J518" s="35">
        <v>516</v>
      </c>
      <c r="K518" s="35" t="s">
        <v>123</v>
      </c>
      <c r="L518" s="35">
        <v>1</v>
      </c>
      <c r="M518" s="37">
        <v>0</v>
      </c>
      <c r="N518" s="38">
        <f t="shared" si="8"/>
        <v>0</v>
      </c>
      <c r="O518" s="35" t="s">
        <v>29</v>
      </c>
      <c r="P518" s="35" t="s">
        <v>30</v>
      </c>
      <c r="Q518" s="45" t="s">
        <v>541</v>
      </c>
      <c r="R518" s="35" t="s">
        <v>31</v>
      </c>
      <c r="S518" s="35"/>
      <c r="T518" s="35"/>
    </row>
    <row r="519" spans="1:20" ht="15.6" x14ac:dyDescent="0.3">
      <c r="A519" s="35" t="s">
        <v>469</v>
      </c>
      <c r="B519" s="35" t="s">
        <v>542</v>
      </c>
      <c r="C519" s="35" t="s">
        <v>543</v>
      </c>
      <c r="D519" s="35" t="s">
        <v>541</v>
      </c>
      <c r="E519" s="41" t="s">
        <v>511</v>
      </c>
      <c r="F519" s="35" t="s">
        <v>48</v>
      </c>
      <c r="G519" s="35" t="s">
        <v>419</v>
      </c>
      <c r="H519" s="35" t="s">
        <v>56</v>
      </c>
      <c r="I519" s="35" t="s">
        <v>27</v>
      </c>
      <c r="J519" s="35">
        <v>516</v>
      </c>
      <c r="K519" s="35" t="s">
        <v>123</v>
      </c>
      <c r="L519" s="35">
        <v>1</v>
      </c>
      <c r="M519" s="37">
        <v>0</v>
      </c>
      <c r="N519" s="38">
        <f t="shared" si="8"/>
        <v>0</v>
      </c>
      <c r="O519" s="35" t="s">
        <v>29</v>
      </c>
      <c r="P519" s="35" t="s">
        <v>30</v>
      </c>
      <c r="Q519" s="45" t="s">
        <v>541</v>
      </c>
      <c r="R519" s="35" t="s">
        <v>31</v>
      </c>
      <c r="S519" s="35"/>
      <c r="T519" s="35"/>
    </row>
    <row r="520" spans="1:20" ht="15.6" x14ac:dyDescent="0.3">
      <c r="A520" s="35" t="s">
        <v>469</v>
      </c>
      <c r="B520" s="35" t="s">
        <v>542</v>
      </c>
      <c r="C520" s="35" t="s">
        <v>543</v>
      </c>
      <c r="D520" s="35" t="s">
        <v>541</v>
      </c>
      <c r="E520" s="41" t="s">
        <v>511</v>
      </c>
      <c r="F520" s="35" t="s">
        <v>48</v>
      </c>
      <c r="G520" s="35" t="s">
        <v>399</v>
      </c>
      <c r="H520" s="35" t="s">
        <v>56</v>
      </c>
      <c r="I520" s="35" t="s">
        <v>27</v>
      </c>
      <c r="J520" s="35">
        <v>516</v>
      </c>
      <c r="K520" s="35" t="s">
        <v>123</v>
      </c>
      <c r="L520" s="35">
        <v>2</v>
      </c>
      <c r="M520" s="37">
        <v>0</v>
      </c>
      <c r="N520" s="38">
        <f t="shared" si="8"/>
        <v>0</v>
      </c>
      <c r="O520" s="35" t="s">
        <v>29</v>
      </c>
      <c r="P520" s="35" t="s">
        <v>30</v>
      </c>
      <c r="Q520" s="45" t="s">
        <v>541</v>
      </c>
      <c r="R520" s="35" t="s">
        <v>31</v>
      </c>
      <c r="S520" s="35"/>
      <c r="T520" s="35"/>
    </row>
    <row r="521" spans="1:20" ht="15.6" x14ac:dyDescent="0.3">
      <c r="A521" s="35" t="s">
        <v>469</v>
      </c>
      <c r="B521" s="35" t="s">
        <v>542</v>
      </c>
      <c r="C521" s="35" t="s">
        <v>543</v>
      </c>
      <c r="D521" s="35" t="s">
        <v>541</v>
      </c>
      <c r="E521" s="41" t="s">
        <v>511</v>
      </c>
      <c r="F521" s="35" t="s">
        <v>48</v>
      </c>
      <c r="G521" s="35" t="s">
        <v>420</v>
      </c>
      <c r="H521" s="35" t="s">
        <v>56</v>
      </c>
      <c r="I521" s="35" t="s">
        <v>27</v>
      </c>
      <c r="J521" s="35">
        <v>516</v>
      </c>
      <c r="K521" s="35" t="s">
        <v>123</v>
      </c>
      <c r="L521" s="35">
        <v>1</v>
      </c>
      <c r="M521" s="37">
        <v>0</v>
      </c>
      <c r="N521" s="38">
        <f t="shared" si="8"/>
        <v>0</v>
      </c>
      <c r="O521" s="35" t="s">
        <v>29</v>
      </c>
      <c r="P521" s="35" t="s">
        <v>30</v>
      </c>
      <c r="Q521" s="45" t="s">
        <v>541</v>
      </c>
      <c r="R521" s="35" t="s">
        <v>31</v>
      </c>
      <c r="S521" s="35"/>
      <c r="T521" s="35"/>
    </row>
    <row r="522" spans="1:20" ht="15.6" x14ac:dyDescent="0.3">
      <c r="A522" s="35" t="s">
        <v>469</v>
      </c>
      <c r="B522" s="35" t="s">
        <v>542</v>
      </c>
      <c r="C522" s="35" t="s">
        <v>543</v>
      </c>
      <c r="D522" s="35" t="s">
        <v>541</v>
      </c>
      <c r="E522" s="41" t="s">
        <v>511</v>
      </c>
      <c r="F522" s="35" t="s">
        <v>48</v>
      </c>
      <c r="G522" s="35" t="s">
        <v>400</v>
      </c>
      <c r="H522" s="35" t="s">
        <v>56</v>
      </c>
      <c r="I522" s="35" t="s">
        <v>27</v>
      </c>
      <c r="J522" s="35">
        <v>516</v>
      </c>
      <c r="K522" s="35" t="s">
        <v>123</v>
      </c>
      <c r="L522" s="35">
        <v>2</v>
      </c>
      <c r="M522" s="37">
        <v>0</v>
      </c>
      <c r="N522" s="38">
        <f t="shared" si="8"/>
        <v>0</v>
      </c>
      <c r="O522" s="35" t="s">
        <v>29</v>
      </c>
      <c r="P522" s="35" t="s">
        <v>30</v>
      </c>
      <c r="Q522" s="45" t="s">
        <v>541</v>
      </c>
      <c r="R522" s="35" t="s">
        <v>31</v>
      </c>
      <c r="S522" s="35"/>
      <c r="T522" s="35"/>
    </row>
    <row r="523" spans="1:20" ht="15.6" x14ac:dyDescent="0.3">
      <c r="A523" s="35" t="s">
        <v>469</v>
      </c>
      <c r="B523" s="35" t="s">
        <v>545</v>
      </c>
      <c r="C523" s="35" t="s">
        <v>546</v>
      </c>
      <c r="D523" s="35" t="s">
        <v>541</v>
      </c>
      <c r="E523" s="41" t="s">
        <v>40</v>
      </c>
      <c r="F523" s="35" t="s">
        <v>36</v>
      </c>
      <c r="G523" s="35" t="s">
        <v>547</v>
      </c>
      <c r="H523" s="35" t="s">
        <v>26</v>
      </c>
      <c r="I523" s="35" t="s">
        <v>27</v>
      </c>
      <c r="J523" s="35">
        <v>517</v>
      </c>
      <c r="K523" s="35" t="s">
        <v>123</v>
      </c>
      <c r="L523" s="35">
        <v>200</v>
      </c>
      <c r="M523" s="37">
        <v>900000</v>
      </c>
      <c r="N523" s="38">
        <f t="shared" si="8"/>
        <v>4500</v>
      </c>
      <c r="O523" s="35" t="s">
        <v>29</v>
      </c>
      <c r="P523" s="35" t="s">
        <v>30</v>
      </c>
      <c r="Q523" s="45" t="s">
        <v>541</v>
      </c>
      <c r="R523" s="35" t="s">
        <v>31</v>
      </c>
      <c r="S523" s="35"/>
      <c r="T523" s="35"/>
    </row>
    <row r="524" spans="1:20" ht="15.6" x14ac:dyDescent="0.3">
      <c r="A524" s="35" t="s">
        <v>469</v>
      </c>
      <c r="B524" s="41" t="s">
        <v>108</v>
      </c>
      <c r="C524" s="41" t="s">
        <v>109</v>
      </c>
      <c r="D524" s="41" t="s">
        <v>555</v>
      </c>
      <c r="E524" s="41" t="s">
        <v>47</v>
      </c>
      <c r="F524" s="41" t="s">
        <v>58</v>
      </c>
      <c r="G524" s="41" t="s">
        <v>286</v>
      </c>
      <c r="H524" s="35" t="s">
        <v>26</v>
      </c>
      <c r="I524" s="41" t="s">
        <v>27</v>
      </c>
      <c r="J524" s="41">
        <v>518</v>
      </c>
      <c r="K524" s="41" t="s">
        <v>123</v>
      </c>
      <c r="L524" s="41">
        <v>12</v>
      </c>
      <c r="M524" s="38">
        <v>0</v>
      </c>
      <c r="N524" s="38">
        <f t="shared" ref="N524:N587" si="9">M524/L524</f>
        <v>0</v>
      </c>
      <c r="O524" s="35" t="s">
        <v>29</v>
      </c>
      <c r="P524" s="35" t="s">
        <v>30</v>
      </c>
      <c r="Q524" s="36">
        <v>46172</v>
      </c>
      <c r="R524" s="35" t="s">
        <v>31</v>
      </c>
      <c r="S524" s="35" t="s">
        <v>560</v>
      </c>
      <c r="T524" s="36">
        <v>46038</v>
      </c>
    </row>
    <row r="525" spans="1:20" ht="15.6" x14ac:dyDescent="0.3">
      <c r="A525" s="35" t="s">
        <v>469</v>
      </c>
      <c r="B525" s="41" t="s">
        <v>108</v>
      </c>
      <c r="C525" s="41" t="s">
        <v>109</v>
      </c>
      <c r="D525" s="41" t="s">
        <v>555</v>
      </c>
      <c r="E525" s="41" t="s">
        <v>47</v>
      </c>
      <c r="F525" s="41" t="s">
        <v>58</v>
      </c>
      <c r="G525" s="41" t="s">
        <v>287</v>
      </c>
      <c r="H525" s="35" t="s">
        <v>26</v>
      </c>
      <c r="I525" s="41" t="s">
        <v>27</v>
      </c>
      <c r="J525" s="41">
        <v>518</v>
      </c>
      <c r="K525" s="41" t="s">
        <v>123</v>
      </c>
      <c r="L525" s="41">
        <v>6</v>
      </c>
      <c r="M525" s="38">
        <v>0</v>
      </c>
      <c r="N525" s="38">
        <f t="shared" si="9"/>
        <v>0</v>
      </c>
      <c r="O525" s="35" t="s">
        <v>29</v>
      </c>
      <c r="P525" s="35" t="s">
        <v>30</v>
      </c>
      <c r="Q525" s="36">
        <v>46172</v>
      </c>
      <c r="R525" s="35" t="s">
        <v>31</v>
      </c>
      <c r="S525" s="35" t="s">
        <v>560</v>
      </c>
      <c r="T525" s="36">
        <v>46038</v>
      </c>
    </row>
    <row r="526" spans="1:20" ht="15.6" x14ac:dyDescent="0.3">
      <c r="A526" s="35" t="s">
        <v>469</v>
      </c>
      <c r="B526" s="41" t="s">
        <v>104</v>
      </c>
      <c r="C526" s="41" t="s">
        <v>105</v>
      </c>
      <c r="D526" s="41" t="s">
        <v>555</v>
      </c>
      <c r="E526" s="41" t="s">
        <v>47</v>
      </c>
      <c r="F526" s="41" t="s">
        <v>58</v>
      </c>
      <c r="G526" s="41" t="s">
        <v>106</v>
      </c>
      <c r="H526" s="35" t="s">
        <v>26</v>
      </c>
      <c r="I526" s="41" t="s">
        <v>27</v>
      </c>
      <c r="J526" s="41">
        <v>519</v>
      </c>
      <c r="K526" s="41" t="s">
        <v>28</v>
      </c>
      <c r="L526" s="41">
        <v>5</v>
      </c>
      <c r="M526" s="38">
        <v>0</v>
      </c>
      <c r="N526" s="38">
        <f t="shared" si="9"/>
        <v>0</v>
      </c>
      <c r="O526" s="35" t="s">
        <v>29</v>
      </c>
      <c r="P526" s="35" t="s">
        <v>30</v>
      </c>
      <c r="Q526" s="36">
        <v>46079</v>
      </c>
      <c r="R526" s="35" t="s">
        <v>31</v>
      </c>
      <c r="S526" s="35" t="s">
        <v>561</v>
      </c>
      <c r="T526" s="36">
        <v>46029</v>
      </c>
    </row>
    <row r="527" spans="1:20" ht="15.6" x14ac:dyDescent="0.3">
      <c r="A527" s="35" t="s">
        <v>469</v>
      </c>
      <c r="B527" s="41" t="s">
        <v>104</v>
      </c>
      <c r="C527" s="41" t="s">
        <v>105</v>
      </c>
      <c r="D527" s="41" t="s">
        <v>555</v>
      </c>
      <c r="E527" s="41" t="s">
        <v>47</v>
      </c>
      <c r="F527" s="41" t="s">
        <v>58</v>
      </c>
      <c r="G527" s="41" t="s">
        <v>107</v>
      </c>
      <c r="H527" s="35" t="s">
        <v>26</v>
      </c>
      <c r="I527" s="41" t="s">
        <v>27</v>
      </c>
      <c r="J527" s="41">
        <v>519</v>
      </c>
      <c r="K527" s="41" t="s">
        <v>7</v>
      </c>
      <c r="L527" s="41">
        <v>1</v>
      </c>
      <c r="M527" s="38">
        <v>0</v>
      </c>
      <c r="N527" s="38">
        <f t="shared" si="9"/>
        <v>0</v>
      </c>
      <c r="O527" s="35" t="s">
        <v>29</v>
      </c>
      <c r="P527" s="35" t="s">
        <v>30</v>
      </c>
      <c r="Q527" s="36">
        <v>46079</v>
      </c>
      <c r="R527" s="35" t="s">
        <v>31</v>
      </c>
      <c r="S527" s="35" t="s">
        <v>561</v>
      </c>
      <c r="T527" s="36">
        <v>46029</v>
      </c>
    </row>
    <row r="528" spans="1:20" ht="15.6" x14ac:dyDescent="0.3">
      <c r="A528" s="35" t="s">
        <v>469</v>
      </c>
      <c r="B528" s="41" t="s">
        <v>411</v>
      </c>
      <c r="C528" s="41" t="s">
        <v>412</v>
      </c>
      <c r="D528" s="41" t="s">
        <v>555</v>
      </c>
      <c r="E528" s="41" t="s">
        <v>35</v>
      </c>
      <c r="F528" s="41" t="s">
        <v>48</v>
      </c>
      <c r="G528" s="41" t="s">
        <v>398</v>
      </c>
      <c r="H528" s="35" t="s">
        <v>26</v>
      </c>
      <c r="I528" s="41" t="s">
        <v>27</v>
      </c>
      <c r="J528" s="41">
        <v>520</v>
      </c>
      <c r="K528" s="41" t="s">
        <v>276</v>
      </c>
      <c r="L528" s="41">
        <v>6</v>
      </c>
      <c r="M528" s="38">
        <v>0</v>
      </c>
      <c r="N528" s="38">
        <f t="shared" si="9"/>
        <v>0</v>
      </c>
      <c r="O528" s="35" t="s">
        <v>29</v>
      </c>
      <c r="P528" s="35" t="s">
        <v>30</v>
      </c>
      <c r="Q528" s="36">
        <v>46076</v>
      </c>
      <c r="R528" s="35" t="s">
        <v>31</v>
      </c>
      <c r="S528" s="35"/>
      <c r="T528" s="35"/>
    </row>
    <row r="529" spans="1:20" ht="15.6" x14ac:dyDescent="0.3">
      <c r="A529" s="35" t="s">
        <v>469</v>
      </c>
      <c r="B529" s="41" t="s">
        <v>411</v>
      </c>
      <c r="C529" s="41" t="s">
        <v>412</v>
      </c>
      <c r="D529" s="41" t="s">
        <v>555</v>
      </c>
      <c r="E529" s="41" t="s">
        <v>35</v>
      </c>
      <c r="F529" s="41" t="s">
        <v>48</v>
      </c>
      <c r="G529" s="41" t="s">
        <v>393</v>
      </c>
      <c r="H529" s="35" t="s">
        <v>26</v>
      </c>
      <c r="I529" s="41" t="s">
        <v>27</v>
      </c>
      <c r="J529" s="41">
        <v>520</v>
      </c>
      <c r="K529" s="41" t="s">
        <v>276</v>
      </c>
      <c r="L529" s="41">
        <v>6</v>
      </c>
      <c r="M529" s="38">
        <v>0</v>
      </c>
      <c r="N529" s="38">
        <f t="shared" si="9"/>
        <v>0</v>
      </c>
      <c r="O529" s="35" t="s">
        <v>29</v>
      </c>
      <c r="P529" s="35" t="s">
        <v>30</v>
      </c>
      <c r="Q529" s="36">
        <v>46076</v>
      </c>
      <c r="R529" s="35" t="s">
        <v>31</v>
      </c>
      <c r="S529" s="35"/>
      <c r="T529" s="35"/>
    </row>
    <row r="530" spans="1:20" ht="15.6" x14ac:dyDescent="0.3">
      <c r="A530" s="35" t="s">
        <v>469</v>
      </c>
      <c r="B530" s="41" t="s">
        <v>411</v>
      </c>
      <c r="C530" s="41" t="s">
        <v>412</v>
      </c>
      <c r="D530" s="41" t="s">
        <v>555</v>
      </c>
      <c r="E530" s="41" t="s">
        <v>35</v>
      </c>
      <c r="F530" s="41" t="s">
        <v>48</v>
      </c>
      <c r="G530" s="41" t="s">
        <v>397</v>
      </c>
      <c r="H530" s="35" t="s">
        <v>26</v>
      </c>
      <c r="I530" s="41" t="s">
        <v>27</v>
      </c>
      <c r="J530" s="41">
        <v>520</v>
      </c>
      <c r="K530" s="41" t="s">
        <v>276</v>
      </c>
      <c r="L530" s="41">
        <v>8</v>
      </c>
      <c r="M530" s="38">
        <v>0</v>
      </c>
      <c r="N530" s="38">
        <f t="shared" si="9"/>
        <v>0</v>
      </c>
      <c r="O530" s="35" t="s">
        <v>29</v>
      </c>
      <c r="P530" s="35" t="s">
        <v>30</v>
      </c>
      <c r="Q530" s="36">
        <v>46076</v>
      </c>
      <c r="R530" s="35" t="s">
        <v>31</v>
      </c>
      <c r="S530" s="35"/>
      <c r="T530" s="35"/>
    </row>
    <row r="531" spans="1:20" ht="15.6" x14ac:dyDescent="0.3">
      <c r="A531" s="35" t="s">
        <v>469</v>
      </c>
      <c r="B531" s="41" t="s">
        <v>411</v>
      </c>
      <c r="C531" s="41" t="s">
        <v>412</v>
      </c>
      <c r="D531" s="41" t="s">
        <v>555</v>
      </c>
      <c r="E531" s="41" t="s">
        <v>35</v>
      </c>
      <c r="F531" s="41" t="s">
        <v>48</v>
      </c>
      <c r="G531" s="41" t="s">
        <v>394</v>
      </c>
      <c r="H531" s="35" t="s">
        <v>26</v>
      </c>
      <c r="I531" s="41" t="s">
        <v>27</v>
      </c>
      <c r="J531" s="41">
        <v>520</v>
      </c>
      <c r="K531" s="41" t="s">
        <v>276</v>
      </c>
      <c r="L531" s="41">
        <v>5</v>
      </c>
      <c r="M531" s="38">
        <v>0</v>
      </c>
      <c r="N531" s="38">
        <f t="shared" si="9"/>
        <v>0</v>
      </c>
      <c r="O531" s="35" t="s">
        <v>29</v>
      </c>
      <c r="P531" s="35" t="s">
        <v>30</v>
      </c>
      <c r="Q531" s="36">
        <v>46076</v>
      </c>
      <c r="R531" s="35" t="s">
        <v>31</v>
      </c>
      <c r="S531" s="35"/>
      <c r="T531" s="35"/>
    </row>
    <row r="532" spans="1:20" ht="15.6" x14ac:dyDescent="0.3">
      <c r="A532" s="35" t="s">
        <v>469</v>
      </c>
      <c r="B532" s="41" t="s">
        <v>411</v>
      </c>
      <c r="C532" s="41" t="s">
        <v>412</v>
      </c>
      <c r="D532" s="41" t="s">
        <v>555</v>
      </c>
      <c r="E532" s="41" t="s">
        <v>35</v>
      </c>
      <c r="F532" s="41" t="s">
        <v>48</v>
      </c>
      <c r="G532" s="41" t="s">
        <v>395</v>
      </c>
      <c r="H532" s="35" t="s">
        <v>26</v>
      </c>
      <c r="I532" s="41" t="s">
        <v>27</v>
      </c>
      <c r="J532" s="41">
        <v>520</v>
      </c>
      <c r="K532" s="41" t="s">
        <v>276</v>
      </c>
      <c r="L532" s="41">
        <v>5</v>
      </c>
      <c r="M532" s="38">
        <v>0</v>
      </c>
      <c r="N532" s="38">
        <f t="shared" si="9"/>
        <v>0</v>
      </c>
      <c r="O532" s="35" t="s">
        <v>29</v>
      </c>
      <c r="P532" s="35" t="s">
        <v>30</v>
      </c>
      <c r="Q532" s="36">
        <v>46076</v>
      </c>
      <c r="R532" s="35" t="s">
        <v>31</v>
      </c>
      <c r="S532" s="35"/>
      <c r="T532" s="35"/>
    </row>
    <row r="533" spans="1:20" ht="15.6" x14ac:dyDescent="0.3">
      <c r="A533" s="35" t="s">
        <v>469</v>
      </c>
      <c r="B533" s="41" t="s">
        <v>411</v>
      </c>
      <c r="C533" s="41" t="s">
        <v>412</v>
      </c>
      <c r="D533" s="41" t="s">
        <v>555</v>
      </c>
      <c r="E533" s="41" t="s">
        <v>35</v>
      </c>
      <c r="F533" s="41" t="s">
        <v>48</v>
      </c>
      <c r="G533" s="41" t="s">
        <v>413</v>
      </c>
      <c r="H533" s="35" t="s">
        <v>26</v>
      </c>
      <c r="I533" s="41" t="s">
        <v>27</v>
      </c>
      <c r="J533" s="41">
        <v>520</v>
      </c>
      <c r="K533" s="41" t="s">
        <v>276</v>
      </c>
      <c r="L533" s="41">
        <v>1</v>
      </c>
      <c r="M533" s="38">
        <v>0</v>
      </c>
      <c r="N533" s="38">
        <f t="shared" si="9"/>
        <v>0</v>
      </c>
      <c r="O533" s="35" t="s">
        <v>29</v>
      </c>
      <c r="P533" s="35" t="s">
        <v>30</v>
      </c>
      <c r="Q533" s="36">
        <v>46076</v>
      </c>
      <c r="R533" s="35" t="s">
        <v>31</v>
      </c>
      <c r="S533" s="35"/>
      <c r="T533" s="35"/>
    </row>
    <row r="534" spans="1:20" ht="15.6" x14ac:dyDescent="0.3">
      <c r="A534" s="35" t="s">
        <v>469</v>
      </c>
      <c r="B534" s="41" t="s">
        <v>20</v>
      </c>
      <c r="C534" s="41" t="s">
        <v>21</v>
      </c>
      <c r="D534" s="41" t="s">
        <v>555</v>
      </c>
      <c r="E534" s="41" t="s">
        <v>23</v>
      </c>
      <c r="F534" s="41" t="s">
        <v>24</v>
      </c>
      <c r="G534" s="41" t="s">
        <v>257</v>
      </c>
      <c r="H534" s="35" t="s">
        <v>26</v>
      </c>
      <c r="I534" s="41" t="s">
        <v>27</v>
      </c>
      <c r="J534" s="41">
        <v>521</v>
      </c>
      <c r="K534" s="41" t="s">
        <v>123</v>
      </c>
      <c r="L534" s="41">
        <v>160</v>
      </c>
      <c r="M534" s="38">
        <v>368000</v>
      </c>
      <c r="N534" s="38">
        <f t="shared" si="9"/>
        <v>2300</v>
      </c>
      <c r="O534" s="35" t="s">
        <v>29</v>
      </c>
      <c r="P534" s="35" t="s">
        <v>30</v>
      </c>
      <c r="Q534" s="36">
        <v>46142</v>
      </c>
      <c r="R534" s="35" t="s">
        <v>31</v>
      </c>
      <c r="S534" s="35" t="s">
        <v>562</v>
      </c>
      <c r="T534" s="36">
        <v>46066</v>
      </c>
    </row>
    <row r="535" spans="1:20" ht="15.6" x14ac:dyDescent="0.3">
      <c r="A535" s="35" t="s">
        <v>469</v>
      </c>
      <c r="B535" s="41" t="s">
        <v>20</v>
      </c>
      <c r="C535" s="41" t="s">
        <v>21</v>
      </c>
      <c r="D535" s="41" t="s">
        <v>555</v>
      </c>
      <c r="E535" s="41" t="s">
        <v>23</v>
      </c>
      <c r="F535" s="41" t="s">
        <v>24</v>
      </c>
      <c r="G535" s="41" t="s">
        <v>257</v>
      </c>
      <c r="H535" s="35" t="s">
        <v>26</v>
      </c>
      <c r="I535" s="41" t="s">
        <v>27</v>
      </c>
      <c r="J535" s="41">
        <v>522</v>
      </c>
      <c r="K535" s="41" t="s">
        <v>123</v>
      </c>
      <c r="L535" s="41">
        <v>120</v>
      </c>
      <c r="M535" s="38">
        <v>276000</v>
      </c>
      <c r="N535" s="38">
        <f t="shared" si="9"/>
        <v>2300</v>
      </c>
      <c r="O535" s="35" t="s">
        <v>29</v>
      </c>
      <c r="P535" s="35" t="s">
        <v>30</v>
      </c>
      <c r="Q535" s="36">
        <v>46142</v>
      </c>
      <c r="R535" s="35" t="s">
        <v>31</v>
      </c>
      <c r="S535" s="35" t="s">
        <v>563</v>
      </c>
      <c r="T535" s="36">
        <v>46076</v>
      </c>
    </row>
    <row r="536" spans="1:20" ht="15.6" x14ac:dyDescent="0.3">
      <c r="A536" s="35" t="s">
        <v>469</v>
      </c>
      <c r="B536" s="41" t="s">
        <v>20</v>
      </c>
      <c r="C536" s="41" t="s">
        <v>21</v>
      </c>
      <c r="D536" s="41" t="s">
        <v>555</v>
      </c>
      <c r="E536" s="41" t="s">
        <v>23</v>
      </c>
      <c r="F536" s="41" t="s">
        <v>24</v>
      </c>
      <c r="G536" s="41" t="s">
        <v>258</v>
      </c>
      <c r="H536" s="35" t="s">
        <v>26</v>
      </c>
      <c r="I536" s="41" t="s">
        <v>27</v>
      </c>
      <c r="J536" s="41">
        <v>522</v>
      </c>
      <c r="K536" s="41" t="s">
        <v>123</v>
      </c>
      <c r="L536" s="41">
        <v>15</v>
      </c>
      <c r="M536" s="38">
        <v>34500</v>
      </c>
      <c r="N536" s="38">
        <f t="shared" si="9"/>
        <v>2300</v>
      </c>
      <c r="O536" s="35" t="s">
        <v>29</v>
      </c>
      <c r="P536" s="35" t="s">
        <v>30</v>
      </c>
      <c r="Q536" s="36">
        <v>46142</v>
      </c>
      <c r="R536" s="35" t="s">
        <v>31</v>
      </c>
      <c r="S536" s="35" t="s">
        <v>563</v>
      </c>
      <c r="T536" s="36">
        <v>46076</v>
      </c>
    </row>
    <row r="537" spans="1:20" ht="15.6" x14ac:dyDescent="0.3">
      <c r="A537" s="35" t="s">
        <v>469</v>
      </c>
      <c r="B537" s="41" t="s">
        <v>20</v>
      </c>
      <c r="C537" s="41" t="s">
        <v>21</v>
      </c>
      <c r="D537" s="41" t="s">
        <v>555</v>
      </c>
      <c r="E537" s="41" t="s">
        <v>23</v>
      </c>
      <c r="F537" s="41" t="s">
        <v>24</v>
      </c>
      <c r="G537" s="41" t="s">
        <v>257</v>
      </c>
      <c r="H537" s="35" t="s">
        <v>26</v>
      </c>
      <c r="I537" s="41" t="s">
        <v>27</v>
      </c>
      <c r="J537" s="41">
        <v>523</v>
      </c>
      <c r="K537" s="41" t="s">
        <v>123</v>
      </c>
      <c r="L537" s="41">
        <v>200</v>
      </c>
      <c r="M537" s="38">
        <v>478470</v>
      </c>
      <c r="N537" s="38">
        <f t="shared" si="9"/>
        <v>2392.35</v>
      </c>
      <c r="O537" s="35" t="s">
        <v>29</v>
      </c>
      <c r="P537" s="35" t="s">
        <v>30</v>
      </c>
      <c r="Q537" s="36">
        <v>46142</v>
      </c>
      <c r="R537" s="35" t="s">
        <v>31</v>
      </c>
      <c r="S537" s="35" t="s">
        <v>564</v>
      </c>
      <c r="T537" s="36">
        <v>46066</v>
      </c>
    </row>
    <row r="538" spans="1:20" ht="15.6" x14ac:dyDescent="0.3">
      <c r="A538" s="35" t="s">
        <v>469</v>
      </c>
      <c r="B538" s="41" t="s">
        <v>444</v>
      </c>
      <c r="C538" s="41" t="s">
        <v>445</v>
      </c>
      <c r="D538" s="41" t="s">
        <v>555</v>
      </c>
      <c r="E538" s="41" t="s">
        <v>47</v>
      </c>
      <c r="F538" s="41" t="s">
        <v>24</v>
      </c>
      <c r="G538" s="41" t="s">
        <v>382</v>
      </c>
      <c r="H538" s="35" t="s">
        <v>26</v>
      </c>
      <c r="I538" s="41" t="s">
        <v>64</v>
      </c>
      <c r="J538" s="41">
        <v>211</v>
      </c>
      <c r="K538" s="41" t="s">
        <v>123</v>
      </c>
      <c r="L538" s="41">
        <v>40</v>
      </c>
      <c r="M538" s="38">
        <v>298293</v>
      </c>
      <c r="N538" s="38">
        <f t="shared" si="9"/>
        <v>7457.3249999999998</v>
      </c>
      <c r="O538" s="35" t="s">
        <v>29</v>
      </c>
      <c r="P538" s="35" t="s">
        <v>30</v>
      </c>
      <c r="Q538" s="36">
        <v>46366</v>
      </c>
      <c r="R538" s="35" t="s">
        <v>31</v>
      </c>
      <c r="S538" s="35"/>
      <c r="T538" s="36"/>
    </row>
    <row r="539" spans="1:20" ht="15.6" x14ac:dyDescent="0.3">
      <c r="A539" s="35" t="s">
        <v>469</v>
      </c>
      <c r="B539" s="41" t="s">
        <v>444</v>
      </c>
      <c r="C539" s="41" t="s">
        <v>445</v>
      </c>
      <c r="D539" s="41" t="s">
        <v>555</v>
      </c>
      <c r="E539" s="41" t="s">
        <v>47</v>
      </c>
      <c r="F539" s="41" t="s">
        <v>24</v>
      </c>
      <c r="G539" s="41" t="s">
        <v>409</v>
      </c>
      <c r="H539" s="35" t="s">
        <v>26</v>
      </c>
      <c r="I539" s="41" t="s">
        <v>64</v>
      </c>
      <c r="J539" s="41">
        <v>211</v>
      </c>
      <c r="K539" s="41" t="s">
        <v>123</v>
      </c>
      <c r="L539" s="41">
        <v>40</v>
      </c>
      <c r="M539" s="38">
        <v>156083</v>
      </c>
      <c r="N539" s="38">
        <f t="shared" si="9"/>
        <v>3902.0749999999998</v>
      </c>
      <c r="O539" s="35" t="s">
        <v>29</v>
      </c>
      <c r="P539" s="35" t="s">
        <v>30</v>
      </c>
      <c r="Q539" s="36">
        <v>46366</v>
      </c>
      <c r="R539" s="35" t="s">
        <v>31</v>
      </c>
      <c r="S539" s="35"/>
      <c r="T539" s="36"/>
    </row>
    <row r="540" spans="1:20" ht="15.6" x14ac:dyDescent="0.3">
      <c r="A540" s="35" t="s">
        <v>469</v>
      </c>
      <c r="B540" s="41" t="s">
        <v>67</v>
      </c>
      <c r="C540" s="41" t="s">
        <v>68</v>
      </c>
      <c r="D540" s="41" t="s">
        <v>555</v>
      </c>
      <c r="E540" s="41" t="s">
        <v>47</v>
      </c>
      <c r="F540" s="41" t="s">
        <v>24</v>
      </c>
      <c r="G540" s="41" t="s">
        <v>382</v>
      </c>
      <c r="H540" s="35" t="s">
        <v>26</v>
      </c>
      <c r="I540" s="41" t="s">
        <v>64</v>
      </c>
      <c r="J540" s="41">
        <v>212</v>
      </c>
      <c r="K540" s="41" t="s">
        <v>123</v>
      </c>
      <c r="L540" s="41">
        <v>20</v>
      </c>
      <c r="M540" s="38">
        <v>149146</v>
      </c>
      <c r="N540" s="38">
        <f t="shared" si="9"/>
        <v>7457.3</v>
      </c>
      <c r="O540" s="35" t="s">
        <v>29</v>
      </c>
      <c r="P540" s="35" t="s">
        <v>30</v>
      </c>
      <c r="Q540" s="36">
        <v>46366</v>
      </c>
      <c r="R540" s="35" t="s">
        <v>31</v>
      </c>
      <c r="S540" s="35"/>
      <c r="T540" s="36"/>
    </row>
    <row r="541" spans="1:20" ht="15.6" x14ac:dyDescent="0.3">
      <c r="A541" s="35" t="s">
        <v>469</v>
      </c>
      <c r="B541" s="41" t="s">
        <v>67</v>
      </c>
      <c r="C541" s="41" t="s">
        <v>68</v>
      </c>
      <c r="D541" s="41" t="s">
        <v>555</v>
      </c>
      <c r="E541" s="41" t="s">
        <v>47</v>
      </c>
      <c r="F541" s="41" t="s">
        <v>24</v>
      </c>
      <c r="G541" s="41" t="s">
        <v>455</v>
      </c>
      <c r="H541" s="35" t="s">
        <v>26</v>
      </c>
      <c r="I541" s="41" t="s">
        <v>64</v>
      </c>
      <c r="J541" s="41">
        <v>212</v>
      </c>
      <c r="K541" s="41" t="s">
        <v>123</v>
      </c>
      <c r="L541" s="41">
        <v>5</v>
      </c>
      <c r="M541" s="38">
        <v>37287</v>
      </c>
      <c r="N541" s="38">
        <f t="shared" si="9"/>
        <v>7457.4</v>
      </c>
      <c r="O541" s="35" t="s">
        <v>29</v>
      </c>
      <c r="P541" s="35" t="s">
        <v>30</v>
      </c>
      <c r="Q541" s="36">
        <v>46366</v>
      </c>
      <c r="R541" s="35" t="s">
        <v>31</v>
      </c>
      <c r="S541" s="35"/>
      <c r="T541" s="36"/>
    </row>
    <row r="542" spans="1:20" ht="15.6" x14ac:dyDescent="0.3">
      <c r="A542" s="35" t="s">
        <v>469</v>
      </c>
      <c r="B542" s="41" t="s">
        <v>67</v>
      </c>
      <c r="C542" s="41" t="s">
        <v>68</v>
      </c>
      <c r="D542" s="41" t="s">
        <v>555</v>
      </c>
      <c r="E542" s="41" t="s">
        <v>47</v>
      </c>
      <c r="F542" s="41" t="s">
        <v>24</v>
      </c>
      <c r="G542" s="41" t="s">
        <v>585</v>
      </c>
      <c r="H542" s="35" t="s">
        <v>26</v>
      </c>
      <c r="I542" s="41" t="s">
        <v>64</v>
      </c>
      <c r="J542" s="41">
        <v>212</v>
      </c>
      <c r="K542" s="41" t="s">
        <v>123</v>
      </c>
      <c r="L542" s="41">
        <v>1</v>
      </c>
      <c r="M542" s="38">
        <v>7457</v>
      </c>
      <c r="N542" s="38">
        <f t="shared" si="9"/>
        <v>7457</v>
      </c>
      <c r="O542" s="35" t="s">
        <v>29</v>
      </c>
      <c r="P542" s="35" t="s">
        <v>30</v>
      </c>
      <c r="Q542" s="36">
        <v>46366</v>
      </c>
      <c r="R542" s="35" t="s">
        <v>31</v>
      </c>
      <c r="S542" s="35"/>
      <c r="T542" s="36"/>
    </row>
    <row r="543" spans="1:20" ht="15.6" x14ac:dyDescent="0.3">
      <c r="A543" s="35" t="s">
        <v>469</v>
      </c>
      <c r="B543" s="41" t="s">
        <v>67</v>
      </c>
      <c r="C543" s="41" t="s">
        <v>68</v>
      </c>
      <c r="D543" s="41" t="s">
        <v>555</v>
      </c>
      <c r="E543" s="41" t="s">
        <v>47</v>
      </c>
      <c r="F543" s="41" t="s">
        <v>24</v>
      </c>
      <c r="G543" s="41" t="s">
        <v>409</v>
      </c>
      <c r="H543" s="35" t="s">
        <v>26</v>
      </c>
      <c r="I543" s="41" t="s">
        <v>64</v>
      </c>
      <c r="J543" s="41">
        <v>212</v>
      </c>
      <c r="K543" s="41" t="s">
        <v>123</v>
      </c>
      <c r="L543" s="41">
        <v>20</v>
      </c>
      <c r="M543" s="38">
        <v>78042</v>
      </c>
      <c r="N543" s="38">
        <f t="shared" si="9"/>
        <v>3902.1</v>
      </c>
      <c r="O543" s="35" t="s">
        <v>29</v>
      </c>
      <c r="P543" s="35" t="s">
        <v>30</v>
      </c>
      <c r="Q543" s="36">
        <v>46366</v>
      </c>
      <c r="R543" s="35" t="s">
        <v>31</v>
      </c>
      <c r="S543" s="35"/>
      <c r="T543" s="36"/>
    </row>
    <row r="544" spans="1:20" ht="15.6" x14ac:dyDescent="0.3">
      <c r="A544" s="35" t="s">
        <v>469</v>
      </c>
      <c r="B544" s="41" t="s">
        <v>67</v>
      </c>
      <c r="C544" s="41" t="s">
        <v>68</v>
      </c>
      <c r="D544" s="41" t="s">
        <v>555</v>
      </c>
      <c r="E544" s="41" t="s">
        <v>47</v>
      </c>
      <c r="F544" s="41" t="s">
        <v>24</v>
      </c>
      <c r="G544" s="41" t="s">
        <v>586</v>
      </c>
      <c r="H544" s="35" t="s">
        <v>26</v>
      </c>
      <c r="I544" s="41" t="s">
        <v>64</v>
      </c>
      <c r="J544" s="41">
        <v>212</v>
      </c>
      <c r="K544" s="41" t="s">
        <v>123</v>
      </c>
      <c r="L544" s="41">
        <v>5</v>
      </c>
      <c r="M544" s="38">
        <v>19510</v>
      </c>
      <c r="N544" s="38">
        <f t="shared" si="9"/>
        <v>3902</v>
      </c>
      <c r="O544" s="35" t="s">
        <v>29</v>
      </c>
      <c r="P544" s="35" t="s">
        <v>30</v>
      </c>
      <c r="Q544" s="36">
        <v>46366</v>
      </c>
      <c r="R544" s="35" t="s">
        <v>31</v>
      </c>
      <c r="S544" s="35"/>
      <c r="T544" s="36"/>
    </row>
    <row r="545" spans="1:20" ht="15.6" x14ac:dyDescent="0.3">
      <c r="A545" s="35" t="s">
        <v>469</v>
      </c>
      <c r="B545" s="41" t="s">
        <v>67</v>
      </c>
      <c r="C545" s="41" t="s">
        <v>68</v>
      </c>
      <c r="D545" s="41" t="s">
        <v>555</v>
      </c>
      <c r="E545" s="41" t="s">
        <v>47</v>
      </c>
      <c r="F545" s="41" t="s">
        <v>24</v>
      </c>
      <c r="G545" s="41" t="s">
        <v>587</v>
      </c>
      <c r="H545" s="35" t="s">
        <v>26</v>
      </c>
      <c r="I545" s="41" t="s">
        <v>64</v>
      </c>
      <c r="J545" s="41">
        <v>212</v>
      </c>
      <c r="K545" s="41" t="s">
        <v>123</v>
      </c>
      <c r="L545" s="41">
        <v>1</v>
      </c>
      <c r="M545" s="38">
        <v>3902</v>
      </c>
      <c r="N545" s="38">
        <f t="shared" si="9"/>
        <v>3902</v>
      </c>
      <c r="O545" s="35" t="s">
        <v>29</v>
      </c>
      <c r="P545" s="35" t="s">
        <v>30</v>
      </c>
      <c r="Q545" s="36">
        <v>46366</v>
      </c>
      <c r="R545" s="35" t="s">
        <v>31</v>
      </c>
      <c r="S545" s="35"/>
      <c r="T545" s="36"/>
    </row>
    <row r="546" spans="1:20" ht="15.6" x14ac:dyDescent="0.3">
      <c r="A546" s="35" t="s">
        <v>469</v>
      </c>
      <c r="B546" s="41" t="s">
        <v>549</v>
      </c>
      <c r="C546" s="41" t="s">
        <v>550</v>
      </c>
      <c r="D546" s="41" t="s">
        <v>556</v>
      </c>
      <c r="E546" s="41" t="s">
        <v>40</v>
      </c>
      <c r="F546" s="41" t="s">
        <v>36</v>
      </c>
      <c r="G546" s="41" t="s">
        <v>258</v>
      </c>
      <c r="H546" s="35" t="s">
        <v>26</v>
      </c>
      <c r="I546" s="41" t="s">
        <v>27</v>
      </c>
      <c r="J546" s="41">
        <v>524</v>
      </c>
      <c r="K546" s="41" t="s">
        <v>123</v>
      </c>
      <c r="L546" s="41">
        <v>5</v>
      </c>
      <c r="M546" s="38">
        <v>37500</v>
      </c>
      <c r="N546" s="38">
        <f t="shared" si="9"/>
        <v>7500</v>
      </c>
      <c r="O546" s="35" t="s">
        <v>29</v>
      </c>
      <c r="P546" s="35" t="s">
        <v>30</v>
      </c>
      <c r="Q546" s="36">
        <v>46107</v>
      </c>
      <c r="R546" s="35" t="s">
        <v>31</v>
      </c>
      <c r="S546" s="35"/>
      <c r="T546" s="35"/>
    </row>
    <row r="547" spans="1:20" ht="15.6" x14ac:dyDescent="0.3">
      <c r="A547" s="35" t="s">
        <v>469</v>
      </c>
      <c r="B547" s="41" t="s">
        <v>551</v>
      </c>
      <c r="C547" s="41" t="s">
        <v>552</v>
      </c>
      <c r="D547" s="41" t="s">
        <v>556</v>
      </c>
      <c r="E547" s="41" t="s">
        <v>40</v>
      </c>
      <c r="F547" s="41" t="s">
        <v>36</v>
      </c>
      <c r="G547" s="41" t="s">
        <v>136</v>
      </c>
      <c r="H547" s="35" t="s">
        <v>26</v>
      </c>
      <c r="I547" s="41" t="s">
        <v>27</v>
      </c>
      <c r="J547" s="41">
        <v>525</v>
      </c>
      <c r="K547" s="41" t="s">
        <v>7</v>
      </c>
      <c r="L547" s="41">
        <v>100</v>
      </c>
      <c r="M547" s="38">
        <v>0</v>
      </c>
      <c r="N547" s="38">
        <f t="shared" si="9"/>
        <v>0</v>
      </c>
      <c r="O547" s="35" t="s">
        <v>29</v>
      </c>
      <c r="P547" s="35" t="s">
        <v>30</v>
      </c>
      <c r="Q547" s="36">
        <v>46139</v>
      </c>
      <c r="R547" s="35" t="s">
        <v>31</v>
      </c>
      <c r="S547" s="35" t="s">
        <v>565</v>
      </c>
      <c r="T547" s="36">
        <v>45713</v>
      </c>
    </row>
    <row r="548" spans="1:20" ht="15.6" x14ac:dyDescent="0.3">
      <c r="A548" s="35" t="s">
        <v>469</v>
      </c>
      <c r="B548" s="41" t="s">
        <v>551</v>
      </c>
      <c r="C548" s="41" t="s">
        <v>552</v>
      </c>
      <c r="D548" s="41" t="s">
        <v>556</v>
      </c>
      <c r="E548" s="41" t="s">
        <v>40</v>
      </c>
      <c r="F548" s="41" t="s">
        <v>36</v>
      </c>
      <c r="G548" s="41" t="s">
        <v>302</v>
      </c>
      <c r="H548" s="35" t="s">
        <v>26</v>
      </c>
      <c r="I548" s="41" t="s">
        <v>27</v>
      </c>
      <c r="J548" s="41">
        <v>525</v>
      </c>
      <c r="K548" s="41" t="s">
        <v>7</v>
      </c>
      <c r="L548" s="41">
        <v>40</v>
      </c>
      <c r="M548" s="38">
        <v>0</v>
      </c>
      <c r="N548" s="38">
        <f t="shared" si="9"/>
        <v>0</v>
      </c>
      <c r="O548" s="35" t="s">
        <v>29</v>
      </c>
      <c r="P548" s="35" t="s">
        <v>30</v>
      </c>
      <c r="Q548" s="36">
        <v>46139</v>
      </c>
      <c r="R548" s="35" t="s">
        <v>31</v>
      </c>
      <c r="S548" s="35" t="s">
        <v>565</v>
      </c>
      <c r="T548" s="36">
        <v>45713</v>
      </c>
    </row>
    <row r="549" spans="1:20" ht="15.6" x14ac:dyDescent="0.3">
      <c r="A549" s="35" t="s">
        <v>469</v>
      </c>
      <c r="B549" s="41" t="s">
        <v>553</v>
      </c>
      <c r="C549" s="41" t="s">
        <v>554</v>
      </c>
      <c r="D549" s="41" t="s">
        <v>556</v>
      </c>
      <c r="E549" s="41" t="s">
        <v>557</v>
      </c>
      <c r="F549" s="41" t="s">
        <v>89</v>
      </c>
      <c r="G549" s="41" t="s">
        <v>165</v>
      </c>
      <c r="H549" s="35" t="s">
        <v>26</v>
      </c>
      <c r="I549" s="41" t="s">
        <v>27</v>
      </c>
      <c r="J549" s="41">
        <v>526</v>
      </c>
      <c r="K549" s="41" t="s">
        <v>123</v>
      </c>
      <c r="L549" s="41">
        <v>20</v>
      </c>
      <c r="M549" s="38">
        <v>104000</v>
      </c>
      <c r="N549" s="38">
        <f t="shared" si="9"/>
        <v>5200</v>
      </c>
      <c r="O549" s="35" t="s">
        <v>29</v>
      </c>
      <c r="P549" s="35" t="s">
        <v>30</v>
      </c>
      <c r="Q549" s="36">
        <v>46077</v>
      </c>
      <c r="R549" s="35" t="s">
        <v>31</v>
      </c>
      <c r="S549" s="35"/>
      <c r="T549" s="35"/>
    </row>
    <row r="550" spans="1:20" ht="15.6" x14ac:dyDescent="0.3">
      <c r="A550" s="35" t="s">
        <v>469</v>
      </c>
      <c r="B550" s="41" t="s">
        <v>553</v>
      </c>
      <c r="C550" s="41" t="s">
        <v>554</v>
      </c>
      <c r="D550" s="41" t="s">
        <v>556</v>
      </c>
      <c r="E550" s="41" t="s">
        <v>557</v>
      </c>
      <c r="F550" s="41" t="s">
        <v>89</v>
      </c>
      <c r="G550" s="41" t="s">
        <v>253</v>
      </c>
      <c r="H550" s="35" t="s">
        <v>26</v>
      </c>
      <c r="I550" s="41" t="s">
        <v>27</v>
      </c>
      <c r="J550" s="41">
        <v>527</v>
      </c>
      <c r="K550" s="41" t="s">
        <v>123</v>
      </c>
      <c r="L550" s="41">
        <v>20</v>
      </c>
      <c r="M550" s="38">
        <v>0</v>
      </c>
      <c r="N550" s="38">
        <f t="shared" si="9"/>
        <v>0</v>
      </c>
      <c r="O550" s="35" t="s">
        <v>29</v>
      </c>
      <c r="P550" s="35" t="s">
        <v>30</v>
      </c>
      <c r="Q550" s="36">
        <v>46077</v>
      </c>
      <c r="R550" s="35" t="s">
        <v>31</v>
      </c>
      <c r="S550" s="35" t="s">
        <v>566</v>
      </c>
      <c r="T550" s="36">
        <v>45974</v>
      </c>
    </row>
    <row r="551" spans="1:20" ht="15.6" x14ac:dyDescent="0.3">
      <c r="A551" s="35" t="s">
        <v>469</v>
      </c>
      <c r="B551" s="41" t="s">
        <v>553</v>
      </c>
      <c r="C551" s="41" t="s">
        <v>554</v>
      </c>
      <c r="D551" s="41" t="s">
        <v>556</v>
      </c>
      <c r="E551" s="41" t="s">
        <v>557</v>
      </c>
      <c r="F551" s="41" t="s">
        <v>89</v>
      </c>
      <c r="G551" s="41" t="s">
        <v>558</v>
      </c>
      <c r="H551" s="35" t="s">
        <v>26</v>
      </c>
      <c r="I551" s="41" t="s">
        <v>27</v>
      </c>
      <c r="J551" s="41">
        <v>527</v>
      </c>
      <c r="K551" s="41" t="s">
        <v>123</v>
      </c>
      <c r="L551" s="41">
        <v>20</v>
      </c>
      <c r="M551" s="38">
        <v>0</v>
      </c>
      <c r="N551" s="38">
        <f t="shared" si="9"/>
        <v>0</v>
      </c>
      <c r="O551" s="35" t="s">
        <v>29</v>
      </c>
      <c r="P551" s="35" t="s">
        <v>30</v>
      </c>
      <c r="Q551" s="36">
        <v>46077</v>
      </c>
      <c r="R551" s="35" t="s">
        <v>31</v>
      </c>
      <c r="S551" s="35" t="s">
        <v>566</v>
      </c>
      <c r="T551" s="36">
        <v>45974</v>
      </c>
    </row>
    <row r="552" spans="1:20" ht="15.6" x14ac:dyDescent="0.3">
      <c r="A552" s="35" t="s">
        <v>469</v>
      </c>
      <c r="B552" s="41" t="s">
        <v>480</v>
      </c>
      <c r="C552" s="41" t="s">
        <v>481</v>
      </c>
      <c r="D552" s="41" t="s">
        <v>556</v>
      </c>
      <c r="E552" s="41" t="s">
        <v>23</v>
      </c>
      <c r="F552" s="41" t="s">
        <v>482</v>
      </c>
      <c r="G552" s="41" t="s">
        <v>398</v>
      </c>
      <c r="H552" s="35" t="s">
        <v>26</v>
      </c>
      <c r="I552" s="41" t="s">
        <v>27</v>
      </c>
      <c r="J552" s="41">
        <v>528</v>
      </c>
      <c r="K552" s="41" t="s">
        <v>276</v>
      </c>
      <c r="L552" s="41">
        <v>20</v>
      </c>
      <c r="M552" s="37">
        <v>0</v>
      </c>
      <c r="N552" s="38">
        <f t="shared" si="9"/>
        <v>0</v>
      </c>
      <c r="O552" s="35" t="s">
        <v>29</v>
      </c>
      <c r="P552" s="35" t="s">
        <v>30</v>
      </c>
      <c r="Q552" s="36">
        <v>46077</v>
      </c>
      <c r="R552" s="35" t="s">
        <v>31</v>
      </c>
      <c r="S552" s="35"/>
      <c r="T552" s="35"/>
    </row>
    <row r="553" spans="1:20" ht="15.6" x14ac:dyDescent="0.3">
      <c r="A553" s="35" t="s">
        <v>469</v>
      </c>
      <c r="B553" s="41" t="s">
        <v>480</v>
      </c>
      <c r="C553" s="41" t="s">
        <v>481</v>
      </c>
      <c r="D553" s="41" t="s">
        <v>556</v>
      </c>
      <c r="E553" s="41" t="s">
        <v>23</v>
      </c>
      <c r="F553" s="41" t="s">
        <v>482</v>
      </c>
      <c r="G553" s="41" t="s">
        <v>396</v>
      </c>
      <c r="H553" s="35" t="s">
        <v>26</v>
      </c>
      <c r="I553" s="41" t="s">
        <v>27</v>
      </c>
      <c r="J553" s="41">
        <v>528</v>
      </c>
      <c r="K553" s="41" t="s">
        <v>276</v>
      </c>
      <c r="L553" s="41">
        <v>2</v>
      </c>
      <c r="M553" s="37">
        <v>0</v>
      </c>
      <c r="N553" s="38">
        <f t="shared" si="9"/>
        <v>0</v>
      </c>
      <c r="O553" s="35" t="s">
        <v>29</v>
      </c>
      <c r="P553" s="35" t="s">
        <v>30</v>
      </c>
      <c r="Q553" s="36">
        <v>46077</v>
      </c>
      <c r="R553" s="35" t="s">
        <v>31</v>
      </c>
      <c r="S553" s="35"/>
      <c r="T553" s="35"/>
    </row>
    <row r="554" spans="1:20" ht="15.6" x14ac:dyDescent="0.3">
      <c r="A554" s="35" t="s">
        <v>469</v>
      </c>
      <c r="B554" s="41" t="s">
        <v>480</v>
      </c>
      <c r="C554" s="41" t="s">
        <v>481</v>
      </c>
      <c r="D554" s="41" t="s">
        <v>556</v>
      </c>
      <c r="E554" s="41" t="s">
        <v>23</v>
      </c>
      <c r="F554" s="41" t="s">
        <v>482</v>
      </c>
      <c r="G554" s="41" t="s">
        <v>483</v>
      </c>
      <c r="H554" s="35" t="s">
        <v>26</v>
      </c>
      <c r="I554" s="41" t="s">
        <v>27</v>
      </c>
      <c r="J554" s="41">
        <v>528</v>
      </c>
      <c r="K554" s="41" t="s">
        <v>276</v>
      </c>
      <c r="L554" s="41">
        <v>3</v>
      </c>
      <c r="M554" s="37">
        <v>0</v>
      </c>
      <c r="N554" s="38">
        <f t="shared" si="9"/>
        <v>0</v>
      </c>
      <c r="O554" s="35" t="s">
        <v>29</v>
      </c>
      <c r="P554" s="35" t="s">
        <v>30</v>
      </c>
      <c r="Q554" s="36">
        <v>46077</v>
      </c>
      <c r="R554" s="35" t="s">
        <v>31</v>
      </c>
      <c r="S554" s="35"/>
      <c r="T554" s="35"/>
    </row>
    <row r="555" spans="1:20" ht="15.6" x14ac:dyDescent="0.3">
      <c r="A555" s="35" t="s">
        <v>469</v>
      </c>
      <c r="B555" s="41" t="s">
        <v>480</v>
      </c>
      <c r="C555" s="41" t="s">
        <v>481</v>
      </c>
      <c r="D555" s="41" t="s">
        <v>556</v>
      </c>
      <c r="E555" s="41" t="s">
        <v>23</v>
      </c>
      <c r="F555" s="41" t="s">
        <v>482</v>
      </c>
      <c r="G555" s="41" t="s">
        <v>419</v>
      </c>
      <c r="H555" s="35" t="s">
        <v>26</v>
      </c>
      <c r="I555" s="41" t="s">
        <v>27</v>
      </c>
      <c r="J555" s="41">
        <v>528</v>
      </c>
      <c r="K555" s="41" t="s">
        <v>276</v>
      </c>
      <c r="L555" s="41">
        <v>10</v>
      </c>
      <c r="M555" s="37">
        <v>0</v>
      </c>
      <c r="N555" s="38">
        <f t="shared" si="9"/>
        <v>0</v>
      </c>
      <c r="O555" s="35" t="s">
        <v>29</v>
      </c>
      <c r="P555" s="35" t="s">
        <v>30</v>
      </c>
      <c r="Q555" s="36">
        <v>46077</v>
      </c>
      <c r="R555" s="35" t="s">
        <v>31</v>
      </c>
      <c r="S555" s="35"/>
      <c r="T555" s="35"/>
    </row>
    <row r="556" spans="1:20" ht="15.6" x14ac:dyDescent="0.3">
      <c r="A556" s="35" t="s">
        <v>469</v>
      </c>
      <c r="B556" s="41" t="s">
        <v>480</v>
      </c>
      <c r="C556" s="41" t="s">
        <v>481</v>
      </c>
      <c r="D556" s="41" t="s">
        <v>556</v>
      </c>
      <c r="E556" s="41" t="s">
        <v>23</v>
      </c>
      <c r="F556" s="41" t="s">
        <v>482</v>
      </c>
      <c r="G556" s="41" t="s">
        <v>421</v>
      </c>
      <c r="H556" s="35" t="s">
        <v>26</v>
      </c>
      <c r="I556" s="41" t="s">
        <v>27</v>
      </c>
      <c r="J556" s="41">
        <v>528</v>
      </c>
      <c r="K556" s="41" t="s">
        <v>276</v>
      </c>
      <c r="L556" s="41">
        <v>1</v>
      </c>
      <c r="M556" s="37">
        <v>0</v>
      </c>
      <c r="N556" s="38">
        <f t="shared" si="9"/>
        <v>0</v>
      </c>
      <c r="O556" s="35" t="s">
        <v>29</v>
      </c>
      <c r="P556" s="35" t="s">
        <v>30</v>
      </c>
      <c r="Q556" s="36">
        <v>46077</v>
      </c>
      <c r="R556" s="35" t="s">
        <v>31</v>
      </c>
      <c r="S556" s="35"/>
      <c r="T556" s="35"/>
    </row>
    <row r="557" spans="1:20" ht="15.6" x14ac:dyDescent="0.3">
      <c r="A557" s="35" t="s">
        <v>469</v>
      </c>
      <c r="B557" s="41" t="s">
        <v>581</v>
      </c>
      <c r="C557" s="41" t="s">
        <v>582</v>
      </c>
      <c r="D557" s="41" t="s">
        <v>556</v>
      </c>
      <c r="E557" s="41" t="s">
        <v>35</v>
      </c>
      <c r="F557" s="41" t="s">
        <v>48</v>
      </c>
      <c r="G557" s="41" t="s">
        <v>242</v>
      </c>
      <c r="H557" s="35" t="s">
        <v>26</v>
      </c>
      <c r="I557" s="41" t="s">
        <v>27</v>
      </c>
      <c r="J557" s="41">
        <v>529</v>
      </c>
      <c r="K557" s="41" t="s">
        <v>123</v>
      </c>
      <c r="L557" s="41">
        <v>80</v>
      </c>
      <c r="M557" s="38">
        <v>765600</v>
      </c>
      <c r="N557" s="38">
        <f t="shared" si="9"/>
        <v>9570</v>
      </c>
      <c r="O557" s="35" t="s">
        <v>29</v>
      </c>
      <c r="P557" s="35" t="s">
        <v>30</v>
      </c>
      <c r="Q557" s="36">
        <v>46077</v>
      </c>
      <c r="R557" s="35" t="s">
        <v>31</v>
      </c>
      <c r="S557" s="35"/>
      <c r="T557" s="35"/>
    </row>
    <row r="558" spans="1:20" ht="15.6" x14ac:dyDescent="0.3">
      <c r="A558" s="35" t="s">
        <v>469</v>
      </c>
      <c r="B558" s="41" t="s">
        <v>583</v>
      </c>
      <c r="C558" s="41" t="s">
        <v>584</v>
      </c>
      <c r="D558" s="41" t="s">
        <v>556</v>
      </c>
      <c r="E558" s="41" t="s">
        <v>47</v>
      </c>
      <c r="F558" s="41" t="s">
        <v>24</v>
      </c>
      <c r="G558" s="41" t="s">
        <v>285</v>
      </c>
      <c r="H558" s="35" t="s">
        <v>26</v>
      </c>
      <c r="I558" s="41" t="s">
        <v>64</v>
      </c>
      <c r="J558" s="41">
        <v>214</v>
      </c>
      <c r="K558" s="41" t="s">
        <v>123</v>
      </c>
      <c r="L558" s="41">
        <v>5</v>
      </c>
      <c r="M558" s="38">
        <v>53000</v>
      </c>
      <c r="N558" s="38">
        <f t="shared" si="9"/>
        <v>10600</v>
      </c>
      <c r="O558" s="35" t="s">
        <v>29</v>
      </c>
      <c r="P558" s="35" t="s">
        <v>30</v>
      </c>
      <c r="Q558" s="36">
        <v>46173</v>
      </c>
      <c r="R558" s="35" t="s">
        <v>31</v>
      </c>
      <c r="S558" s="35"/>
      <c r="T558" s="35"/>
    </row>
    <row r="559" spans="1:20" ht="15.6" x14ac:dyDescent="0.3">
      <c r="A559" s="35" t="s">
        <v>469</v>
      </c>
      <c r="B559" s="41" t="s">
        <v>61</v>
      </c>
      <c r="C559" s="41" t="s">
        <v>62</v>
      </c>
      <c r="D559" s="41" t="s">
        <v>588</v>
      </c>
      <c r="E559" s="41" t="s">
        <v>47</v>
      </c>
      <c r="F559" s="41" t="s">
        <v>24</v>
      </c>
      <c r="G559" s="41" t="s">
        <v>321</v>
      </c>
      <c r="H559" s="35" t="s">
        <v>26</v>
      </c>
      <c r="I559" s="41" t="s">
        <v>64</v>
      </c>
      <c r="J559" s="41">
        <v>216</v>
      </c>
      <c r="K559" s="41" t="s">
        <v>123</v>
      </c>
      <c r="L559" s="41">
        <v>20</v>
      </c>
      <c r="M559" s="38">
        <v>210000</v>
      </c>
      <c r="N559" s="38">
        <f t="shared" si="9"/>
        <v>10500</v>
      </c>
      <c r="O559" s="35" t="s">
        <v>29</v>
      </c>
      <c r="P559" s="35" t="s">
        <v>30</v>
      </c>
      <c r="Q559" s="36">
        <v>46173</v>
      </c>
      <c r="R559" s="35" t="s">
        <v>31</v>
      </c>
      <c r="S559" s="35"/>
      <c r="T559" s="35"/>
    </row>
    <row r="560" spans="1:20" ht="15.6" x14ac:dyDescent="0.3">
      <c r="A560" s="35" t="s">
        <v>469</v>
      </c>
      <c r="B560" s="41" t="s">
        <v>61</v>
      </c>
      <c r="C560" s="41" t="s">
        <v>62</v>
      </c>
      <c r="D560" s="41" t="s">
        <v>588</v>
      </c>
      <c r="E560" s="41" t="s">
        <v>47</v>
      </c>
      <c r="F560" s="41" t="s">
        <v>24</v>
      </c>
      <c r="G560" s="41" t="s">
        <v>388</v>
      </c>
      <c r="H560" s="35" t="s">
        <v>26</v>
      </c>
      <c r="I560" s="41" t="s">
        <v>64</v>
      </c>
      <c r="J560" s="41">
        <v>216</v>
      </c>
      <c r="K560" s="41" t="s">
        <v>123</v>
      </c>
      <c r="L560" s="41">
        <v>40</v>
      </c>
      <c r="M560" s="38">
        <v>240000</v>
      </c>
      <c r="N560" s="38">
        <f t="shared" si="9"/>
        <v>6000</v>
      </c>
      <c r="O560" s="35" t="s">
        <v>29</v>
      </c>
      <c r="P560" s="35" t="s">
        <v>30</v>
      </c>
      <c r="Q560" s="36">
        <v>46173</v>
      </c>
      <c r="R560" s="35" t="s">
        <v>31</v>
      </c>
      <c r="S560" s="35"/>
      <c r="T560" s="35"/>
    </row>
    <row r="561" spans="1:20" ht="15.6" x14ac:dyDescent="0.3">
      <c r="A561" s="35" t="s">
        <v>469</v>
      </c>
      <c r="B561" s="41" t="s">
        <v>61</v>
      </c>
      <c r="C561" s="41" t="s">
        <v>62</v>
      </c>
      <c r="D561" s="41" t="s">
        <v>588</v>
      </c>
      <c r="E561" s="41" t="s">
        <v>47</v>
      </c>
      <c r="F561" s="41" t="s">
        <v>24</v>
      </c>
      <c r="G561" s="41" t="s">
        <v>275</v>
      </c>
      <c r="H561" s="35" t="s">
        <v>26</v>
      </c>
      <c r="I561" s="41" t="s">
        <v>64</v>
      </c>
      <c r="J561" s="41">
        <v>216</v>
      </c>
      <c r="K561" s="41" t="s">
        <v>276</v>
      </c>
      <c r="L561" s="41">
        <v>8</v>
      </c>
      <c r="M561" s="38">
        <v>280000</v>
      </c>
      <c r="N561" s="38">
        <f t="shared" si="9"/>
        <v>35000</v>
      </c>
      <c r="O561" s="35" t="s">
        <v>29</v>
      </c>
      <c r="P561" s="35" t="s">
        <v>30</v>
      </c>
      <c r="Q561" s="36">
        <v>46173</v>
      </c>
      <c r="R561" s="35" t="s">
        <v>31</v>
      </c>
      <c r="S561" s="35"/>
      <c r="T561" s="35"/>
    </row>
    <row r="562" spans="1:20" ht="15.6" x14ac:dyDescent="0.3">
      <c r="A562" s="35" t="s">
        <v>469</v>
      </c>
      <c r="B562" s="41" t="s">
        <v>116</v>
      </c>
      <c r="C562" s="41" t="s">
        <v>117</v>
      </c>
      <c r="D562" s="41" t="s">
        <v>588</v>
      </c>
      <c r="E562" s="41" t="s">
        <v>557</v>
      </c>
      <c r="F562" s="41" t="s">
        <v>89</v>
      </c>
      <c r="G562" s="41" t="s">
        <v>90</v>
      </c>
      <c r="H562" s="35" t="s">
        <v>26</v>
      </c>
      <c r="I562" s="41" t="s">
        <v>27</v>
      </c>
      <c r="J562" s="41">
        <v>530</v>
      </c>
      <c r="K562" s="41" t="s">
        <v>28</v>
      </c>
      <c r="L562" s="41">
        <v>20</v>
      </c>
      <c r="M562" s="38">
        <v>0</v>
      </c>
      <c r="N562" s="38">
        <f t="shared" si="9"/>
        <v>0</v>
      </c>
      <c r="O562" s="35" t="s">
        <v>29</v>
      </c>
      <c r="P562" s="35" t="s">
        <v>30</v>
      </c>
      <c r="Q562" s="36">
        <v>46111</v>
      </c>
      <c r="R562" s="35" t="s">
        <v>31</v>
      </c>
      <c r="S562" s="35" t="s">
        <v>589</v>
      </c>
      <c r="T562" s="36">
        <v>46029</v>
      </c>
    </row>
    <row r="563" spans="1:20" ht="15.6" x14ac:dyDescent="0.3">
      <c r="A563" s="35" t="s">
        <v>469</v>
      </c>
      <c r="B563" s="41" t="s">
        <v>116</v>
      </c>
      <c r="C563" s="41" t="s">
        <v>117</v>
      </c>
      <c r="D563" s="41" t="s">
        <v>588</v>
      </c>
      <c r="E563" s="41" t="s">
        <v>557</v>
      </c>
      <c r="F563" s="41" t="s">
        <v>89</v>
      </c>
      <c r="G563" s="41" t="s">
        <v>118</v>
      </c>
      <c r="H563" s="35" t="s">
        <v>26</v>
      </c>
      <c r="I563" s="41" t="s">
        <v>27</v>
      </c>
      <c r="J563" s="41">
        <v>530</v>
      </c>
      <c r="K563" s="41" t="s">
        <v>28</v>
      </c>
      <c r="L563" s="41">
        <v>20</v>
      </c>
      <c r="M563" s="38">
        <v>0</v>
      </c>
      <c r="N563" s="38">
        <f t="shared" si="9"/>
        <v>0</v>
      </c>
      <c r="O563" s="35" t="s">
        <v>29</v>
      </c>
      <c r="P563" s="35" t="s">
        <v>30</v>
      </c>
      <c r="Q563" s="36">
        <v>46111</v>
      </c>
      <c r="R563" s="35" t="s">
        <v>31</v>
      </c>
      <c r="S563" s="35" t="s">
        <v>589</v>
      </c>
      <c r="T563" s="36">
        <v>46029</v>
      </c>
    </row>
    <row r="564" spans="1:20" ht="15.6" x14ac:dyDescent="0.3">
      <c r="A564" s="35" t="s">
        <v>469</v>
      </c>
      <c r="B564" s="41" t="s">
        <v>347</v>
      </c>
      <c r="C564" s="41" t="s">
        <v>348</v>
      </c>
      <c r="D564" s="41" t="s">
        <v>588</v>
      </c>
      <c r="E564" s="41" t="s">
        <v>47</v>
      </c>
      <c r="F564" s="41" t="s">
        <v>58</v>
      </c>
      <c r="G564" s="41" t="s">
        <v>321</v>
      </c>
      <c r="H564" s="35" t="s">
        <v>26</v>
      </c>
      <c r="I564" s="41" t="s">
        <v>27</v>
      </c>
      <c r="J564" s="41">
        <v>531</v>
      </c>
      <c r="K564" s="41" t="s">
        <v>123</v>
      </c>
      <c r="L564" s="41">
        <v>320</v>
      </c>
      <c r="M564" s="38">
        <v>3024000</v>
      </c>
      <c r="N564" s="38">
        <f t="shared" si="9"/>
        <v>9450</v>
      </c>
      <c r="O564" s="35" t="s">
        <v>29</v>
      </c>
      <c r="P564" s="35" t="s">
        <v>30</v>
      </c>
      <c r="Q564" s="36">
        <v>46233</v>
      </c>
      <c r="R564" s="35" t="s">
        <v>31</v>
      </c>
      <c r="S564" s="35"/>
      <c r="T564" s="35"/>
    </row>
    <row r="565" spans="1:20" ht="15.6" x14ac:dyDescent="0.3">
      <c r="A565" s="35" t="s">
        <v>469</v>
      </c>
      <c r="B565" s="41" t="s">
        <v>347</v>
      </c>
      <c r="C565" s="41" t="s">
        <v>348</v>
      </c>
      <c r="D565" s="41" t="s">
        <v>588</v>
      </c>
      <c r="E565" s="41" t="s">
        <v>47</v>
      </c>
      <c r="F565" s="41" t="s">
        <v>58</v>
      </c>
      <c r="G565" s="41" t="s">
        <v>282</v>
      </c>
      <c r="H565" s="35" t="s">
        <v>26</v>
      </c>
      <c r="I565" s="41" t="s">
        <v>27</v>
      </c>
      <c r="J565" s="41">
        <v>531</v>
      </c>
      <c r="K565" s="41" t="s">
        <v>123</v>
      </c>
      <c r="L565" s="41">
        <v>5</v>
      </c>
      <c r="M565" s="38">
        <v>47250</v>
      </c>
      <c r="N565" s="38">
        <f t="shared" si="9"/>
        <v>9450</v>
      </c>
      <c r="O565" s="35" t="s">
        <v>29</v>
      </c>
      <c r="P565" s="35" t="s">
        <v>30</v>
      </c>
      <c r="Q565" s="36">
        <v>46233</v>
      </c>
      <c r="R565" s="35" t="s">
        <v>31</v>
      </c>
      <c r="S565" s="35"/>
      <c r="T565" s="35"/>
    </row>
    <row r="566" spans="1:20" ht="15.6" x14ac:dyDescent="0.3">
      <c r="A566" s="35" t="s">
        <v>469</v>
      </c>
      <c r="B566" s="41" t="s">
        <v>347</v>
      </c>
      <c r="C566" s="41" t="s">
        <v>348</v>
      </c>
      <c r="D566" s="41" t="s">
        <v>588</v>
      </c>
      <c r="E566" s="41" t="s">
        <v>47</v>
      </c>
      <c r="F566" s="41" t="s">
        <v>58</v>
      </c>
      <c r="G566" s="41" t="s">
        <v>326</v>
      </c>
      <c r="H566" s="35" t="s">
        <v>26</v>
      </c>
      <c r="I566" s="41" t="s">
        <v>27</v>
      </c>
      <c r="J566" s="41">
        <v>531</v>
      </c>
      <c r="K566" s="41" t="s">
        <v>123</v>
      </c>
      <c r="L566" s="41">
        <v>10</v>
      </c>
      <c r="M566" s="38">
        <v>52800</v>
      </c>
      <c r="N566" s="38">
        <f t="shared" si="9"/>
        <v>5280</v>
      </c>
      <c r="O566" s="35" t="s">
        <v>29</v>
      </c>
      <c r="P566" s="35" t="s">
        <v>30</v>
      </c>
      <c r="Q566" s="36">
        <v>46233</v>
      </c>
      <c r="R566" s="35" t="s">
        <v>31</v>
      </c>
      <c r="S566" s="35"/>
      <c r="T566" s="35"/>
    </row>
    <row r="567" spans="1:20" ht="15.6" x14ac:dyDescent="0.3">
      <c r="A567" s="35" t="s">
        <v>469</v>
      </c>
      <c r="B567" s="41" t="s">
        <v>347</v>
      </c>
      <c r="C567" s="41" t="s">
        <v>348</v>
      </c>
      <c r="D567" s="41" t="s">
        <v>588</v>
      </c>
      <c r="E567" s="41" t="s">
        <v>47</v>
      </c>
      <c r="F567" s="41" t="s">
        <v>58</v>
      </c>
      <c r="G567" s="41" t="s">
        <v>463</v>
      </c>
      <c r="H567" s="35" t="s">
        <v>26</v>
      </c>
      <c r="I567" s="41" t="s">
        <v>27</v>
      </c>
      <c r="J567" s="41">
        <v>531</v>
      </c>
      <c r="K567" s="41" t="s">
        <v>123</v>
      </c>
      <c r="L567" s="41">
        <v>5</v>
      </c>
      <c r="M567" s="38">
        <v>49690</v>
      </c>
      <c r="N567" s="38">
        <f t="shared" si="9"/>
        <v>9938</v>
      </c>
      <c r="O567" s="35" t="s">
        <v>29</v>
      </c>
      <c r="P567" s="35" t="s">
        <v>30</v>
      </c>
      <c r="Q567" s="36">
        <v>46233</v>
      </c>
      <c r="R567" s="35" t="s">
        <v>31</v>
      </c>
      <c r="S567" s="35"/>
      <c r="T567" s="35"/>
    </row>
    <row r="568" spans="1:20" ht="15.6" x14ac:dyDescent="0.3">
      <c r="A568" s="35" t="s">
        <v>469</v>
      </c>
      <c r="B568" s="35" t="s">
        <v>248</v>
      </c>
      <c r="C568" s="35" t="s">
        <v>249</v>
      </c>
      <c r="D568" s="35" t="s">
        <v>592</v>
      </c>
      <c r="E568" s="41" t="s">
        <v>40</v>
      </c>
      <c r="F568" s="35" t="s">
        <v>36</v>
      </c>
      <c r="G568" s="35" t="s">
        <v>251</v>
      </c>
      <c r="H568" s="35" t="s">
        <v>26</v>
      </c>
      <c r="I568" s="35" t="s">
        <v>64</v>
      </c>
      <c r="J568" s="35">
        <v>217</v>
      </c>
      <c r="K568" s="35" t="s">
        <v>123</v>
      </c>
      <c r="L568" s="35">
        <v>380</v>
      </c>
      <c r="M568" s="37">
        <v>950000</v>
      </c>
      <c r="N568" s="38">
        <f t="shared" si="9"/>
        <v>2500</v>
      </c>
      <c r="O568" s="35" t="s">
        <v>29</v>
      </c>
      <c r="P568" s="35" t="s">
        <v>30</v>
      </c>
      <c r="Q568" s="36">
        <v>46264</v>
      </c>
      <c r="R568" s="35" t="s">
        <v>31</v>
      </c>
      <c r="S568" s="35"/>
      <c r="T568" s="35"/>
    </row>
    <row r="569" spans="1:20" ht="15.6" x14ac:dyDescent="0.3">
      <c r="A569" s="35" t="s">
        <v>469</v>
      </c>
      <c r="B569" s="35" t="s">
        <v>248</v>
      </c>
      <c r="C569" s="35" t="s">
        <v>249</v>
      </c>
      <c r="D569" s="35" t="s">
        <v>592</v>
      </c>
      <c r="E569" s="41" t="s">
        <v>40</v>
      </c>
      <c r="F569" s="35" t="s">
        <v>36</v>
      </c>
      <c r="G569" s="35" t="s">
        <v>379</v>
      </c>
      <c r="H569" s="35" t="s">
        <v>26</v>
      </c>
      <c r="I569" s="35" t="s">
        <v>64</v>
      </c>
      <c r="J569" s="35">
        <v>217</v>
      </c>
      <c r="K569" s="35" t="s">
        <v>123</v>
      </c>
      <c r="L569" s="35">
        <v>380</v>
      </c>
      <c r="M569" s="37">
        <v>950000</v>
      </c>
      <c r="N569" s="38">
        <f t="shared" si="9"/>
        <v>2500</v>
      </c>
      <c r="O569" s="35" t="s">
        <v>29</v>
      </c>
      <c r="P569" s="35" t="s">
        <v>30</v>
      </c>
      <c r="Q569" s="36">
        <v>46264</v>
      </c>
      <c r="R569" s="35" t="s">
        <v>31</v>
      </c>
      <c r="S569" s="35"/>
      <c r="T569" s="35"/>
    </row>
    <row r="570" spans="1:20" ht="15.6" x14ac:dyDescent="0.3">
      <c r="A570" s="35" t="s">
        <v>469</v>
      </c>
      <c r="B570" s="35" t="s">
        <v>202</v>
      </c>
      <c r="C570" s="35" t="s">
        <v>203</v>
      </c>
      <c r="D570" s="35" t="s">
        <v>592</v>
      </c>
      <c r="E570" s="41" t="s">
        <v>40</v>
      </c>
      <c r="F570" s="35" t="s">
        <v>36</v>
      </c>
      <c r="G570" s="35" t="s">
        <v>593</v>
      </c>
      <c r="H570" s="35" t="s">
        <v>26</v>
      </c>
      <c r="I570" s="35" t="s">
        <v>64</v>
      </c>
      <c r="J570" s="35">
        <v>218</v>
      </c>
      <c r="K570" s="35" t="s">
        <v>276</v>
      </c>
      <c r="L570" s="35">
        <v>2</v>
      </c>
      <c r="M570" s="37">
        <v>64000</v>
      </c>
      <c r="N570" s="38">
        <f t="shared" si="9"/>
        <v>32000</v>
      </c>
      <c r="O570" s="35" t="s">
        <v>29</v>
      </c>
      <c r="P570" s="35" t="s">
        <v>30</v>
      </c>
      <c r="Q570" s="36">
        <v>46139</v>
      </c>
      <c r="R570" s="35" t="s">
        <v>31</v>
      </c>
      <c r="S570" s="35"/>
      <c r="T570" s="35"/>
    </row>
    <row r="571" spans="1:20" ht="15.6" x14ac:dyDescent="0.3">
      <c r="A571" s="35" t="s">
        <v>469</v>
      </c>
      <c r="B571" s="35" t="s">
        <v>202</v>
      </c>
      <c r="C571" s="35" t="s">
        <v>203</v>
      </c>
      <c r="D571" s="35" t="s">
        <v>592</v>
      </c>
      <c r="E571" s="41" t="s">
        <v>40</v>
      </c>
      <c r="F571" s="35" t="s">
        <v>36</v>
      </c>
      <c r="G571" s="35" t="s">
        <v>275</v>
      </c>
      <c r="H571" s="35" t="s">
        <v>26</v>
      </c>
      <c r="I571" s="35" t="s">
        <v>64</v>
      </c>
      <c r="J571" s="35">
        <v>218</v>
      </c>
      <c r="K571" s="35" t="s">
        <v>276</v>
      </c>
      <c r="L571" s="35">
        <v>2</v>
      </c>
      <c r="M571" s="37">
        <v>64000</v>
      </c>
      <c r="N571" s="38">
        <f t="shared" si="9"/>
        <v>32000</v>
      </c>
      <c r="O571" s="35" t="s">
        <v>29</v>
      </c>
      <c r="P571" s="35" t="s">
        <v>30</v>
      </c>
      <c r="Q571" s="36">
        <v>46139</v>
      </c>
      <c r="R571" s="35" t="s">
        <v>31</v>
      </c>
      <c r="S571" s="35"/>
      <c r="T571" s="35"/>
    </row>
    <row r="572" spans="1:20" ht="15.6" x14ac:dyDescent="0.3">
      <c r="A572" s="35" t="s">
        <v>469</v>
      </c>
      <c r="B572" s="35" t="s">
        <v>590</v>
      </c>
      <c r="C572" s="35" t="s">
        <v>591</v>
      </c>
      <c r="D572" s="35" t="s">
        <v>592</v>
      </c>
      <c r="E572" s="41" t="s">
        <v>40</v>
      </c>
      <c r="F572" s="35" t="s">
        <v>36</v>
      </c>
      <c r="G572" s="35" t="s">
        <v>558</v>
      </c>
      <c r="H572" s="35" t="s">
        <v>26</v>
      </c>
      <c r="I572" s="35" t="s">
        <v>64</v>
      </c>
      <c r="J572" s="35">
        <v>219</v>
      </c>
      <c r="K572" s="35" t="s">
        <v>123</v>
      </c>
      <c r="L572" s="35">
        <v>20</v>
      </c>
      <c r="M572" s="37">
        <v>190000</v>
      </c>
      <c r="N572" s="38">
        <f t="shared" si="9"/>
        <v>9500</v>
      </c>
      <c r="O572" s="35" t="s">
        <v>29</v>
      </c>
      <c r="P572" s="35" t="s">
        <v>30</v>
      </c>
      <c r="Q572" s="36">
        <v>46106</v>
      </c>
      <c r="R572" s="35" t="s">
        <v>31</v>
      </c>
      <c r="S572" s="35"/>
      <c r="T572" s="35"/>
    </row>
    <row r="573" spans="1:20" ht="15.6" x14ac:dyDescent="0.3">
      <c r="A573" s="35" t="s">
        <v>469</v>
      </c>
      <c r="B573" s="35" t="s">
        <v>108</v>
      </c>
      <c r="C573" s="35" t="s">
        <v>109</v>
      </c>
      <c r="D573" s="35" t="s">
        <v>592</v>
      </c>
      <c r="E573" s="41" t="s">
        <v>47</v>
      </c>
      <c r="F573" s="35" t="s">
        <v>58</v>
      </c>
      <c r="G573" s="35" t="s">
        <v>296</v>
      </c>
      <c r="H573" s="35" t="s">
        <v>26</v>
      </c>
      <c r="I573" s="35" t="s">
        <v>64</v>
      </c>
      <c r="J573" s="35">
        <v>220</v>
      </c>
      <c r="K573" s="35" t="s">
        <v>123</v>
      </c>
      <c r="L573" s="35">
        <v>10</v>
      </c>
      <c r="M573" s="37">
        <v>60060</v>
      </c>
      <c r="N573" s="38">
        <f t="shared" si="9"/>
        <v>6006</v>
      </c>
      <c r="O573" s="35" t="s">
        <v>29</v>
      </c>
      <c r="P573" s="35" t="s">
        <v>30</v>
      </c>
      <c r="Q573" s="36">
        <v>46172</v>
      </c>
      <c r="R573" s="35" t="s">
        <v>31</v>
      </c>
      <c r="S573" s="35"/>
      <c r="T573" s="35"/>
    </row>
    <row r="574" spans="1:20" ht="15.6" x14ac:dyDescent="0.3">
      <c r="A574" s="35" t="s">
        <v>469</v>
      </c>
      <c r="B574" s="35" t="s">
        <v>108</v>
      </c>
      <c r="C574" s="35" t="s">
        <v>109</v>
      </c>
      <c r="D574" s="35" t="s">
        <v>592</v>
      </c>
      <c r="E574" s="41" t="s">
        <v>47</v>
      </c>
      <c r="F574" s="35" t="s">
        <v>58</v>
      </c>
      <c r="G574" s="35" t="s">
        <v>378</v>
      </c>
      <c r="H574" s="35" t="s">
        <v>26</v>
      </c>
      <c r="I574" s="35" t="s">
        <v>64</v>
      </c>
      <c r="J574" s="35">
        <v>220</v>
      </c>
      <c r="K574" s="35" t="s">
        <v>123</v>
      </c>
      <c r="L574" s="35">
        <v>12</v>
      </c>
      <c r="M574" s="37">
        <v>86484</v>
      </c>
      <c r="N574" s="38">
        <f t="shared" si="9"/>
        <v>7207</v>
      </c>
      <c r="O574" s="35" t="s">
        <v>29</v>
      </c>
      <c r="P574" s="35" t="s">
        <v>30</v>
      </c>
      <c r="Q574" s="36">
        <v>46172</v>
      </c>
      <c r="R574" s="35" t="s">
        <v>31</v>
      </c>
      <c r="S574" s="35"/>
      <c r="T574" s="35"/>
    </row>
    <row r="575" spans="1:20" ht="15.6" x14ac:dyDescent="0.3">
      <c r="A575" s="35" t="s">
        <v>469</v>
      </c>
      <c r="B575" s="35" t="s">
        <v>108</v>
      </c>
      <c r="C575" s="35" t="s">
        <v>109</v>
      </c>
      <c r="D575" s="35" t="s">
        <v>592</v>
      </c>
      <c r="E575" s="41" t="s">
        <v>47</v>
      </c>
      <c r="F575" s="35" t="s">
        <v>58</v>
      </c>
      <c r="G575" s="35" t="s">
        <v>437</v>
      </c>
      <c r="H575" s="35" t="s">
        <v>26</v>
      </c>
      <c r="I575" s="35" t="s">
        <v>64</v>
      </c>
      <c r="J575" s="35">
        <v>220</v>
      </c>
      <c r="K575" s="35" t="s">
        <v>123</v>
      </c>
      <c r="L575" s="35">
        <v>12</v>
      </c>
      <c r="M575" s="37">
        <v>72072</v>
      </c>
      <c r="N575" s="38">
        <f t="shared" si="9"/>
        <v>6006</v>
      </c>
      <c r="O575" s="35" t="s">
        <v>29</v>
      </c>
      <c r="P575" s="35" t="s">
        <v>30</v>
      </c>
      <c r="Q575" s="36">
        <v>46172</v>
      </c>
      <c r="R575" s="35" t="s">
        <v>31</v>
      </c>
      <c r="S575" s="35"/>
      <c r="T575" s="35"/>
    </row>
    <row r="576" spans="1:20" ht="15.6" x14ac:dyDescent="0.3">
      <c r="A576" s="35" t="s">
        <v>469</v>
      </c>
      <c r="B576" s="35" t="s">
        <v>108</v>
      </c>
      <c r="C576" s="35" t="s">
        <v>109</v>
      </c>
      <c r="D576" s="35" t="s">
        <v>592</v>
      </c>
      <c r="E576" s="41" t="s">
        <v>47</v>
      </c>
      <c r="F576" s="35" t="s">
        <v>58</v>
      </c>
      <c r="G576" s="35" t="s">
        <v>438</v>
      </c>
      <c r="H576" s="35" t="s">
        <v>26</v>
      </c>
      <c r="I576" s="35" t="s">
        <v>64</v>
      </c>
      <c r="J576" s="35">
        <v>220</v>
      </c>
      <c r="K576" s="35" t="s">
        <v>123</v>
      </c>
      <c r="L576" s="35">
        <v>20</v>
      </c>
      <c r="M576" s="37">
        <v>96100</v>
      </c>
      <c r="N576" s="38">
        <f t="shared" si="9"/>
        <v>4805</v>
      </c>
      <c r="O576" s="35" t="s">
        <v>29</v>
      </c>
      <c r="P576" s="35" t="s">
        <v>30</v>
      </c>
      <c r="Q576" s="36">
        <v>46172</v>
      </c>
      <c r="R576" s="35" t="s">
        <v>31</v>
      </c>
      <c r="S576" s="35"/>
      <c r="T576" s="35"/>
    </row>
    <row r="577" spans="1:20" ht="15.6" x14ac:dyDescent="0.3">
      <c r="A577" s="35" t="s">
        <v>469</v>
      </c>
      <c r="B577" s="35" t="s">
        <v>347</v>
      </c>
      <c r="C577" s="35" t="s">
        <v>594</v>
      </c>
      <c r="D577" s="35" t="s">
        <v>592</v>
      </c>
      <c r="E577" s="41" t="s">
        <v>47</v>
      </c>
      <c r="F577" s="35" t="s">
        <v>58</v>
      </c>
      <c r="G577" s="35" t="s">
        <v>434</v>
      </c>
      <c r="H577" s="35" t="s">
        <v>26</v>
      </c>
      <c r="I577" s="35" t="s">
        <v>27</v>
      </c>
      <c r="J577" s="35">
        <v>532</v>
      </c>
      <c r="K577" s="35" t="s">
        <v>123</v>
      </c>
      <c r="L577" s="35">
        <v>3</v>
      </c>
      <c r="M577" s="37">
        <v>18675</v>
      </c>
      <c r="N577" s="38">
        <f t="shared" si="9"/>
        <v>6225</v>
      </c>
      <c r="O577" s="35" t="s">
        <v>29</v>
      </c>
      <c r="P577" s="35" t="s">
        <v>30</v>
      </c>
      <c r="Q577" s="36">
        <v>46233</v>
      </c>
      <c r="R577" s="35" t="s">
        <v>31</v>
      </c>
      <c r="S577" s="35"/>
      <c r="T577" s="35"/>
    </row>
    <row r="578" spans="1:20" ht="15.6" x14ac:dyDescent="0.3">
      <c r="A578" s="35" t="s">
        <v>469</v>
      </c>
      <c r="B578" s="35" t="s">
        <v>347</v>
      </c>
      <c r="C578" s="35" t="s">
        <v>594</v>
      </c>
      <c r="D578" s="35" t="s">
        <v>592</v>
      </c>
      <c r="E578" s="41" t="s">
        <v>47</v>
      </c>
      <c r="F578" s="35" t="s">
        <v>58</v>
      </c>
      <c r="G578" s="35" t="s">
        <v>435</v>
      </c>
      <c r="H578" s="35" t="s">
        <v>26</v>
      </c>
      <c r="I578" s="35" t="s">
        <v>27</v>
      </c>
      <c r="J578" s="35">
        <v>532</v>
      </c>
      <c r="K578" s="35" t="s">
        <v>123</v>
      </c>
      <c r="L578" s="35">
        <v>10</v>
      </c>
      <c r="M578" s="37">
        <v>47250</v>
      </c>
      <c r="N578" s="38">
        <f t="shared" si="9"/>
        <v>4725</v>
      </c>
      <c r="O578" s="35" t="s">
        <v>29</v>
      </c>
      <c r="P578" s="35" t="s">
        <v>30</v>
      </c>
      <c r="Q578" s="36">
        <v>46233</v>
      </c>
      <c r="R578" s="35" t="s">
        <v>31</v>
      </c>
      <c r="S578" s="35"/>
      <c r="T578" s="35"/>
    </row>
    <row r="579" spans="1:20" ht="15.6" x14ac:dyDescent="0.3">
      <c r="A579" s="35" t="s">
        <v>469</v>
      </c>
      <c r="B579" s="35" t="s">
        <v>347</v>
      </c>
      <c r="C579" s="35" t="s">
        <v>594</v>
      </c>
      <c r="D579" s="35" t="s">
        <v>592</v>
      </c>
      <c r="E579" s="41" t="s">
        <v>47</v>
      </c>
      <c r="F579" s="35" t="s">
        <v>58</v>
      </c>
      <c r="G579" s="35" t="s">
        <v>452</v>
      </c>
      <c r="H579" s="35" t="s">
        <v>26</v>
      </c>
      <c r="I579" s="35" t="s">
        <v>27</v>
      </c>
      <c r="J579" s="35">
        <v>532</v>
      </c>
      <c r="K579" s="35" t="s">
        <v>123</v>
      </c>
      <c r="L579" s="35">
        <v>1</v>
      </c>
      <c r="M579" s="37">
        <v>7575</v>
      </c>
      <c r="N579" s="38">
        <f t="shared" si="9"/>
        <v>7575</v>
      </c>
      <c r="O579" s="35" t="s">
        <v>29</v>
      </c>
      <c r="P579" s="35" t="s">
        <v>30</v>
      </c>
      <c r="Q579" s="36">
        <v>46233</v>
      </c>
      <c r="R579" s="35" t="s">
        <v>31</v>
      </c>
      <c r="S579" s="35"/>
      <c r="T579" s="35"/>
    </row>
    <row r="580" spans="1:20" ht="15.6" x14ac:dyDescent="0.3">
      <c r="A580" s="35" t="s">
        <v>469</v>
      </c>
      <c r="B580" s="35" t="s">
        <v>347</v>
      </c>
      <c r="C580" s="35" t="s">
        <v>594</v>
      </c>
      <c r="D580" s="35" t="s">
        <v>592</v>
      </c>
      <c r="E580" s="41" t="s">
        <v>47</v>
      </c>
      <c r="F580" s="35" t="s">
        <v>58</v>
      </c>
      <c r="G580" s="35" t="s">
        <v>309</v>
      </c>
      <c r="H580" s="35" t="s">
        <v>26</v>
      </c>
      <c r="I580" s="35" t="s">
        <v>27</v>
      </c>
      <c r="J580" s="35">
        <v>532</v>
      </c>
      <c r="K580" s="35" t="s">
        <v>123</v>
      </c>
      <c r="L580" s="35">
        <v>12</v>
      </c>
      <c r="M580" s="37">
        <v>74700</v>
      </c>
      <c r="N580" s="38">
        <f t="shared" si="9"/>
        <v>6225</v>
      </c>
      <c r="O580" s="35" t="s">
        <v>29</v>
      </c>
      <c r="P580" s="35" t="s">
        <v>30</v>
      </c>
      <c r="Q580" s="36">
        <v>46233</v>
      </c>
      <c r="R580" s="35" t="s">
        <v>31</v>
      </c>
      <c r="S580" s="35"/>
      <c r="T580" s="35"/>
    </row>
    <row r="581" spans="1:20" ht="15.6" x14ac:dyDescent="0.3">
      <c r="A581" s="35" t="s">
        <v>469</v>
      </c>
      <c r="B581" s="35" t="s">
        <v>347</v>
      </c>
      <c r="C581" s="35" t="s">
        <v>594</v>
      </c>
      <c r="D581" s="35" t="s">
        <v>592</v>
      </c>
      <c r="E581" s="41" t="s">
        <v>47</v>
      </c>
      <c r="F581" s="35" t="s">
        <v>58</v>
      </c>
      <c r="G581" s="35" t="s">
        <v>308</v>
      </c>
      <c r="H581" s="35" t="s">
        <v>26</v>
      </c>
      <c r="I581" s="35" t="s">
        <v>27</v>
      </c>
      <c r="J581" s="35">
        <v>532</v>
      </c>
      <c r="K581" s="35" t="s">
        <v>123</v>
      </c>
      <c r="L581" s="35">
        <v>30</v>
      </c>
      <c r="M581" s="37">
        <v>141750</v>
      </c>
      <c r="N581" s="38">
        <f t="shared" si="9"/>
        <v>4725</v>
      </c>
      <c r="O581" s="35" t="s">
        <v>29</v>
      </c>
      <c r="P581" s="35" t="s">
        <v>30</v>
      </c>
      <c r="Q581" s="36">
        <v>46233</v>
      </c>
      <c r="R581" s="35" t="s">
        <v>31</v>
      </c>
      <c r="S581" s="35"/>
      <c r="T581" s="35"/>
    </row>
    <row r="582" spans="1:20" ht="15.6" x14ac:dyDescent="0.3">
      <c r="A582" s="35" t="s">
        <v>469</v>
      </c>
      <c r="B582" s="35" t="s">
        <v>347</v>
      </c>
      <c r="C582" s="35" t="s">
        <v>594</v>
      </c>
      <c r="D582" s="35" t="s">
        <v>592</v>
      </c>
      <c r="E582" s="41" t="s">
        <v>47</v>
      </c>
      <c r="F582" s="35" t="s">
        <v>58</v>
      </c>
      <c r="G582" s="35" t="s">
        <v>326</v>
      </c>
      <c r="H582" s="35" t="s">
        <v>26</v>
      </c>
      <c r="I582" s="35" t="s">
        <v>27</v>
      </c>
      <c r="J582" s="35">
        <v>532</v>
      </c>
      <c r="K582" s="35" t="s">
        <v>123</v>
      </c>
      <c r="L582" s="35">
        <v>5</v>
      </c>
      <c r="M582" s="37">
        <v>26400</v>
      </c>
      <c r="N582" s="38">
        <f t="shared" si="9"/>
        <v>5280</v>
      </c>
      <c r="O582" s="35" t="s">
        <v>29</v>
      </c>
      <c r="P582" s="35" t="s">
        <v>30</v>
      </c>
      <c r="Q582" s="36">
        <v>46233</v>
      </c>
      <c r="R582" s="35" t="s">
        <v>31</v>
      </c>
      <c r="S582" s="35"/>
      <c r="T582" s="35"/>
    </row>
    <row r="583" spans="1:20" ht="15.6" x14ac:dyDescent="0.3">
      <c r="A583" s="35" t="s">
        <v>469</v>
      </c>
      <c r="B583" s="35" t="s">
        <v>347</v>
      </c>
      <c r="C583" s="35" t="s">
        <v>594</v>
      </c>
      <c r="D583" s="35" t="s">
        <v>592</v>
      </c>
      <c r="E583" s="41" t="s">
        <v>47</v>
      </c>
      <c r="F583" s="35" t="s">
        <v>58</v>
      </c>
      <c r="G583" s="35" t="s">
        <v>437</v>
      </c>
      <c r="H583" s="35" t="s">
        <v>26</v>
      </c>
      <c r="I583" s="35" t="s">
        <v>27</v>
      </c>
      <c r="J583" s="35">
        <v>532</v>
      </c>
      <c r="K583" s="35" t="s">
        <v>123</v>
      </c>
      <c r="L583" s="35">
        <v>3</v>
      </c>
      <c r="M583" s="37">
        <v>29250</v>
      </c>
      <c r="N583" s="38">
        <f t="shared" si="9"/>
        <v>9750</v>
      </c>
      <c r="O583" s="35" t="s">
        <v>29</v>
      </c>
      <c r="P583" s="35" t="s">
        <v>30</v>
      </c>
      <c r="Q583" s="36">
        <v>46233</v>
      </c>
      <c r="R583" s="35" t="s">
        <v>31</v>
      </c>
      <c r="S583" s="35"/>
      <c r="T583" s="35"/>
    </row>
    <row r="584" spans="1:20" ht="15.6" x14ac:dyDescent="0.3">
      <c r="A584" s="35" t="s">
        <v>469</v>
      </c>
      <c r="B584" s="35" t="s">
        <v>347</v>
      </c>
      <c r="C584" s="35" t="s">
        <v>594</v>
      </c>
      <c r="D584" s="35" t="s">
        <v>592</v>
      </c>
      <c r="E584" s="41" t="s">
        <v>47</v>
      </c>
      <c r="F584" s="35" t="s">
        <v>58</v>
      </c>
      <c r="G584" s="35" t="s">
        <v>408</v>
      </c>
      <c r="H584" s="35" t="s">
        <v>26</v>
      </c>
      <c r="I584" s="35" t="s">
        <v>27</v>
      </c>
      <c r="J584" s="35">
        <v>532</v>
      </c>
      <c r="K584" s="35" t="s">
        <v>123</v>
      </c>
      <c r="L584" s="35">
        <v>5</v>
      </c>
      <c r="M584" s="37">
        <v>70875</v>
      </c>
      <c r="N584" s="38">
        <f t="shared" si="9"/>
        <v>14175</v>
      </c>
      <c r="O584" s="35" t="s">
        <v>29</v>
      </c>
      <c r="P584" s="35" t="s">
        <v>30</v>
      </c>
      <c r="Q584" s="36">
        <v>46233</v>
      </c>
      <c r="R584" s="35" t="s">
        <v>31</v>
      </c>
      <c r="S584" s="35"/>
      <c r="T584" s="35"/>
    </row>
    <row r="585" spans="1:20" ht="15.6" x14ac:dyDescent="0.3">
      <c r="A585" s="35" t="s">
        <v>469</v>
      </c>
      <c r="B585" s="35" t="s">
        <v>347</v>
      </c>
      <c r="C585" s="35" t="s">
        <v>594</v>
      </c>
      <c r="D585" s="35" t="s">
        <v>592</v>
      </c>
      <c r="E585" s="41" t="s">
        <v>47</v>
      </c>
      <c r="F585" s="35" t="s">
        <v>58</v>
      </c>
      <c r="G585" s="35" t="s">
        <v>465</v>
      </c>
      <c r="H585" s="35" t="s">
        <v>26</v>
      </c>
      <c r="I585" s="35" t="s">
        <v>27</v>
      </c>
      <c r="J585" s="35">
        <v>532</v>
      </c>
      <c r="K585" s="35" t="s">
        <v>123</v>
      </c>
      <c r="L585" s="35">
        <v>1</v>
      </c>
      <c r="M585" s="37">
        <v>9000</v>
      </c>
      <c r="N585" s="38">
        <f t="shared" si="9"/>
        <v>9000</v>
      </c>
      <c r="O585" s="35" t="s">
        <v>29</v>
      </c>
      <c r="P585" s="35" t="s">
        <v>30</v>
      </c>
      <c r="Q585" s="36">
        <v>46233</v>
      </c>
      <c r="R585" s="35" t="s">
        <v>31</v>
      </c>
      <c r="S585" s="35"/>
      <c r="T585" s="35"/>
    </row>
    <row r="586" spans="1:20" ht="15.6" x14ac:dyDescent="0.3">
      <c r="A586" s="35" t="s">
        <v>469</v>
      </c>
      <c r="B586" s="35" t="s">
        <v>347</v>
      </c>
      <c r="C586" s="35" t="s">
        <v>594</v>
      </c>
      <c r="D586" s="35" t="s">
        <v>592</v>
      </c>
      <c r="E586" s="41" t="s">
        <v>47</v>
      </c>
      <c r="F586" s="35" t="s">
        <v>58</v>
      </c>
      <c r="G586" s="35" t="s">
        <v>428</v>
      </c>
      <c r="H586" s="35" t="s">
        <v>26</v>
      </c>
      <c r="I586" s="35" t="s">
        <v>27</v>
      </c>
      <c r="J586" s="35">
        <v>532</v>
      </c>
      <c r="K586" s="35" t="s">
        <v>123</v>
      </c>
      <c r="L586" s="35">
        <v>1</v>
      </c>
      <c r="M586" s="37">
        <v>9375</v>
      </c>
      <c r="N586" s="38">
        <f t="shared" si="9"/>
        <v>9375</v>
      </c>
      <c r="O586" s="35" t="s">
        <v>29</v>
      </c>
      <c r="P586" s="35" t="s">
        <v>30</v>
      </c>
      <c r="Q586" s="36">
        <v>46233</v>
      </c>
      <c r="R586" s="35" t="s">
        <v>31</v>
      </c>
      <c r="S586" s="35"/>
      <c r="T586" s="35"/>
    </row>
    <row r="587" spans="1:20" ht="15.6" x14ac:dyDescent="0.3">
      <c r="A587" s="35" t="s">
        <v>469</v>
      </c>
      <c r="B587" s="35" t="s">
        <v>347</v>
      </c>
      <c r="C587" s="35" t="s">
        <v>594</v>
      </c>
      <c r="D587" s="35" t="s">
        <v>592</v>
      </c>
      <c r="E587" s="41" t="s">
        <v>47</v>
      </c>
      <c r="F587" s="35" t="s">
        <v>58</v>
      </c>
      <c r="G587" s="35" t="s">
        <v>327</v>
      </c>
      <c r="H587" s="35" t="s">
        <v>26</v>
      </c>
      <c r="I587" s="35" t="s">
        <v>27</v>
      </c>
      <c r="J587" s="35">
        <v>532</v>
      </c>
      <c r="K587" s="35" t="s">
        <v>123</v>
      </c>
      <c r="L587" s="35">
        <v>15</v>
      </c>
      <c r="M587" s="37">
        <v>129375</v>
      </c>
      <c r="N587" s="38">
        <f t="shared" si="9"/>
        <v>8625</v>
      </c>
      <c r="O587" s="35" t="s">
        <v>29</v>
      </c>
      <c r="P587" s="35" t="s">
        <v>30</v>
      </c>
      <c r="Q587" s="36">
        <v>46233</v>
      </c>
      <c r="R587" s="35" t="s">
        <v>31</v>
      </c>
      <c r="S587" s="35"/>
      <c r="T587" s="35"/>
    </row>
    <row r="588" spans="1:20" ht="15.6" x14ac:dyDescent="0.3">
      <c r="A588" s="35" t="s">
        <v>469</v>
      </c>
      <c r="B588" s="35" t="s">
        <v>347</v>
      </c>
      <c r="C588" s="35" t="s">
        <v>594</v>
      </c>
      <c r="D588" s="35" t="s">
        <v>592</v>
      </c>
      <c r="E588" s="41" t="s">
        <v>47</v>
      </c>
      <c r="F588" s="35" t="s">
        <v>58</v>
      </c>
      <c r="G588" s="35" t="s">
        <v>310</v>
      </c>
      <c r="H588" s="35" t="s">
        <v>26</v>
      </c>
      <c r="I588" s="35" t="s">
        <v>27</v>
      </c>
      <c r="J588" s="35">
        <v>532</v>
      </c>
      <c r="K588" s="35" t="s">
        <v>123</v>
      </c>
      <c r="L588" s="35">
        <v>4</v>
      </c>
      <c r="M588" s="37">
        <v>24900</v>
      </c>
      <c r="N588" s="38">
        <f t="shared" ref="N588:N613" si="10">M588/L588</f>
        <v>6225</v>
      </c>
      <c r="O588" s="35" t="s">
        <v>29</v>
      </c>
      <c r="P588" s="35" t="s">
        <v>30</v>
      </c>
      <c r="Q588" s="36">
        <v>46233</v>
      </c>
      <c r="R588" s="35" t="s">
        <v>31</v>
      </c>
      <c r="S588" s="35"/>
      <c r="T588" s="35"/>
    </row>
    <row r="589" spans="1:20" ht="15.6" x14ac:dyDescent="0.3">
      <c r="A589" s="35" t="s">
        <v>469</v>
      </c>
      <c r="B589" s="35" t="s">
        <v>347</v>
      </c>
      <c r="C589" s="35" t="s">
        <v>594</v>
      </c>
      <c r="D589" s="35" t="s">
        <v>592</v>
      </c>
      <c r="E589" s="41" t="s">
        <v>47</v>
      </c>
      <c r="F589" s="35" t="s">
        <v>58</v>
      </c>
      <c r="G589" s="35" t="s">
        <v>295</v>
      </c>
      <c r="H589" s="35" t="s">
        <v>26</v>
      </c>
      <c r="I589" s="35" t="s">
        <v>27</v>
      </c>
      <c r="J589" s="35">
        <v>532</v>
      </c>
      <c r="K589" s="35" t="s">
        <v>123</v>
      </c>
      <c r="L589" s="35">
        <v>5</v>
      </c>
      <c r="M589" s="37">
        <v>23625</v>
      </c>
      <c r="N589" s="38">
        <f t="shared" si="10"/>
        <v>4725</v>
      </c>
      <c r="O589" s="35" t="s">
        <v>29</v>
      </c>
      <c r="P589" s="35" t="s">
        <v>30</v>
      </c>
      <c r="Q589" s="36">
        <v>46233</v>
      </c>
      <c r="R589" s="35" t="s">
        <v>31</v>
      </c>
      <c r="S589" s="35"/>
      <c r="T589" s="35"/>
    </row>
    <row r="590" spans="1:20" ht="15.6" x14ac:dyDescent="0.3">
      <c r="A590" s="35" t="s">
        <v>469</v>
      </c>
      <c r="B590" s="35" t="s">
        <v>347</v>
      </c>
      <c r="C590" s="35" t="s">
        <v>594</v>
      </c>
      <c r="D590" s="35" t="s">
        <v>592</v>
      </c>
      <c r="E590" s="41" t="s">
        <v>47</v>
      </c>
      <c r="F590" s="35" t="s">
        <v>58</v>
      </c>
      <c r="G590" s="35" t="s">
        <v>289</v>
      </c>
      <c r="H590" s="35" t="s">
        <v>26</v>
      </c>
      <c r="I590" s="35" t="s">
        <v>27</v>
      </c>
      <c r="J590" s="35">
        <v>532</v>
      </c>
      <c r="K590" s="35" t="s">
        <v>123</v>
      </c>
      <c r="L590" s="35">
        <v>20</v>
      </c>
      <c r="M590" s="37">
        <v>88500</v>
      </c>
      <c r="N590" s="38">
        <f t="shared" si="10"/>
        <v>4425</v>
      </c>
      <c r="O590" s="35" t="s">
        <v>29</v>
      </c>
      <c r="P590" s="35" t="s">
        <v>30</v>
      </c>
      <c r="Q590" s="36">
        <v>46233</v>
      </c>
      <c r="R590" s="35" t="s">
        <v>31</v>
      </c>
      <c r="S590" s="35"/>
      <c r="T590" s="35"/>
    </row>
    <row r="591" spans="1:20" ht="15.6" x14ac:dyDescent="0.3">
      <c r="A591" s="35" t="s">
        <v>469</v>
      </c>
      <c r="B591" s="35" t="s">
        <v>273</v>
      </c>
      <c r="C591" s="35" t="s">
        <v>274</v>
      </c>
      <c r="D591" s="35" t="s">
        <v>592</v>
      </c>
      <c r="E591" s="41" t="s">
        <v>40</v>
      </c>
      <c r="F591" s="35" t="s">
        <v>36</v>
      </c>
      <c r="G591" s="35" t="s">
        <v>321</v>
      </c>
      <c r="H591" s="35" t="s">
        <v>26</v>
      </c>
      <c r="I591" s="35" t="s">
        <v>27</v>
      </c>
      <c r="J591" s="35">
        <v>533</v>
      </c>
      <c r="K591" s="35" t="s">
        <v>123</v>
      </c>
      <c r="L591" s="35">
        <v>20</v>
      </c>
      <c r="M591" s="37">
        <v>200000</v>
      </c>
      <c r="N591" s="38">
        <f t="shared" si="10"/>
        <v>10000</v>
      </c>
      <c r="O591" s="35" t="s">
        <v>29</v>
      </c>
      <c r="P591" s="35" t="s">
        <v>30</v>
      </c>
      <c r="Q591" s="36">
        <v>46079</v>
      </c>
      <c r="R591" s="35" t="s">
        <v>31</v>
      </c>
      <c r="S591" s="35"/>
      <c r="T591" s="35"/>
    </row>
    <row r="592" spans="1:20" ht="15.6" x14ac:dyDescent="0.3">
      <c r="A592" s="35" t="s">
        <v>469</v>
      </c>
      <c r="B592" s="35" t="s">
        <v>235</v>
      </c>
      <c r="C592" s="35" t="s">
        <v>236</v>
      </c>
      <c r="D592" s="35" t="s">
        <v>592</v>
      </c>
      <c r="E592" s="41" t="s">
        <v>636</v>
      </c>
      <c r="F592" s="35" t="s">
        <v>54</v>
      </c>
      <c r="G592" s="35" t="s">
        <v>637</v>
      </c>
      <c r="H592" s="35" t="s">
        <v>26</v>
      </c>
      <c r="I592" s="35" t="s">
        <v>64</v>
      </c>
      <c r="J592" s="35">
        <v>47</v>
      </c>
      <c r="K592" s="35" t="s">
        <v>7</v>
      </c>
      <c r="L592" s="35">
        <v>200</v>
      </c>
      <c r="M592" s="37">
        <v>5000000</v>
      </c>
      <c r="N592" s="38">
        <f t="shared" si="10"/>
        <v>25000</v>
      </c>
      <c r="O592" s="35" t="s">
        <v>29</v>
      </c>
      <c r="P592" s="35" t="s">
        <v>30</v>
      </c>
      <c r="Q592" s="36">
        <v>46010</v>
      </c>
      <c r="R592" s="35" t="s">
        <v>31</v>
      </c>
      <c r="S592" s="35"/>
      <c r="T592" s="35"/>
    </row>
    <row r="593" spans="1:20" ht="15.6" x14ac:dyDescent="0.3">
      <c r="A593" s="35" t="s">
        <v>611</v>
      </c>
      <c r="B593" s="35" t="s">
        <v>612</v>
      </c>
      <c r="C593" s="35" t="s">
        <v>613</v>
      </c>
      <c r="D593" s="35" t="s">
        <v>614</v>
      </c>
      <c r="E593" s="41" t="s">
        <v>511</v>
      </c>
      <c r="F593" s="35" t="s">
        <v>48</v>
      </c>
      <c r="G593" s="35" t="s">
        <v>544</v>
      </c>
      <c r="H593" s="35" t="s">
        <v>56</v>
      </c>
      <c r="I593" s="35" t="s">
        <v>27</v>
      </c>
      <c r="J593" s="35">
        <v>534</v>
      </c>
      <c r="K593" s="35" t="s">
        <v>276</v>
      </c>
      <c r="L593" s="35">
        <v>2</v>
      </c>
      <c r="M593" s="37">
        <v>0</v>
      </c>
      <c r="N593" s="38">
        <f t="shared" si="10"/>
        <v>0</v>
      </c>
      <c r="O593" s="35" t="s">
        <v>29</v>
      </c>
      <c r="P593" s="35" t="s">
        <v>30</v>
      </c>
      <c r="Q593" s="36">
        <v>46083</v>
      </c>
      <c r="R593" s="35" t="s">
        <v>31</v>
      </c>
      <c r="S593" s="35"/>
      <c r="T593" s="35"/>
    </row>
    <row r="594" spans="1:20" ht="15.6" x14ac:dyDescent="0.3">
      <c r="A594" s="35" t="s">
        <v>611</v>
      </c>
      <c r="B594" s="35" t="s">
        <v>612</v>
      </c>
      <c r="C594" s="35" t="s">
        <v>613</v>
      </c>
      <c r="D594" s="35" t="s">
        <v>614</v>
      </c>
      <c r="E594" s="41" t="s">
        <v>511</v>
      </c>
      <c r="F594" s="35" t="s">
        <v>48</v>
      </c>
      <c r="G594" s="35" t="s">
        <v>395</v>
      </c>
      <c r="H594" s="35" t="s">
        <v>56</v>
      </c>
      <c r="I594" s="35" t="s">
        <v>27</v>
      </c>
      <c r="J594" s="35">
        <v>534</v>
      </c>
      <c r="K594" s="35" t="s">
        <v>276</v>
      </c>
      <c r="L594" s="35">
        <v>2</v>
      </c>
      <c r="M594" s="37">
        <v>0</v>
      </c>
      <c r="N594" s="38">
        <f t="shared" si="10"/>
        <v>0</v>
      </c>
      <c r="O594" s="35" t="s">
        <v>29</v>
      </c>
      <c r="P594" s="35" t="s">
        <v>30</v>
      </c>
      <c r="Q594" s="36">
        <v>46083</v>
      </c>
      <c r="R594" s="35" t="s">
        <v>31</v>
      </c>
      <c r="S594" s="35"/>
      <c r="T594" s="35"/>
    </row>
    <row r="595" spans="1:20" ht="15.6" x14ac:dyDescent="0.3">
      <c r="A595" s="35" t="s">
        <v>611</v>
      </c>
      <c r="B595" s="35" t="s">
        <v>612</v>
      </c>
      <c r="C595" s="35" t="s">
        <v>613</v>
      </c>
      <c r="D595" s="35" t="s">
        <v>614</v>
      </c>
      <c r="E595" s="41" t="s">
        <v>511</v>
      </c>
      <c r="F595" s="35" t="s">
        <v>48</v>
      </c>
      <c r="G595" s="35" t="s">
        <v>398</v>
      </c>
      <c r="H595" s="35" t="s">
        <v>56</v>
      </c>
      <c r="I595" s="35" t="s">
        <v>27</v>
      </c>
      <c r="J595" s="35">
        <v>534</v>
      </c>
      <c r="K595" s="35" t="s">
        <v>276</v>
      </c>
      <c r="L595" s="35">
        <v>2</v>
      </c>
      <c r="M595" s="37">
        <v>0</v>
      </c>
      <c r="N595" s="38">
        <f t="shared" si="10"/>
        <v>0</v>
      </c>
      <c r="O595" s="35" t="s">
        <v>29</v>
      </c>
      <c r="P595" s="35" t="s">
        <v>30</v>
      </c>
      <c r="Q595" s="36">
        <v>46083</v>
      </c>
      <c r="R595" s="35" t="s">
        <v>31</v>
      </c>
      <c r="S595" s="35"/>
      <c r="T595" s="35"/>
    </row>
    <row r="596" spans="1:20" ht="15.6" x14ac:dyDescent="0.3">
      <c r="A596" s="35" t="s">
        <v>611</v>
      </c>
      <c r="B596" s="35" t="s">
        <v>612</v>
      </c>
      <c r="C596" s="35" t="s">
        <v>613</v>
      </c>
      <c r="D596" s="35" t="s">
        <v>614</v>
      </c>
      <c r="E596" s="41" t="s">
        <v>511</v>
      </c>
      <c r="F596" s="35" t="s">
        <v>48</v>
      </c>
      <c r="G596" s="35" t="s">
        <v>397</v>
      </c>
      <c r="H596" s="35" t="s">
        <v>56</v>
      </c>
      <c r="I596" s="35" t="s">
        <v>27</v>
      </c>
      <c r="J596" s="35">
        <v>534</v>
      </c>
      <c r="K596" s="35" t="s">
        <v>276</v>
      </c>
      <c r="L596" s="35">
        <v>10</v>
      </c>
      <c r="M596" s="37">
        <v>0</v>
      </c>
      <c r="N596" s="38">
        <f t="shared" si="10"/>
        <v>0</v>
      </c>
      <c r="O596" s="35" t="s">
        <v>29</v>
      </c>
      <c r="P596" s="35" t="s">
        <v>30</v>
      </c>
      <c r="Q596" s="36">
        <v>46083</v>
      </c>
      <c r="R596" s="35" t="s">
        <v>31</v>
      </c>
      <c r="S596" s="35"/>
      <c r="T596" s="35"/>
    </row>
    <row r="597" spans="1:20" ht="15.6" x14ac:dyDescent="0.3">
      <c r="A597" s="35" t="s">
        <v>611</v>
      </c>
      <c r="B597" s="35" t="s">
        <v>334</v>
      </c>
      <c r="C597" s="35" t="s">
        <v>335</v>
      </c>
      <c r="D597" s="35" t="s">
        <v>614</v>
      </c>
      <c r="E597" s="41" t="s">
        <v>511</v>
      </c>
      <c r="F597" s="35" t="s">
        <v>58</v>
      </c>
      <c r="G597" s="35" t="s">
        <v>309</v>
      </c>
      <c r="H597" s="35" t="s">
        <v>56</v>
      </c>
      <c r="I597" s="35" t="s">
        <v>27</v>
      </c>
      <c r="J597" s="35">
        <v>535</v>
      </c>
      <c r="K597" s="35" t="s">
        <v>123</v>
      </c>
      <c r="L597" s="35">
        <v>15</v>
      </c>
      <c r="M597" s="37">
        <v>77505</v>
      </c>
      <c r="N597" s="38">
        <f t="shared" si="10"/>
        <v>5167</v>
      </c>
      <c r="O597" s="35" t="s">
        <v>29</v>
      </c>
      <c r="P597" s="35" t="s">
        <v>30</v>
      </c>
      <c r="Q597" s="36">
        <v>46169</v>
      </c>
      <c r="R597" s="35" t="s">
        <v>31</v>
      </c>
      <c r="S597" s="35"/>
      <c r="T597" s="35"/>
    </row>
    <row r="598" spans="1:20" ht="15.6" x14ac:dyDescent="0.3">
      <c r="A598" s="35" t="s">
        <v>611</v>
      </c>
      <c r="B598" s="35" t="s">
        <v>334</v>
      </c>
      <c r="C598" s="35" t="s">
        <v>335</v>
      </c>
      <c r="D598" s="35" t="s">
        <v>614</v>
      </c>
      <c r="E598" s="35" t="s">
        <v>47</v>
      </c>
      <c r="F598" s="35" t="s">
        <v>58</v>
      </c>
      <c r="G598" s="35" t="s">
        <v>308</v>
      </c>
      <c r="H598" s="35" t="s">
        <v>56</v>
      </c>
      <c r="I598" s="35" t="s">
        <v>27</v>
      </c>
      <c r="J598" s="35">
        <v>535</v>
      </c>
      <c r="K598" s="35" t="s">
        <v>123</v>
      </c>
      <c r="L598" s="35">
        <v>35</v>
      </c>
      <c r="M598" s="37">
        <v>135625</v>
      </c>
      <c r="N598" s="38">
        <f t="shared" si="10"/>
        <v>3875</v>
      </c>
      <c r="O598" s="35" t="s">
        <v>29</v>
      </c>
      <c r="P598" s="35" t="s">
        <v>30</v>
      </c>
      <c r="Q598" s="36">
        <v>46169</v>
      </c>
      <c r="R598" s="35" t="s">
        <v>31</v>
      </c>
      <c r="S598" s="35"/>
      <c r="T598" s="35"/>
    </row>
    <row r="599" spans="1:20" ht="15.6" x14ac:dyDescent="0.3">
      <c r="A599" s="35" t="s">
        <v>611</v>
      </c>
      <c r="B599" s="35" t="s">
        <v>334</v>
      </c>
      <c r="C599" s="35" t="s">
        <v>335</v>
      </c>
      <c r="D599" s="35" t="s">
        <v>614</v>
      </c>
      <c r="E599" s="35" t="s">
        <v>47</v>
      </c>
      <c r="F599" s="35" t="s">
        <v>58</v>
      </c>
      <c r="G599" s="35" t="s">
        <v>310</v>
      </c>
      <c r="H599" s="35" t="s">
        <v>56</v>
      </c>
      <c r="I599" s="35" t="s">
        <v>27</v>
      </c>
      <c r="J599" s="35">
        <v>535</v>
      </c>
      <c r="K599" s="35" t="s">
        <v>123</v>
      </c>
      <c r="L599" s="35">
        <v>3</v>
      </c>
      <c r="M599" s="37">
        <v>15501</v>
      </c>
      <c r="N599" s="38">
        <f t="shared" si="10"/>
        <v>5167</v>
      </c>
      <c r="O599" s="35" t="s">
        <v>29</v>
      </c>
      <c r="P599" s="35" t="s">
        <v>30</v>
      </c>
      <c r="Q599" s="36">
        <v>46169</v>
      </c>
      <c r="R599" s="35" t="s">
        <v>31</v>
      </c>
      <c r="S599" s="35"/>
      <c r="T599" s="35"/>
    </row>
    <row r="600" spans="1:20" ht="15.6" x14ac:dyDescent="0.3">
      <c r="A600" s="35" t="s">
        <v>611</v>
      </c>
      <c r="B600" s="35" t="s">
        <v>334</v>
      </c>
      <c r="C600" s="35" t="s">
        <v>335</v>
      </c>
      <c r="D600" s="35" t="s">
        <v>614</v>
      </c>
      <c r="E600" s="35" t="s">
        <v>47</v>
      </c>
      <c r="F600" s="35" t="s">
        <v>58</v>
      </c>
      <c r="G600" s="35" t="s">
        <v>295</v>
      </c>
      <c r="H600" s="35" t="s">
        <v>56</v>
      </c>
      <c r="I600" s="35" t="s">
        <v>27</v>
      </c>
      <c r="J600" s="35">
        <v>535</v>
      </c>
      <c r="K600" s="35" t="s">
        <v>123</v>
      </c>
      <c r="L600" s="35">
        <v>15</v>
      </c>
      <c r="M600" s="37">
        <v>58125</v>
      </c>
      <c r="N600" s="38">
        <f t="shared" si="10"/>
        <v>3875</v>
      </c>
      <c r="O600" s="35" t="s">
        <v>29</v>
      </c>
      <c r="P600" s="35" t="s">
        <v>30</v>
      </c>
      <c r="Q600" s="36">
        <v>46169</v>
      </c>
      <c r="R600" s="35" t="s">
        <v>31</v>
      </c>
      <c r="S600" s="35"/>
      <c r="T600" s="35"/>
    </row>
    <row r="601" spans="1:20" ht="15.6" x14ac:dyDescent="0.3">
      <c r="A601" s="35" t="s">
        <v>611</v>
      </c>
      <c r="B601" s="35" t="s">
        <v>334</v>
      </c>
      <c r="C601" s="35" t="s">
        <v>335</v>
      </c>
      <c r="D601" s="35" t="s">
        <v>614</v>
      </c>
      <c r="E601" s="35" t="s">
        <v>47</v>
      </c>
      <c r="F601" s="35" t="s">
        <v>58</v>
      </c>
      <c r="G601" s="35" t="s">
        <v>434</v>
      </c>
      <c r="H601" s="35" t="s">
        <v>56</v>
      </c>
      <c r="I601" s="35" t="s">
        <v>27</v>
      </c>
      <c r="J601" s="35">
        <v>535</v>
      </c>
      <c r="K601" s="35" t="s">
        <v>123</v>
      </c>
      <c r="L601" s="35">
        <v>6</v>
      </c>
      <c r="M601" s="37">
        <v>31002</v>
      </c>
      <c r="N601" s="38">
        <f t="shared" si="10"/>
        <v>5167</v>
      </c>
      <c r="O601" s="35" t="s">
        <v>29</v>
      </c>
      <c r="P601" s="35" t="s">
        <v>30</v>
      </c>
      <c r="Q601" s="36">
        <v>46169</v>
      </c>
      <c r="R601" s="35" t="s">
        <v>31</v>
      </c>
      <c r="S601" s="35"/>
      <c r="T601" s="35"/>
    </row>
    <row r="602" spans="1:20" ht="15.6" x14ac:dyDescent="0.3">
      <c r="A602" s="35" t="s">
        <v>611</v>
      </c>
      <c r="B602" s="35" t="s">
        <v>334</v>
      </c>
      <c r="C602" s="35" t="s">
        <v>335</v>
      </c>
      <c r="D602" s="35" t="s">
        <v>614</v>
      </c>
      <c r="E602" s="35" t="s">
        <v>47</v>
      </c>
      <c r="F602" s="35" t="s">
        <v>58</v>
      </c>
      <c r="G602" s="35" t="s">
        <v>435</v>
      </c>
      <c r="H602" s="35" t="s">
        <v>56</v>
      </c>
      <c r="I602" s="35" t="s">
        <v>27</v>
      </c>
      <c r="J602" s="35">
        <v>535</v>
      </c>
      <c r="K602" s="35" t="s">
        <v>123</v>
      </c>
      <c r="L602" s="35">
        <v>15</v>
      </c>
      <c r="M602" s="37">
        <v>58125</v>
      </c>
      <c r="N602" s="38">
        <f t="shared" si="10"/>
        <v>3875</v>
      </c>
      <c r="O602" s="35" t="s">
        <v>29</v>
      </c>
      <c r="P602" s="35" t="s">
        <v>30</v>
      </c>
      <c r="Q602" s="36">
        <v>46169</v>
      </c>
      <c r="R602" s="35" t="s">
        <v>31</v>
      </c>
      <c r="S602" s="35"/>
      <c r="T602" s="35"/>
    </row>
    <row r="603" spans="1:20" ht="15.6" x14ac:dyDescent="0.3">
      <c r="A603" s="35" t="s">
        <v>611</v>
      </c>
      <c r="B603" s="35" t="s">
        <v>334</v>
      </c>
      <c r="C603" s="35" t="s">
        <v>335</v>
      </c>
      <c r="D603" s="35" t="s">
        <v>614</v>
      </c>
      <c r="E603" s="35" t="s">
        <v>47</v>
      </c>
      <c r="F603" s="35" t="s">
        <v>58</v>
      </c>
      <c r="G603" s="35" t="s">
        <v>450</v>
      </c>
      <c r="H603" s="35" t="s">
        <v>56</v>
      </c>
      <c r="I603" s="35" t="s">
        <v>27</v>
      </c>
      <c r="J603" s="35">
        <v>535</v>
      </c>
      <c r="K603" s="35" t="s">
        <v>123</v>
      </c>
      <c r="L603" s="35">
        <v>3</v>
      </c>
      <c r="M603" s="37">
        <v>17052</v>
      </c>
      <c r="N603" s="38">
        <f t="shared" si="10"/>
        <v>5684</v>
      </c>
      <c r="O603" s="35" t="s">
        <v>29</v>
      </c>
      <c r="P603" s="35" t="s">
        <v>30</v>
      </c>
      <c r="Q603" s="36">
        <v>46169</v>
      </c>
      <c r="R603" s="35" t="s">
        <v>31</v>
      </c>
      <c r="S603" s="35"/>
      <c r="T603" s="35"/>
    </row>
    <row r="604" spans="1:20" ht="15.6" x14ac:dyDescent="0.3">
      <c r="A604" s="35" t="s">
        <v>611</v>
      </c>
      <c r="B604" s="35" t="s">
        <v>334</v>
      </c>
      <c r="C604" s="35" t="s">
        <v>335</v>
      </c>
      <c r="D604" s="35" t="s">
        <v>614</v>
      </c>
      <c r="E604" s="35" t="s">
        <v>47</v>
      </c>
      <c r="F604" s="35" t="s">
        <v>58</v>
      </c>
      <c r="G604" s="35" t="s">
        <v>326</v>
      </c>
      <c r="H604" s="35" t="s">
        <v>56</v>
      </c>
      <c r="I604" s="35" t="s">
        <v>27</v>
      </c>
      <c r="J604" s="35">
        <v>535</v>
      </c>
      <c r="K604" s="35" t="s">
        <v>123</v>
      </c>
      <c r="L604" s="35">
        <v>10</v>
      </c>
      <c r="M604" s="37">
        <v>45210</v>
      </c>
      <c r="N604" s="38">
        <f t="shared" si="10"/>
        <v>4521</v>
      </c>
      <c r="O604" s="35" t="s">
        <v>29</v>
      </c>
      <c r="P604" s="35" t="s">
        <v>30</v>
      </c>
      <c r="Q604" s="36">
        <v>46169</v>
      </c>
      <c r="R604" s="35" t="s">
        <v>31</v>
      </c>
      <c r="S604" s="35"/>
      <c r="T604" s="35"/>
    </row>
    <row r="605" spans="1:20" ht="15.6" x14ac:dyDescent="0.3">
      <c r="A605" s="35" t="s">
        <v>611</v>
      </c>
      <c r="B605" s="35" t="s">
        <v>334</v>
      </c>
      <c r="C605" s="35" t="s">
        <v>335</v>
      </c>
      <c r="D605" s="35" t="s">
        <v>614</v>
      </c>
      <c r="E605" s="35" t="s">
        <v>47</v>
      </c>
      <c r="F605" s="35" t="s">
        <v>58</v>
      </c>
      <c r="G605" s="35" t="s">
        <v>474</v>
      </c>
      <c r="H605" s="35" t="s">
        <v>56</v>
      </c>
      <c r="I605" s="35" t="s">
        <v>27</v>
      </c>
      <c r="J605" s="35">
        <v>535</v>
      </c>
      <c r="K605" s="35" t="s">
        <v>123</v>
      </c>
      <c r="L605" s="35">
        <v>2</v>
      </c>
      <c r="M605" s="37">
        <v>13780</v>
      </c>
      <c r="N605" s="38">
        <f t="shared" si="10"/>
        <v>6890</v>
      </c>
      <c r="O605" s="35" t="s">
        <v>29</v>
      </c>
      <c r="P605" s="35" t="s">
        <v>30</v>
      </c>
      <c r="Q605" s="36">
        <v>46169</v>
      </c>
      <c r="R605" s="35" t="s">
        <v>31</v>
      </c>
      <c r="S605" s="35"/>
      <c r="T605" s="35"/>
    </row>
    <row r="606" spans="1:20" ht="15.6" x14ac:dyDescent="0.3">
      <c r="A606" s="35" t="s">
        <v>611</v>
      </c>
      <c r="B606" s="35" t="s">
        <v>334</v>
      </c>
      <c r="C606" s="35" t="s">
        <v>335</v>
      </c>
      <c r="D606" s="35" t="s">
        <v>614</v>
      </c>
      <c r="E606" s="35" t="s">
        <v>47</v>
      </c>
      <c r="F606" s="35" t="s">
        <v>58</v>
      </c>
      <c r="G606" s="35" t="s">
        <v>436</v>
      </c>
      <c r="H606" s="35" t="s">
        <v>56</v>
      </c>
      <c r="I606" s="35" t="s">
        <v>27</v>
      </c>
      <c r="J606" s="35">
        <v>535</v>
      </c>
      <c r="K606" s="35" t="s">
        <v>123</v>
      </c>
      <c r="L606" s="35">
        <v>3</v>
      </c>
      <c r="M606" s="37">
        <v>15501</v>
      </c>
      <c r="N606" s="38">
        <f t="shared" si="10"/>
        <v>5167</v>
      </c>
      <c r="O606" s="35" t="s">
        <v>29</v>
      </c>
      <c r="P606" s="35" t="s">
        <v>30</v>
      </c>
      <c r="Q606" s="36">
        <v>46169</v>
      </c>
      <c r="R606" s="35" t="s">
        <v>31</v>
      </c>
      <c r="S606" s="35"/>
      <c r="T606" s="35"/>
    </row>
    <row r="607" spans="1:20" ht="15.6" x14ac:dyDescent="0.3">
      <c r="A607" s="35" t="s">
        <v>611</v>
      </c>
      <c r="B607" s="35" t="s">
        <v>334</v>
      </c>
      <c r="C607" s="35" t="s">
        <v>335</v>
      </c>
      <c r="D607" s="35" t="s">
        <v>614</v>
      </c>
      <c r="E607" s="35" t="s">
        <v>47</v>
      </c>
      <c r="F607" s="35" t="s">
        <v>58</v>
      </c>
      <c r="G607" s="35" t="s">
        <v>437</v>
      </c>
      <c r="H607" s="35" t="s">
        <v>56</v>
      </c>
      <c r="I607" s="35" t="s">
        <v>27</v>
      </c>
      <c r="J607" s="35">
        <v>535</v>
      </c>
      <c r="K607" s="35" t="s">
        <v>123</v>
      </c>
      <c r="L607" s="35">
        <v>1</v>
      </c>
      <c r="M607" s="37">
        <v>6890</v>
      </c>
      <c r="N607" s="38">
        <f t="shared" si="10"/>
        <v>6890</v>
      </c>
      <c r="O607" s="35" t="s">
        <v>29</v>
      </c>
      <c r="P607" s="35" t="s">
        <v>30</v>
      </c>
      <c r="Q607" s="36">
        <v>46169</v>
      </c>
      <c r="R607" s="35" t="s">
        <v>31</v>
      </c>
      <c r="S607" s="35"/>
      <c r="T607" s="35"/>
    </row>
    <row r="608" spans="1:20" ht="15.6" x14ac:dyDescent="0.3">
      <c r="A608" s="35" t="s">
        <v>611</v>
      </c>
      <c r="B608" s="35" t="s">
        <v>439</v>
      </c>
      <c r="C608" s="35" t="s">
        <v>440</v>
      </c>
      <c r="D608" s="35" t="s">
        <v>614</v>
      </c>
      <c r="E608" s="35" t="s">
        <v>47</v>
      </c>
      <c r="F608" s="35" t="s">
        <v>24</v>
      </c>
      <c r="G608" s="35" t="s">
        <v>244</v>
      </c>
      <c r="H608" s="35" t="s">
        <v>26</v>
      </c>
      <c r="I608" s="35" t="s">
        <v>64</v>
      </c>
      <c r="J608" s="35">
        <v>222</v>
      </c>
      <c r="K608" s="35" t="s">
        <v>123</v>
      </c>
      <c r="L608" s="35">
        <v>100</v>
      </c>
      <c r="M608" s="37">
        <v>710000</v>
      </c>
      <c r="N608" s="38">
        <f t="shared" si="10"/>
        <v>7100</v>
      </c>
      <c r="O608" s="35" t="s">
        <v>29</v>
      </c>
      <c r="P608" s="35" t="s">
        <v>30</v>
      </c>
      <c r="Q608" s="36">
        <v>46142</v>
      </c>
      <c r="R608" s="35" t="s">
        <v>31</v>
      </c>
      <c r="S608" s="35"/>
      <c r="T608" s="35"/>
    </row>
    <row r="609" spans="1:20" ht="15.6" x14ac:dyDescent="0.3">
      <c r="A609" s="35" t="s">
        <v>611</v>
      </c>
      <c r="B609" s="35" t="s">
        <v>202</v>
      </c>
      <c r="C609" s="35" t="s">
        <v>203</v>
      </c>
      <c r="D609" s="35" t="s">
        <v>614</v>
      </c>
      <c r="E609" s="35" t="s">
        <v>40</v>
      </c>
      <c r="F609" s="35" t="s">
        <v>36</v>
      </c>
      <c r="G609" s="35" t="s">
        <v>242</v>
      </c>
      <c r="H609" s="35" t="s">
        <v>26</v>
      </c>
      <c r="I609" s="35" t="s">
        <v>64</v>
      </c>
      <c r="J609" s="35">
        <v>225</v>
      </c>
      <c r="K609" s="35" t="s">
        <v>123</v>
      </c>
      <c r="L609" s="35">
        <v>20</v>
      </c>
      <c r="M609" s="37">
        <v>160000</v>
      </c>
      <c r="N609" s="38">
        <f t="shared" si="10"/>
        <v>8000</v>
      </c>
      <c r="O609" s="35" t="s">
        <v>29</v>
      </c>
      <c r="P609" s="35" t="s">
        <v>30</v>
      </c>
      <c r="Q609" s="36">
        <v>46144</v>
      </c>
      <c r="R609" s="35" t="s">
        <v>31</v>
      </c>
      <c r="S609" s="35"/>
      <c r="T609" s="35"/>
    </row>
    <row r="610" spans="1:20" ht="15.6" x14ac:dyDescent="0.3">
      <c r="A610" s="35" t="s">
        <v>611</v>
      </c>
      <c r="B610" s="35" t="s">
        <v>403</v>
      </c>
      <c r="C610" s="35" t="s">
        <v>404</v>
      </c>
      <c r="D610" s="35" t="s">
        <v>614</v>
      </c>
      <c r="E610" s="35" t="s">
        <v>47</v>
      </c>
      <c r="F610" s="35" t="s">
        <v>58</v>
      </c>
      <c r="G610" s="35" t="s">
        <v>244</v>
      </c>
      <c r="H610" s="35" t="s">
        <v>56</v>
      </c>
      <c r="I610" s="35" t="s">
        <v>64</v>
      </c>
      <c r="J610" s="35">
        <v>227</v>
      </c>
      <c r="K610" s="35" t="s">
        <v>123</v>
      </c>
      <c r="L610" s="35">
        <v>20</v>
      </c>
      <c r="M610" s="37">
        <v>141304</v>
      </c>
      <c r="N610" s="38">
        <f t="shared" si="10"/>
        <v>7065.2</v>
      </c>
      <c r="O610" s="35" t="s">
        <v>29</v>
      </c>
      <c r="P610" s="35" t="s">
        <v>30</v>
      </c>
      <c r="Q610" s="36">
        <v>46172</v>
      </c>
      <c r="R610" s="35" t="s">
        <v>31</v>
      </c>
      <c r="S610" s="35"/>
      <c r="T610" s="35"/>
    </row>
    <row r="611" spans="1:20" ht="15.6" x14ac:dyDescent="0.3">
      <c r="A611" s="35" t="s">
        <v>611</v>
      </c>
      <c r="B611" s="35" t="s">
        <v>403</v>
      </c>
      <c r="C611" s="35" t="s">
        <v>404</v>
      </c>
      <c r="D611" s="35" t="s">
        <v>614</v>
      </c>
      <c r="E611" s="35" t="s">
        <v>47</v>
      </c>
      <c r="F611" s="35" t="s">
        <v>58</v>
      </c>
      <c r="G611" s="35" t="s">
        <v>327</v>
      </c>
      <c r="H611" s="35" t="s">
        <v>56</v>
      </c>
      <c r="I611" s="35" t="s">
        <v>64</v>
      </c>
      <c r="J611" s="35">
        <v>227</v>
      </c>
      <c r="K611" s="35" t="s">
        <v>123</v>
      </c>
      <c r="L611" s="35">
        <v>10</v>
      </c>
      <c r="M611" s="37">
        <v>70652</v>
      </c>
      <c r="N611" s="38">
        <f>M611/L611</f>
        <v>7065.2</v>
      </c>
      <c r="O611" s="35" t="s">
        <v>29</v>
      </c>
      <c r="P611" s="35" t="s">
        <v>30</v>
      </c>
      <c r="Q611" s="36">
        <v>46172</v>
      </c>
      <c r="R611" s="35" t="s">
        <v>31</v>
      </c>
      <c r="S611" s="35"/>
      <c r="T611" s="35"/>
    </row>
    <row r="612" spans="1:20" ht="15.6" x14ac:dyDescent="0.3">
      <c r="A612" s="35" t="s">
        <v>611</v>
      </c>
      <c r="B612" s="35" t="s">
        <v>235</v>
      </c>
      <c r="C612" s="35" t="s">
        <v>236</v>
      </c>
      <c r="D612" s="35" t="s">
        <v>639</v>
      </c>
      <c r="E612" s="35" t="s">
        <v>636</v>
      </c>
      <c r="F612" s="35" t="s">
        <v>54</v>
      </c>
      <c r="G612" s="35" t="s">
        <v>640</v>
      </c>
      <c r="H612" s="35" t="s">
        <v>56</v>
      </c>
      <c r="I612" s="35" t="s">
        <v>27</v>
      </c>
      <c r="J612" s="35">
        <v>536</v>
      </c>
      <c r="K612" s="35" t="s">
        <v>276</v>
      </c>
      <c r="L612" s="35">
        <v>200</v>
      </c>
      <c r="M612" s="37">
        <v>4000000</v>
      </c>
      <c r="N612" s="38">
        <f>M612/L612</f>
        <v>20000</v>
      </c>
      <c r="O612" s="35" t="s">
        <v>29</v>
      </c>
      <c r="P612" s="35" t="s">
        <v>30</v>
      </c>
      <c r="Q612" s="36">
        <v>46084</v>
      </c>
      <c r="R612" s="35" t="s">
        <v>31</v>
      </c>
      <c r="S612" s="35"/>
      <c r="T612" s="35"/>
    </row>
    <row r="613" spans="1:20" ht="15.6" x14ac:dyDescent="0.3">
      <c r="A613" s="35" t="s">
        <v>611</v>
      </c>
      <c r="B613" s="35" t="s">
        <v>641</v>
      </c>
      <c r="C613" s="35" t="s">
        <v>642</v>
      </c>
      <c r="D613" s="35" t="s">
        <v>639</v>
      </c>
      <c r="E613" s="35" t="s">
        <v>40</v>
      </c>
      <c r="F613" s="35" t="s">
        <v>36</v>
      </c>
      <c r="G613" s="35" t="s">
        <v>473</v>
      </c>
      <c r="H613" s="35" t="s">
        <v>56</v>
      </c>
      <c r="I613" s="35" t="s">
        <v>64</v>
      </c>
      <c r="J613" s="35">
        <v>228</v>
      </c>
      <c r="K613" s="35" t="s">
        <v>123</v>
      </c>
      <c r="L613" s="35">
        <v>20</v>
      </c>
      <c r="M613" s="37">
        <v>80000</v>
      </c>
      <c r="N613" s="38">
        <f t="shared" si="10"/>
        <v>4000</v>
      </c>
      <c r="O613" s="35" t="s">
        <v>29</v>
      </c>
      <c r="P613" s="35" t="s">
        <v>30</v>
      </c>
      <c r="Q613" s="36">
        <v>46145</v>
      </c>
      <c r="R613" s="35" t="s">
        <v>31</v>
      </c>
      <c r="S613" s="35"/>
      <c r="T613" s="35"/>
    </row>
    <row r="614" spans="1:20" ht="15.6" x14ac:dyDescent="0.3">
      <c r="A614" s="35" t="s">
        <v>611</v>
      </c>
      <c r="B614" s="35" t="s">
        <v>641</v>
      </c>
      <c r="C614" s="35" t="s">
        <v>642</v>
      </c>
      <c r="D614" s="35" t="s">
        <v>639</v>
      </c>
      <c r="E614" s="35" t="s">
        <v>40</v>
      </c>
      <c r="F614" s="35" t="s">
        <v>36</v>
      </c>
      <c r="G614" s="35" t="s">
        <v>643</v>
      </c>
      <c r="H614" s="35" t="s">
        <v>56</v>
      </c>
      <c r="I614" s="35" t="s">
        <v>64</v>
      </c>
      <c r="J614" s="35">
        <v>228</v>
      </c>
      <c r="K614" s="35" t="s">
        <v>123</v>
      </c>
      <c r="L614" s="35">
        <v>20</v>
      </c>
      <c r="M614" s="37">
        <v>80000</v>
      </c>
      <c r="N614" s="38">
        <f>M614/L614</f>
        <v>4000</v>
      </c>
      <c r="O614" s="35" t="s">
        <v>29</v>
      </c>
      <c r="P614" s="35" t="s">
        <v>30</v>
      </c>
      <c r="Q614" s="36">
        <v>46145</v>
      </c>
      <c r="R614" s="35" t="s">
        <v>31</v>
      </c>
      <c r="S614" s="35"/>
      <c r="T614" s="35"/>
    </row>
    <row r="615" spans="1:20" ht="15.6" x14ac:dyDescent="0.3">
      <c r="A615" s="35" t="s">
        <v>611</v>
      </c>
      <c r="B615" s="35" t="s">
        <v>641</v>
      </c>
      <c r="C615" s="35" t="s">
        <v>642</v>
      </c>
      <c r="D615" s="35" t="s">
        <v>639</v>
      </c>
      <c r="E615" s="35" t="s">
        <v>40</v>
      </c>
      <c r="F615" s="35" t="s">
        <v>36</v>
      </c>
      <c r="G615" s="35" t="s">
        <v>257</v>
      </c>
      <c r="H615" s="35" t="s">
        <v>56</v>
      </c>
      <c r="I615" s="35" t="s">
        <v>64</v>
      </c>
      <c r="J615" s="35">
        <v>228</v>
      </c>
      <c r="K615" s="35" t="s">
        <v>123</v>
      </c>
      <c r="L615" s="35">
        <v>20</v>
      </c>
      <c r="M615" s="37">
        <v>120000</v>
      </c>
      <c r="N615" s="38">
        <f>M615/L615</f>
        <v>6000</v>
      </c>
      <c r="O615" s="35" t="s">
        <v>29</v>
      </c>
      <c r="P615" s="35" t="s">
        <v>30</v>
      </c>
      <c r="Q615" s="36">
        <v>46145</v>
      </c>
      <c r="R615" s="35" t="s">
        <v>31</v>
      </c>
      <c r="S615" s="35"/>
      <c r="T615" s="35"/>
    </row>
    <row r="616" spans="1:20" ht="15.6" x14ac:dyDescent="0.3">
      <c r="A616" s="35" t="s">
        <v>611</v>
      </c>
      <c r="B616" s="35" t="s">
        <v>644</v>
      </c>
      <c r="C616" s="35" t="s">
        <v>645</v>
      </c>
      <c r="D616" s="35" t="s">
        <v>639</v>
      </c>
      <c r="E616" s="35" t="s">
        <v>40</v>
      </c>
      <c r="F616" s="35" t="s">
        <v>217</v>
      </c>
      <c r="G616" s="35" t="s">
        <v>650</v>
      </c>
      <c r="H616" s="35" t="s">
        <v>26</v>
      </c>
      <c r="I616" s="35" t="s">
        <v>27</v>
      </c>
      <c r="J616" s="35">
        <v>537</v>
      </c>
      <c r="K616" s="35" t="s">
        <v>7</v>
      </c>
      <c r="L616" s="35">
        <v>1</v>
      </c>
      <c r="M616" s="37">
        <v>0</v>
      </c>
      <c r="N616" s="38">
        <f t="shared" ref="N616:N619" si="11">M616/L616</f>
        <v>0</v>
      </c>
      <c r="O616" s="35" t="s">
        <v>29</v>
      </c>
      <c r="P616" s="35" t="s">
        <v>30</v>
      </c>
      <c r="Q616" s="35"/>
      <c r="R616" s="35" t="s">
        <v>31</v>
      </c>
      <c r="S616" s="35" t="s">
        <v>548</v>
      </c>
      <c r="T616" s="35"/>
    </row>
    <row r="617" spans="1:20" ht="15.6" x14ac:dyDescent="0.3">
      <c r="A617" s="35" t="s">
        <v>611</v>
      </c>
      <c r="B617" s="35" t="s">
        <v>646</v>
      </c>
      <c r="C617" s="35" t="s">
        <v>647</v>
      </c>
      <c r="D617" s="35" t="s">
        <v>639</v>
      </c>
      <c r="E617" s="35" t="s">
        <v>40</v>
      </c>
      <c r="F617" s="35" t="s">
        <v>36</v>
      </c>
      <c r="G617" s="35" t="s">
        <v>651</v>
      </c>
      <c r="H617" s="35" t="s">
        <v>26</v>
      </c>
      <c r="I617" s="35" t="s">
        <v>27</v>
      </c>
      <c r="J617" s="35">
        <v>538</v>
      </c>
      <c r="K617" s="35" t="s">
        <v>28</v>
      </c>
      <c r="L617" s="35">
        <v>200</v>
      </c>
      <c r="M617" s="37">
        <v>0</v>
      </c>
      <c r="N617" s="38">
        <f>M617/L617</f>
        <v>0</v>
      </c>
      <c r="O617" s="35" t="s">
        <v>29</v>
      </c>
      <c r="P617" s="35" t="s">
        <v>30</v>
      </c>
      <c r="Q617" s="35"/>
      <c r="R617" s="35" t="s">
        <v>31</v>
      </c>
      <c r="S617" s="35" t="s">
        <v>652</v>
      </c>
      <c r="T617" s="36">
        <v>46001</v>
      </c>
    </row>
    <row r="618" spans="1:20" ht="15.6" x14ac:dyDescent="0.3">
      <c r="A618" s="35" t="s">
        <v>611</v>
      </c>
      <c r="B618" s="35" t="s">
        <v>648</v>
      </c>
      <c r="C618" s="35" t="s">
        <v>649</v>
      </c>
      <c r="D618" s="35" t="s">
        <v>639</v>
      </c>
      <c r="E618" s="35" t="s">
        <v>40</v>
      </c>
      <c r="F618" s="35" t="s">
        <v>36</v>
      </c>
      <c r="G618" s="35" t="s">
        <v>258</v>
      </c>
      <c r="H618" s="35" t="s">
        <v>26</v>
      </c>
      <c r="I618" s="35" t="s">
        <v>27</v>
      </c>
      <c r="J618" s="35">
        <v>539</v>
      </c>
      <c r="K618" s="35" t="s">
        <v>123</v>
      </c>
      <c r="L618" s="35">
        <v>10</v>
      </c>
      <c r="M618" s="37">
        <v>65000</v>
      </c>
      <c r="N618" s="38">
        <f>M618/L618</f>
        <v>6500</v>
      </c>
      <c r="O618" s="35" t="s">
        <v>29</v>
      </c>
      <c r="P618" s="35" t="s">
        <v>30</v>
      </c>
      <c r="Q618" s="36">
        <v>46084</v>
      </c>
      <c r="R618" s="35" t="s">
        <v>31</v>
      </c>
      <c r="S618" s="35"/>
      <c r="T618" s="35"/>
    </row>
    <row r="619" spans="1:20" ht="15.6" x14ac:dyDescent="0.3">
      <c r="A619" s="35" t="s">
        <v>611</v>
      </c>
      <c r="B619" s="35" t="s">
        <v>480</v>
      </c>
      <c r="C619" s="35" t="s">
        <v>481</v>
      </c>
      <c r="D619" s="35" t="s">
        <v>639</v>
      </c>
      <c r="E619" s="41" t="s">
        <v>23</v>
      </c>
      <c r="F619" s="35" t="s">
        <v>482</v>
      </c>
      <c r="G619" s="35" t="s">
        <v>397</v>
      </c>
      <c r="H619" s="35" t="s">
        <v>26</v>
      </c>
      <c r="I619" s="35" t="s">
        <v>27</v>
      </c>
      <c r="J619" s="35">
        <v>540</v>
      </c>
      <c r="K619" s="35" t="s">
        <v>276</v>
      </c>
      <c r="L619" s="35">
        <v>5</v>
      </c>
      <c r="M619" s="37">
        <v>0</v>
      </c>
      <c r="N619" s="38">
        <f t="shared" si="11"/>
        <v>0</v>
      </c>
      <c r="O619" s="35" t="s">
        <v>29</v>
      </c>
      <c r="P619" s="35" t="s">
        <v>30</v>
      </c>
      <c r="Q619" s="35"/>
      <c r="R619" s="35" t="s">
        <v>31</v>
      </c>
      <c r="S619" s="35" t="s">
        <v>653</v>
      </c>
      <c r="T619" s="35"/>
    </row>
    <row r="620" spans="1:20" ht="15.6" x14ac:dyDescent="0.3">
      <c r="A620" s="35" t="s">
        <v>611</v>
      </c>
      <c r="B620" s="35" t="s">
        <v>480</v>
      </c>
      <c r="C620" s="35" t="s">
        <v>481</v>
      </c>
      <c r="D620" s="35" t="s">
        <v>639</v>
      </c>
      <c r="E620" s="41" t="s">
        <v>23</v>
      </c>
      <c r="F620" s="35" t="s">
        <v>482</v>
      </c>
      <c r="G620" s="35" t="s">
        <v>396</v>
      </c>
      <c r="H620" s="35" t="s">
        <v>26</v>
      </c>
      <c r="I620" s="35" t="s">
        <v>27</v>
      </c>
      <c r="J620" s="35">
        <v>540</v>
      </c>
      <c r="K620" s="35" t="s">
        <v>276</v>
      </c>
      <c r="L620" s="35">
        <v>3</v>
      </c>
      <c r="M620" s="37">
        <v>0</v>
      </c>
      <c r="N620" s="38">
        <f t="shared" ref="N620:N652" si="12">M620/L620</f>
        <v>0</v>
      </c>
      <c r="O620" s="35" t="s">
        <v>29</v>
      </c>
      <c r="P620" s="35" t="s">
        <v>30</v>
      </c>
      <c r="Q620" s="35"/>
      <c r="R620" s="35" t="s">
        <v>31</v>
      </c>
      <c r="S620" s="35" t="s">
        <v>653</v>
      </c>
      <c r="T620" s="35"/>
    </row>
    <row r="621" spans="1:20" ht="15.6" x14ac:dyDescent="0.3">
      <c r="A621" s="35" t="s">
        <v>611</v>
      </c>
      <c r="B621" s="37" t="s">
        <v>654</v>
      </c>
      <c r="C621" s="37" t="s">
        <v>655</v>
      </c>
      <c r="D621" s="37" t="s">
        <v>656</v>
      </c>
      <c r="E621" s="41" t="s">
        <v>23</v>
      </c>
      <c r="F621" s="37" t="s">
        <v>482</v>
      </c>
      <c r="G621" s="37" t="s">
        <v>544</v>
      </c>
      <c r="H621" s="37" t="s">
        <v>56</v>
      </c>
      <c r="I621" s="37" t="s">
        <v>27</v>
      </c>
      <c r="J621" s="37">
        <v>541</v>
      </c>
      <c r="K621" s="37" t="s">
        <v>276</v>
      </c>
      <c r="L621" s="37">
        <v>5</v>
      </c>
      <c r="M621" s="37">
        <v>0</v>
      </c>
      <c r="N621" s="38">
        <f t="shared" si="12"/>
        <v>0</v>
      </c>
      <c r="O621" s="37" t="s">
        <v>29</v>
      </c>
      <c r="P621" s="37" t="s">
        <v>30</v>
      </c>
      <c r="Q621" s="36">
        <v>46085</v>
      </c>
      <c r="R621" s="37" t="s">
        <v>31</v>
      </c>
      <c r="S621" s="35"/>
      <c r="T621" s="35"/>
    </row>
    <row r="622" spans="1:20" ht="15.6" x14ac:dyDescent="0.3">
      <c r="A622" s="35" t="s">
        <v>611</v>
      </c>
      <c r="B622" s="37" t="s">
        <v>654</v>
      </c>
      <c r="C622" s="37" t="s">
        <v>655</v>
      </c>
      <c r="D622" s="37" t="s">
        <v>656</v>
      </c>
      <c r="E622" s="41" t="s">
        <v>23</v>
      </c>
      <c r="F622" s="37" t="s">
        <v>482</v>
      </c>
      <c r="G622" s="37" t="s">
        <v>483</v>
      </c>
      <c r="H622" s="37" t="s">
        <v>56</v>
      </c>
      <c r="I622" s="37" t="s">
        <v>27</v>
      </c>
      <c r="J622" s="37">
        <v>541</v>
      </c>
      <c r="K622" s="37" t="s">
        <v>276</v>
      </c>
      <c r="L622" s="37">
        <v>2</v>
      </c>
      <c r="M622" s="37">
        <v>0</v>
      </c>
      <c r="N622" s="38">
        <f t="shared" si="12"/>
        <v>0</v>
      </c>
      <c r="O622" s="37" t="s">
        <v>29</v>
      </c>
      <c r="P622" s="37" t="s">
        <v>30</v>
      </c>
      <c r="Q622" s="36">
        <v>46085</v>
      </c>
      <c r="R622" s="37" t="s">
        <v>31</v>
      </c>
      <c r="S622" s="35"/>
      <c r="T622" s="35"/>
    </row>
    <row r="623" spans="1:20" ht="15.6" x14ac:dyDescent="0.3">
      <c r="A623" s="35" t="s">
        <v>611</v>
      </c>
      <c r="B623" s="37" t="s">
        <v>654</v>
      </c>
      <c r="C623" s="37" t="s">
        <v>655</v>
      </c>
      <c r="D623" s="37" t="s">
        <v>656</v>
      </c>
      <c r="E623" s="41" t="s">
        <v>23</v>
      </c>
      <c r="F623" s="37" t="s">
        <v>482</v>
      </c>
      <c r="G623" s="37" t="s">
        <v>413</v>
      </c>
      <c r="H623" s="37" t="s">
        <v>56</v>
      </c>
      <c r="I623" s="37" t="s">
        <v>27</v>
      </c>
      <c r="J623" s="37">
        <v>541</v>
      </c>
      <c r="K623" s="37" t="s">
        <v>276</v>
      </c>
      <c r="L623" s="37">
        <v>2</v>
      </c>
      <c r="M623" s="37">
        <v>0</v>
      </c>
      <c r="N623" s="38">
        <f t="shared" si="12"/>
        <v>0</v>
      </c>
      <c r="O623" s="37" t="s">
        <v>29</v>
      </c>
      <c r="P623" s="37" t="s">
        <v>30</v>
      </c>
      <c r="Q623" s="36">
        <v>46085</v>
      </c>
      <c r="R623" s="37" t="s">
        <v>31</v>
      </c>
      <c r="S623" s="35"/>
      <c r="T623" s="35"/>
    </row>
    <row r="624" spans="1:20" ht="15.6" x14ac:dyDescent="0.3">
      <c r="A624" s="35" t="s">
        <v>611</v>
      </c>
      <c r="B624" s="37" t="s">
        <v>654</v>
      </c>
      <c r="C624" s="37" t="s">
        <v>655</v>
      </c>
      <c r="D624" s="37" t="s">
        <v>656</v>
      </c>
      <c r="E624" s="41" t="s">
        <v>23</v>
      </c>
      <c r="F624" s="37" t="s">
        <v>482</v>
      </c>
      <c r="G624" s="37" t="s">
        <v>657</v>
      </c>
      <c r="H624" s="37" t="s">
        <v>56</v>
      </c>
      <c r="I624" s="37" t="s">
        <v>27</v>
      </c>
      <c r="J624" s="37">
        <v>541</v>
      </c>
      <c r="K624" s="37" t="s">
        <v>276</v>
      </c>
      <c r="L624" s="37">
        <v>2</v>
      </c>
      <c r="M624" s="37">
        <v>0</v>
      </c>
      <c r="N624" s="38">
        <f t="shared" si="12"/>
        <v>0</v>
      </c>
      <c r="O624" s="37" t="s">
        <v>29</v>
      </c>
      <c r="P624" s="37" t="s">
        <v>30</v>
      </c>
      <c r="Q624" s="36">
        <v>46085</v>
      </c>
      <c r="R624" s="37" t="s">
        <v>31</v>
      </c>
      <c r="S624" s="35"/>
      <c r="T624" s="35"/>
    </row>
    <row r="625" spans="1:20" ht="15.6" x14ac:dyDescent="0.3">
      <c r="A625" s="35" t="s">
        <v>611</v>
      </c>
      <c r="B625" s="37" t="s">
        <v>654</v>
      </c>
      <c r="C625" s="37" t="s">
        <v>655</v>
      </c>
      <c r="D625" s="37" t="s">
        <v>656</v>
      </c>
      <c r="E625" s="41" t="s">
        <v>23</v>
      </c>
      <c r="F625" s="37" t="s">
        <v>482</v>
      </c>
      <c r="G625" s="37" t="s">
        <v>658</v>
      </c>
      <c r="H625" s="37" t="s">
        <v>56</v>
      </c>
      <c r="I625" s="37" t="s">
        <v>27</v>
      </c>
      <c r="J625" s="37">
        <v>541</v>
      </c>
      <c r="K625" s="37" t="s">
        <v>276</v>
      </c>
      <c r="L625" s="37">
        <v>3</v>
      </c>
      <c r="M625" s="37">
        <v>0</v>
      </c>
      <c r="N625" s="38">
        <f t="shared" si="12"/>
        <v>0</v>
      </c>
      <c r="O625" s="37" t="s">
        <v>29</v>
      </c>
      <c r="P625" s="37" t="s">
        <v>30</v>
      </c>
      <c r="Q625" s="36">
        <v>46085</v>
      </c>
      <c r="R625" s="37" t="s">
        <v>31</v>
      </c>
      <c r="S625" s="35"/>
      <c r="T625" s="35"/>
    </row>
    <row r="626" spans="1:20" ht="15.6" x14ac:dyDescent="0.3">
      <c r="A626" s="35" t="s">
        <v>611</v>
      </c>
      <c r="B626" s="37" t="s">
        <v>654</v>
      </c>
      <c r="C626" s="37" t="s">
        <v>655</v>
      </c>
      <c r="D626" s="37" t="s">
        <v>656</v>
      </c>
      <c r="E626" s="41" t="s">
        <v>23</v>
      </c>
      <c r="F626" s="37" t="s">
        <v>482</v>
      </c>
      <c r="G626" s="37" t="s">
        <v>275</v>
      </c>
      <c r="H626" s="37" t="s">
        <v>56</v>
      </c>
      <c r="I626" s="37" t="s">
        <v>27</v>
      </c>
      <c r="J626" s="37">
        <v>541</v>
      </c>
      <c r="K626" s="37" t="s">
        <v>276</v>
      </c>
      <c r="L626" s="37">
        <v>1</v>
      </c>
      <c r="M626" s="37">
        <v>0</v>
      </c>
      <c r="N626" s="38">
        <f t="shared" si="12"/>
        <v>0</v>
      </c>
      <c r="O626" s="37" t="s">
        <v>29</v>
      </c>
      <c r="P626" s="37" t="s">
        <v>30</v>
      </c>
      <c r="Q626" s="36">
        <v>46085</v>
      </c>
      <c r="R626" s="37" t="s">
        <v>31</v>
      </c>
      <c r="S626" s="35"/>
      <c r="T626" s="35"/>
    </row>
    <row r="627" spans="1:20" ht="15.6" x14ac:dyDescent="0.3">
      <c r="A627" s="35" t="s">
        <v>611</v>
      </c>
      <c r="B627" s="37" t="s">
        <v>765</v>
      </c>
      <c r="C627" s="37" t="s">
        <v>764</v>
      </c>
      <c r="D627" s="37" t="s">
        <v>656</v>
      </c>
      <c r="E627" s="37" t="s">
        <v>40</v>
      </c>
      <c r="F627" s="37" t="s">
        <v>36</v>
      </c>
      <c r="G627" s="37" t="s">
        <v>766</v>
      </c>
      <c r="H627" s="37" t="s">
        <v>56</v>
      </c>
      <c r="I627" s="37" t="s">
        <v>767</v>
      </c>
      <c r="J627" s="37">
        <v>62</v>
      </c>
      <c r="K627" s="37" t="s">
        <v>28</v>
      </c>
      <c r="L627" s="37">
        <v>9</v>
      </c>
      <c r="M627" s="37">
        <v>96000</v>
      </c>
      <c r="N627" s="38">
        <f t="shared" si="12"/>
        <v>10666.666666666666</v>
      </c>
      <c r="O627" s="37" t="s">
        <v>29</v>
      </c>
      <c r="P627" s="37" t="s">
        <v>30</v>
      </c>
      <c r="Q627" s="36">
        <v>46085</v>
      </c>
      <c r="R627" s="37" t="s">
        <v>31</v>
      </c>
      <c r="S627" s="35"/>
      <c r="T627" s="35"/>
    </row>
    <row r="628" spans="1:20" ht="15.6" x14ac:dyDescent="0.3">
      <c r="A628" s="35" t="s">
        <v>611</v>
      </c>
      <c r="B628" s="37" t="s">
        <v>659</v>
      </c>
      <c r="C628" s="37" t="s">
        <v>660</v>
      </c>
      <c r="D628" s="37" t="s">
        <v>656</v>
      </c>
      <c r="E628" s="41" t="s">
        <v>23</v>
      </c>
      <c r="F628" s="37" t="s">
        <v>482</v>
      </c>
      <c r="G628" s="37" t="s">
        <v>397</v>
      </c>
      <c r="H628" s="37" t="s">
        <v>56</v>
      </c>
      <c r="I628" s="37" t="s">
        <v>27</v>
      </c>
      <c r="J628" s="37">
        <v>542</v>
      </c>
      <c r="K628" s="37" t="s">
        <v>276</v>
      </c>
      <c r="L628" s="37">
        <v>12</v>
      </c>
      <c r="M628" s="37">
        <v>0</v>
      </c>
      <c r="N628" s="38">
        <f t="shared" si="12"/>
        <v>0</v>
      </c>
      <c r="O628" s="37" t="s">
        <v>29</v>
      </c>
      <c r="P628" s="37" t="s">
        <v>30</v>
      </c>
      <c r="Q628" s="36">
        <v>46085</v>
      </c>
      <c r="R628" s="37" t="s">
        <v>31</v>
      </c>
      <c r="S628" s="35"/>
      <c r="T628" s="35"/>
    </row>
    <row r="629" spans="1:20" ht="15.6" x14ac:dyDescent="0.3">
      <c r="A629" s="35" t="s">
        <v>611</v>
      </c>
      <c r="B629" s="37" t="s">
        <v>659</v>
      </c>
      <c r="C629" s="37" t="s">
        <v>660</v>
      </c>
      <c r="D629" s="37" t="s">
        <v>656</v>
      </c>
      <c r="E629" s="41" t="s">
        <v>23</v>
      </c>
      <c r="F629" s="37" t="s">
        <v>482</v>
      </c>
      <c r="G629" s="37" t="s">
        <v>398</v>
      </c>
      <c r="H629" s="37" t="s">
        <v>56</v>
      </c>
      <c r="I629" s="37" t="s">
        <v>27</v>
      </c>
      <c r="J629" s="37">
        <v>542</v>
      </c>
      <c r="K629" s="37" t="s">
        <v>276</v>
      </c>
      <c r="L629" s="37">
        <v>12</v>
      </c>
      <c r="M629" s="37">
        <v>0</v>
      </c>
      <c r="N629" s="38">
        <f t="shared" si="12"/>
        <v>0</v>
      </c>
      <c r="O629" s="37" t="s">
        <v>29</v>
      </c>
      <c r="P629" s="37" t="s">
        <v>30</v>
      </c>
      <c r="Q629" s="36">
        <v>46085</v>
      </c>
      <c r="R629" s="37" t="s">
        <v>31</v>
      </c>
      <c r="S629" s="35"/>
      <c r="T629" s="35"/>
    </row>
    <row r="630" spans="1:20" ht="15.6" x14ac:dyDescent="0.3">
      <c r="A630" s="35" t="s">
        <v>611</v>
      </c>
      <c r="B630" s="37" t="s">
        <v>659</v>
      </c>
      <c r="C630" s="37" t="s">
        <v>660</v>
      </c>
      <c r="D630" s="37" t="s">
        <v>656</v>
      </c>
      <c r="E630" s="41" t="s">
        <v>23</v>
      </c>
      <c r="F630" s="37" t="s">
        <v>482</v>
      </c>
      <c r="G630" s="37" t="s">
        <v>420</v>
      </c>
      <c r="H630" s="37" t="s">
        <v>56</v>
      </c>
      <c r="I630" s="37" t="s">
        <v>27</v>
      </c>
      <c r="J630" s="37">
        <v>542</v>
      </c>
      <c r="K630" s="37" t="s">
        <v>276</v>
      </c>
      <c r="L630" s="37">
        <v>6</v>
      </c>
      <c r="M630" s="37">
        <v>0</v>
      </c>
      <c r="N630" s="38">
        <f t="shared" si="12"/>
        <v>0</v>
      </c>
      <c r="O630" s="37" t="s">
        <v>29</v>
      </c>
      <c r="P630" s="37" t="s">
        <v>30</v>
      </c>
      <c r="Q630" s="36">
        <v>46085</v>
      </c>
      <c r="R630" s="37" t="s">
        <v>31</v>
      </c>
      <c r="S630" s="35"/>
      <c r="T630" s="35"/>
    </row>
    <row r="631" spans="1:20" ht="15.6" x14ac:dyDescent="0.3">
      <c r="A631" s="35" t="s">
        <v>611</v>
      </c>
      <c r="B631" s="37" t="s">
        <v>659</v>
      </c>
      <c r="C631" s="37" t="s">
        <v>660</v>
      </c>
      <c r="D631" s="37" t="s">
        <v>656</v>
      </c>
      <c r="E631" s="41" t="s">
        <v>23</v>
      </c>
      <c r="F631" s="37" t="s">
        <v>482</v>
      </c>
      <c r="G631" s="37" t="s">
        <v>399</v>
      </c>
      <c r="H631" s="37" t="s">
        <v>56</v>
      </c>
      <c r="I631" s="37" t="s">
        <v>27</v>
      </c>
      <c r="J631" s="37">
        <v>542</v>
      </c>
      <c r="K631" s="37" t="s">
        <v>276</v>
      </c>
      <c r="L631" s="37">
        <v>10</v>
      </c>
      <c r="M631" s="37">
        <v>0</v>
      </c>
      <c r="N631" s="38">
        <f t="shared" si="12"/>
        <v>0</v>
      </c>
      <c r="O631" s="37" t="s">
        <v>29</v>
      </c>
      <c r="P631" s="37" t="s">
        <v>30</v>
      </c>
      <c r="Q631" s="36">
        <v>46085</v>
      </c>
      <c r="R631" s="37" t="s">
        <v>31</v>
      </c>
      <c r="S631" s="35"/>
      <c r="T631" s="35"/>
    </row>
    <row r="632" spans="1:20" ht="15.6" x14ac:dyDescent="0.3">
      <c r="A632" s="35" t="s">
        <v>611</v>
      </c>
      <c r="B632" s="37" t="s">
        <v>659</v>
      </c>
      <c r="C632" s="37" t="s">
        <v>660</v>
      </c>
      <c r="D632" s="37" t="s">
        <v>656</v>
      </c>
      <c r="E632" s="41" t="s">
        <v>23</v>
      </c>
      <c r="F632" s="37" t="s">
        <v>482</v>
      </c>
      <c r="G632" s="37" t="s">
        <v>419</v>
      </c>
      <c r="H632" s="37" t="s">
        <v>56</v>
      </c>
      <c r="I632" s="37" t="s">
        <v>27</v>
      </c>
      <c r="J632" s="37">
        <v>542</v>
      </c>
      <c r="K632" s="37" t="s">
        <v>276</v>
      </c>
      <c r="L632" s="37">
        <v>6</v>
      </c>
      <c r="M632" s="37">
        <v>0</v>
      </c>
      <c r="N632" s="38">
        <f t="shared" si="12"/>
        <v>0</v>
      </c>
      <c r="O632" s="37" t="s">
        <v>29</v>
      </c>
      <c r="P632" s="37" t="s">
        <v>30</v>
      </c>
      <c r="Q632" s="36">
        <v>46085</v>
      </c>
      <c r="R632" s="37" t="s">
        <v>31</v>
      </c>
      <c r="S632" s="35"/>
      <c r="T632" s="35"/>
    </row>
    <row r="633" spans="1:20" ht="15.6" x14ac:dyDescent="0.3">
      <c r="A633" s="35" t="s">
        <v>611</v>
      </c>
      <c r="B633" s="37" t="s">
        <v>94</v>
      </c>
      <c r="C633" s="37" t="s">
        <v>95</v>
      </c>
      <c r="D633" s="37" t="s">
        <v>656</v>
      </c>
      <c r="E633" s="37" t="s">
        <v>40</v>
      </c>
      <c r="F633" s="37" t="s">
        <v>36</v>
      </c>
      <c r="G633" s="37" t="s">
        <v>244</v>
      </c>
      <c r="H633" s="37" t="s">
        <v>56</v>
      </c>
      <c r="I633" s="37" t="s">
        <v>27</v>
      </c>
      <c r="J633" s="37">
        <v>543</v>
      </c>
      <c r="K633" s="37" t="s">
        <v>123</v>
      </c>
      <c r="L633" s="37">
        <v>20</v>
      </c>
      <c r="M633" s="37">
        <v>170000</v>
      </c>
      <c r="N633" s="38">
        <f t="shared" si="12"/>
        <v>8500</v>
      </c>
      <c r="O633" s="37" t="s">
        <v>29</v>
      </c>
      <c r="P633" s="37" t="s">
        <v>30</v>
      </c>
      <c r="Q633" s="36">
        <v>46118</v>
      </c>
      <c r="R633" s="37" t="s">
        <v>31</v>
      </c>
      <c r="S633" s="35"/>
      <c r="T633" s="35"/>
    </row>
    <row r="634" spans="1:20" ht="15.6" x14ac:dyDescent="0.3">
      <c r="A634" s="35" t="s">
        <v>611</v>
      </c>
      <c r="B634" s="37" t="s">
        <v>94</v>
      </c>
      <c r="C634" s="37" t="s">
        <v>95</v>
      </c>
      <c r="D634" s="37" t="s">
        <v>656</v>
      </c>
      <c r="E634" s="37" t="s">
        <v>40</v>
      </c>
      <c r="F634" s="37" t="s">
        <v>36</v>
      </c>
      <c r="G634" s="37" t="s">
        <v>327</v>
      </c>
      <c r="H634" s="37" t="s">
        <v>56</v>
      </c>
      <c r="I634" s="37" t="s">
        <v>27</v>
      </c>
      <c r="J634" s="37">
        <v>543</v>
      </c>
      <c r="K634" s="37" t="s">
        <v>123</v>
      </c>
      <c r="L634" s="37">
        <v>10</v>
      </c>
      <c r="M634" s="37">
        <v>85000</v>
      </c>
      <c r="N634" s="38">
        <f t="shared" si="12"/>
        <v>8500</v>
      </c>
      <c r="O634" s="37" t="s">
        <v>29</v>
      </c>
      <c r="P634" s="37" t="s">
        <v>30</v>
      </c>
      <c r="Q634" s="36">
        <v>46118</v>
      </c>
      <c r="R634" s="37" t="s">
        <v>31</v>
      </c>
      <c r="S634" s="35"/>
      <c r="T634" s="35"/>
    </row>
    <row r="635" spans="1:20" ht="15.6" x14ac:dyDescent="0.3">
      <c r="A635" s="35" t="s">
        <v>611</v>
      </c>
      <c r="B635" s="35" t="s">
        <v>661</v>
      </c>
      <c r="C635" s="35" t="s">
        <v>662</v>
      </c>
      <c r="D635" s="35" t="s">
        <v>663</v>
      </c>
      <c r="E635" s="35" t="s">
        <v>47</v>
      </c>
      <c r="F635" s="35" t="s">
        <v>58</v>
      </c>
      <c r="G635" s="35" t="s">
        <v>294</v>
      </c>
      <c r="H635" s="35" t="s">
        <v>56</v>
      </c>
      <c r="I635" s="35" t="s">
        <v>27</v>
      </c>
      <c r="J635" s="35">
        <v>544</v>
      </c>
      <c r="K635" s="35" t="s">
        <v>123</v>
      </c>
      <c r="L635" s="35">
        <v>5</v>
      </c>
      <c r="M635" s="37">
        <v>17700</v>
      </c>
      <c r="N635" s="38">
        <f t="shared" si="12"/>
        <v>3540</v>
      </c>
      <c r="O635" s="37" t="s">
        <v>29</v>
      </c>
      <c r="P635" s="37" t="s">
        <v>30</v>
      </c>
      <c r="Q635" s="36">
        <v>46086</v>
      </c>
      <c r="R635" s="37" t="s">
        <v>31</v>
      </c>
      <c r="S635" s="35"/>
      <c r="T635" s="35"/>
    </row>
    <row r="636" spans="1:20" ht="15.6" x14ac:dyDescent="0.3">
      <c r="A636" s="35" t="s">
        <v>611</v>
      </c>
      <c r="B636" s="35" t="s">
        <v>661</v>
      </c>
      <c r="C636" s="35" t="s">
        <v>662</v>
      </c>
      <c r="D636" s="35" t="s">
        <v>663</v>
      </c>
      <c r="E636" s="35" t="s">
        <v>47</v>
      </c>
      <c r="F636" s="35" t="s">
        <v>58</v>
      </c>
      <c r="G636" s="35" t="s">
        <v>295</v>
      </c>
      <c r="H636" s="35" t="s">
        <v>56</v>
      </c>
      <c r="I636" s="35" t="s">
        <v>27</v>
      </c>
      <c r="J636" s="35">
        <v>544</v>
      </c>
      <c r="K636" s="35" t="s">
        <v>123</v>
      </c>
      <c r="L636" s="35">
        <v>5</v>
      </c>
      <c r="M636" s="37">
        <v>17700</v>
      </c>
      <c r="N636" s="38">
        <f t="shared" si="12"/>
        <v>3540</v>
      </c>
      <c r="O636" s="37" t="s">
        <v>29</v>
      </c>
      <c r="P636" s="37" t="s">
        <v>30</v>
      </c>
      <c r="Q636" s="36">
        <v>46086</v>
      </c>
      <c r="R636" s="37" t="s">
        <v>31</v>
      </c>
      <c r="S636" s="35"/>
      <c r="T636" s="35"/>
    </row>
    <row r="637" spans="1:20" ht="15.6" x14ac:dyDescent="0.3">
      <c r="A637" s="35" t="s">
        <v>611</v>
      </c>
      <c r="B637" s="35" t="s">
        <v>661</v>
      </c>
      <c r="C637" s="35" t="s">
        <v>662</v>
      </c>
      <c r="D637" s="35" t="s">
        <v>663</v>
      </c>
      <c r="E637" s="35" t="s">
        <v>47</v>
      </c>
      <c r="F637" s="35" t="s">
        <v>58</v>
      </c>
      <c r="G637" s="35" t="s">
        <v>298</v>
      </c>
      <c r="H637" s="35" t="s">
        <v>56</v>
      </c>
      <c r="I637" s="35" t="s">
        <v>27</v>
      </c>
      <c r="J637" s="35">
        <v>544</v>
      </c>
      <c r="K637" s="35" t="s">
        <v>123</v>
      </c>
      <c r="L637" s="35">
        <v>5</v>
      </c>
      <c r="M637" s="37">
        <v>17700</v>
      </c>
      <c r="N637" s="38">
        <f t="shared" si="12"/>
        <v>3540</v>
      </c>
      <c r="O637" s="37" t="s">
        <v>29</v>
      </c>
      <c r="P637" s="37" t="s">
        <v>30</v>
      </c>
      <c r="Q637" s="36">
        <v>46086</v>
      </c>
      <c r="R637" s="37" t="s">
        <v>31</v>
      </c>
      <c r="S637" s="35"/>
      <c r="T637" s="35"/>
    </row>
    <row r="638" spans="1:20" ht="15.6" x14ac:dyDescent="0.3">
      <c r="A638" s="35" t="s">
        <v>611</v>
      </c>
      <c r="B638" s="35" t="s">
        <v>661</v>
      </c>
      <c r="C638" s="35" t="s">
        <v>662</v>
      </c>
      <c r="D638" s="35" t="s">
        <v>663</v>
      </c>
      <c r="E638" s="35" t="s">
        <v>47</v>
      </c>
      <c r="F638" s="35" t="s">
        <v>58</v>
      </c>
      <c r="G638" s="35" t="s">
        <v>258</v>
      </c>
      <c r="H638" s="35" t="s">
        <v>56</v>
      </c>
      <c r="I638" s="35" t="s">
        <v>27</v>
      </c>
      <c r="J638" s="35">
        <v>544</v>
      </c>
      <c r="K638" s="35" t="s">
        <v>123</v>
      </c>
      <c r="L638" s="35">
        <v>5</v>
      </c>
      <c r="M638" s="37">
        <v>17700</v>
      </c>
      <c r="N638" s="38">
        <f t="shared" si="12"/>
        <v>3540</v>
      </c>
      <c r="O638" s="37" t="s">
        <v>29</v>
      </c>
      <c r="P638" s="37" t="s">
        <v>30</v>
      </c>
      <c r="Q638" s="36">
        <v>46086</v>
      </c>
      <c r="R638" s="37" t="s">
        <v>31</v>
      </c>
      <c r="S638" s="35"/>
      <c r="T638" s="35"/>
    </row>
    <row r="639" spans="1:20" ht="15.6" x14ac:dyDescent="0.3">
      <c r="A639" s="35" t="s">
        <v>611</v>
      </c>
      <c r="B639" s="35" t="s">
        <v>661</v>
      </c>
      <c r="C639" s="35" t="s">
        <v>662</v>
      </c>
      <c r="D639" s="35" t="s">
        <v>663</v>
      </c>
      <c r="E639" s="35" t="s">
        <v>47</v>
      </c>
      <c r="F639" s="35" t="s">
        <v>58</v>
      </c>
      <c r="G639" s="35" t="s">
        <v>308</v>
      </c>
      <c r="H639" s="35" t="s">
        <v>56</v>
      </c>
      <c r="I639" s="35" t="s">
        <v>27</v>
      </c>
      <c r="J639" s="35">
        <v>544</v>
      </c>
      <c r="K639" s="35" t="s">
        <v>123</v>
      </c>
      <c r="L639" s="35">
        <v>5</v>
      </c>
      <c r="M639" s="37">
        <v>17700</v>
      </c>
      <c r="N639" s="38">
        <f t="shared" si="12"/>
        <v>3540</v>
      </c>
      <c r="O639" s="37" t="s">
        <v>29</v>
      </c>
      <c r="P639" s="37" t="s">
        <v>30</v>
      </c>
      <c r="Q639" s="36">
        <v>46086</v>
      </c>
      <c r="R639" s="37" t="s">
        <v>31</v>
      </c>
      <c r="S639" s="35"/>
      <c r="T639" s="35"/>
    </row>
    <row r="640" spans="1:20" ht="15.6" x14ac:dyDescent="0.3">
      <c r="A640" s="35" t="s">
        <v>611</v>
      </c>
      <c r="B640" s="35" t="s">
        <v>661</v>
      </c>
      <c r="C640" s="35" t="s">
        <v>662</v>
      </c>
      <c r="D640" s="35" t="s">
        <v>663</v>
      </c>
      <c r="E640" s="35" t="s">
        <v>47</v>
      </c>
      <c r="F640" s="35" t="s">
        <v>58</v>
      </c>
      <c r="G640" s="35" t="s">
        <v>326</v>
      </c>
      <c r="H640" s="35" t="s">
        <v>56</v>
      </c>
      <c r="I640" s="35" t="s">
        <v>27</v>
      </c>
      <c r="J640" s="35">
        <v>544</v>
      </c>
      <c r="K640" s="35" t="s">
        <v>123</v>
      </c>
      <c r="L640" s="35">
        <v>5</v>
      </c>
      <c r="M640" s="37">
        <v>24790</v>
      </c>
      <c r="N640" s="38">
        <f t="shared" si="12"/>
        <v>4958</v>
      </c>
      <c r="O640" s="37" t="s">
        <v>29</v>
      </c>
      <c r="P640" s="37" t="s">
        <v>30</v>
      </c>
      <c r="Q640" s="36">
        <v>46086</v>
      </c>
      <c r="R640" s="37" t="s">
        <v>31</v>
      </c>
      <c r="S640" s="35"/>
      <c r="T640" s="35"/>
    </row>
    <row r="641" spans="1:20" ht="15.6" x14ac:dyDescent="0.3">
      <c r="A641" s="35" t="s">
        <v>611</v>
      </c>
      <c r="B641" s="35" t="s">
        <v>306</v>
      </c>
      <c r="C641" s="35" t="s">
        <v>307</v>
      </c>
      <c r="D641" s="35" t="s">
        <v>663</v>
      </c>
      <c r="E641" s="35" t="s">
        <v>47</v>
      </c>
      <c r="F641" s="35" t="s">
        <v>58</v>
      </c>
      <c r="G641" s="35" t="s">
        <v>289</v>
      </c>
      <c r="H641" s="35" t="s">
        <v>26</v>
      </c>
      <c r="I641" s="35" t="s">
        <v>27</v>
      </c>
      <c r="J641" s="35">
        <v>545</v>
      </c>
      <c r="K641" s="35" t="s">
        <v>123</v>
      </c>
      <c r="L641" s="35">
        <v>20</v>
      </c>
      <c r="M641" s="37">
        <v>0</v>
      </c>
      <c r="N641" s="38">
        <f t="shared" si="12"/>
        <v>0</v>
      </c>
      <c r="O641" s="37" t="s">
        <v>29</v>
      </c>
      <c r="P641" s="37" t="s">
        <v>30</v>
      </c>
      <c r="Q641" s="36">
        <v>46101</v>
      </c>
      <c r="R641" s="37" t="s">
        <v>31</v>
      </c>
      <c r="S641" s="37" t="s">
        <v>664</v>
      </c>
      <c r="T641" s="36">
        <v>46041</v>
      </c>
    </row>
    <row r="642" spans="1:20" ht="15.6" x14ac:dyDescent="0.3">
      <c r="A642" s="35" t="s">
        <v>611</v>
      </c>
      <c r="B642" s="35" t="s">
        <v>306</v>
      </c>
      <c r="C642" s="35" t="s">
        <v>307</v>
      </c>
      <c r="D642" s="35" t="s">
        <v>663</v>
      </c>
      <c r="E642" s="35" t="s">
        <v>47</v>
      </c>
      <c r="F642" s="35" t="s">
        <v>58</v>
      </c>
      <c r="G642" s="35" t="s">
        <v>308</v>
      </c>
      <c r="H642" s="35" t="s">
        <v>26</v>
      </c>
      <c r="I642" s="35" t="s">
        <v>27</v>
      </c>
      <c r="J642" s="35">
        <v>545</v>
      </c>
      <c r="K642" s="35" t="s">
        <v>123</v>
      </c>
      <c r="L642" s="35">
        <v>15</v>
      </c>
      <c r="M642" s="37">
        <v>0</v>
      </c>
      <c r="N642" s="38">
        <f t="shared" si="12"/>
        <v>0</v>
      </c>
      <c r="O642" s="37" t="s">
        <v>29</v>
      </c>
      <c r="P642" s="37" t="s">
        <v>30</v>
      </c>
      <c r="Q642" s="36">
        <v>46101</v>
      </c>
      <c r="R642" s="37" t="s">
        <v>31</v>
      </c>
      <c r="S642" s="37" t="s">
        <v>664</v>
      </c>
      <c r="T642" s="36">
        <v>46041</v>
      </c>
    </row>
    <row r="643" spans="1:20" ht="15.6" x14ac:dyDescent="0.3">
      <c r="A643" s="35" t="s">
        <v>611</v>
      </c>
      <c r="B643" s="35" t="s">
        <v>306</v>
      </c>
      <c r="C643" s="35" t="s">
        <v>307</v>
      </c>
      <c r="D643" s="35" t="s">
        <v>663</v>
      </c>
      <c r="E643" s="35" t="s">
        <v>47</v>
      </c>
      <c r="F643" s="35" t="s">
        <v>58</v>
      </c>
      <c r="G643" s="35" t="s">
        <v>309</v>
      </c>
      <c r="H643" s="35" t="s">
        <v>26</v>
      </c>
      <c r="I643" s="35" t="s">
        <v>27</v>
      </c>
      <c r="J643" s="35">
        <v>545</v>
      </c>
      <c r="K643" s="35" t="s">
        <v>123</v>
      </c>
      <c r="L643" s="35">
        <v>1</v>
      </c>
      <c r="M643" s="37">
        <v>0</v>
      </c>
      <c r="N643" s="38">
        <f t="shared" si="12"/>
        <v>0</v>
      </c>
      <c r="O643" s="37" t="s">
        <v>29</v>
      </c>
      <c r="P643" s="37" t="s">
        <v>30</v>
      </c>
      <c r="Q643" s="36">
        <v>46101</v>
      </c>
      <c r="R643" s="37" t="s">
        <v>31</v>
      </c>
      <c r="S643" s="37" t="s">
        <v>664</v>
      </c>
      <c r="T643" s="36">
        <v>46041</v>
      </c>
    </row>
    <row r="644" spans="1:20" ht="15.6" x14ac:dyDescent="0.3">
      <c r="A644" s="35" t="s">
        <v>611</v>
      </c>
      <c r="B644" s="35" t="s">
        <v>306</v>
      </c>
      <c r="C644" s="35" t="s">
        <v>307</v>
      </c>
      <c r="D644" s="35" t="s">
        <v>663</v>
      </c>
      <c r="E644" s="35" t="s">
        <v>47</v>
      </c>
      <c r="F644" s="35" t="s">
        <v>58</v>
      </c>
      <c r="G644" s="35" t="s">
        <v>295</v>
      </c>
      <c r="H644" s="35" t="s">
        <v>26</v>
      </c>
      <c r="I644" s="35" t="s">
        <v>27</v>
      </c>
      <c r="J644" s="35">
        <v>545</v>
      </c>
      <c r="K644" s="35" t="s">
        <v>123</v>
      </c>
      <c r="L644" s="35">
        <v>5</v>
      </c>
      <c r="M644" s="37">
        <v>0</v>
      </c>
      <c r="N644" s="38">
        <f t="shared" si="12"/>
        <v>0</v>
      </c>
      <c r="O644" s="37" t="s">
        <v>29</v>
      </c>
      <c r="P644" s="37" t="s">
        <v>30</v>
      </c>
      <c r="Q644" s="36">
        <v>46101</v>
      </c>
      <c r="R644" s="37" t="s">
        <v>31</v>
      </c>
      <c r="S644" s="37" t="s">
        <v>664</v>
      </c>
      <c r="T644" s="36">
        <v>46041</v>
      </c>
    </row>
    <row r="645" spans="1:20" ht="15.6" x14ac:dyDescent="0.3">
      <c r="A645" s="35" t="s">
        <v>611</v>
      </c>
      <c r="B645" s="35" t="s">
        <v>306</v>
      </c>
      <c r="C645" s="35" t="s">
        <v>307</v>
      </c>
      <c r="D645" s="35" t="s">
        <v>663</v>
      </c>
      <c r="E645" s="35" t="s">
        <v>47</v>
      </c>
      <c r="F645" s="35" t="s">
        <v>58</v>
      </c>
      <c r="G645" s="35" t="s">
        <v>310</v>
      </c>
      <c r="H645" s="35" t="s">
        <v>26</v>
      </c>
      <c r="I645" s="35" t="s">
        <v>27</v>
      </c>
      <c r="J645" s="35">
        <v>545</v>
      </c>
      <c r="K645" s="35" t="s">
        <v>123</v>
      </c>
      <c r="L645" s="35">
        <v>3</v>
      </c>
      <c r="M645" s="37">
        <v>0</v>
      </c>
      <c r="N645" s="38">
        <f t="shared" si="12"/>
        <v>0</v>
      </c>
      <c r="O645" s="37" t="s">
        <v>29</v>
      </c>
      <c r="P645" s="37" t="s">
        <v>30</v>
      </c>
      <c r="Q645" s="36">
        <v>46101</v>
      </c>
      <c r="R645" s="37" t="s">
        <v>31</v>
      </c>
      <c r="S645" s="37" t="s">
        <v>664</v>
      </c>
      <c r="T645" s="36">
        <v>46041</v>
      </c>
    </row>
    <row r="646" spans="1:20" ht="15.6" x14ac:dyDescent="0.3">
      <c r="A646" s="35" t="s">
        <v>611</v>
      </c>
      <c r="B646" s="35" t="s">
        <v>173</v>
      </c>
      <c r="C646" s="35" t="s">
        <v>174</v>
      </c>
      <c r="D646" s="35" t="s">
        <v>663</v>
      </c>
      <c r="E646" s="41" t="s">
        <v>23</v>
      </c>
      <c r="F646" s="35" t="s">
        <v>24</v>
      </c>
      <c r="G646" s="35" t="s">
        <v>665</v>
      </c>
      <c r="H646" s="35" t="s">
        <v>26</v>
      </c>
      <c r="I646" s="35" t="s">
        <v>27</v>
      </c>
      <c r="J646" s="35">
        <v>546</v>
      </c>
      <c r="K646" s="35" t="s">
        <v>7</v>
      </c>
      <c r="L646" s="35">
        <v>16</v>
      </c>
      <c r="M646" s="37">
        <v>0</v>
      </c>
      <c r="N646" s="38">
        <f t="shared" si="12"/>
        <v>0</v>
      </c>
      <c r="O646" s="37" t="s">
        <v>29</v>
      </c>
      <c r="P646" s="37" t="s">
        <v>30</v>
      </c>
      <c r="Q646" s="36">
        <v>46079</v>
      </c>
      <c r="R646" s="37" t="s">
        <v>31</v>
      </c>
      <c r="S646" s="37" t="s">
        <v>666</v>
      </c>
      <c r="T646" s="36">
        <v>46019</v>
      </c>
    </row>
    <row r="647" spans="1:20" ht="15.6" x14ac:dyDescent="0.3">
      <c r="A647" s="35" t="s">
        <v>611</v>
      </c>
      <c r="B647" s="35" t="s">
        <v>173</v>
      </c>
      <c r="C647" s="35" t="s">
        <v>174</v>
      </c>
      <c r="D647" s="35" t="s">
        <v>663</v>
      </c>
      <c r="E647" s="41" t="s">
        <v>23</v>
      </c>
      <c r="F647" s="35" t="s">
        <v>24</v>
      </c>
      <c r="G647" s="35" t="s">
        <v>153</v>
      </c>
      <c r="H647" s="35" t="s">
        <v>26</v>
      </c>
      <c r="I647" s="35" t="s">
        <v>27</v>
      </c>
      <c r="J647" s="35">
        <v>546</v>
      </c>
      <c r="K647" s="35" t="s">
        <v>28</v>
      </c>
      <c r="L647" s="35">
        <v>70</v>
      </c>
      <c r="M647" s="37">
        <v>0</v>
      </c>
      <c r="N647" s="38">
        <f t="shared" si="12"/>
        <v>0</v>
      </c>
      <c r="O647" s="37" t="s">
        <v>29</v>
      </c>
      <c r="P647" s="37" t="s">
        <v>30</v>
      </c>
      <c r="Q647" s="36">
        <v>46079</v>
      </c>
      <c r="R647" s="37" t="s">
        <v>31</v>
      </c>
      <c r="S647" s="37" t="s">
        <v>666</v>
      </c>
      <c r="T647" s="36">
        <v>46019</v>
      </c>
    </row>
    <row r="648" spans="1:20" ht="15.6" x14ac:dyDescent="0.3">
      <c r="A648" s="35" t="s">
        <v>611</v>
      </c>
      <c r="B648" s="35" t="s">
        <v>173</v>
      </c>
      <c r="C648" s="35" t="s">
        <v>174</v>
      </c>
      <c r="D648" s="35" t="s">
        <v>663</v>
      </c>
      <c r="E648" s="41" t="s">
        <v>23</v>
      </c>
      <c r="F648" s="35" t="s">
        <v>24</v>
      </c>
      <c r="G648" s="35" t="s">
        <v>44</v>
      </c>
      <c r="H648" s="35" t="s">
        <v>26</v>
      </c>
      <c r="I648" s="35" t="s">
        <v>27</v>
      </c>
      <c r="J648" s="35">
        <v>546</v>
      </c>
      <c r="K648" s="35" t="s">
        <v>28</v>
      </c>
      <c r="L648" s="35">
        <v>75</v>
      </c>
      <c r="M648" s="37">
        <v>0</v>
      </c>
      <c r="N648" s="38">
        <f t="shared" si="12"/>
        <v>0</v>
      </c>
      <c r="O648" s="37" t="s">
        <v>29</v>
      </c>
      <c r="P648" s="37" t="s">
        <v>30</v>
      </c>
      <c r="Q648" s="36">
        <v>46079</v>
      </c>
      <c r="R648" s="37" t="s">
        <v>31</v>
      </c>
      <c r="S648" s="37" t="s">
        <v>666</v>
      </c>
      <c r="T648" s="36">
        <v>46019</v>
      </c>
    </row>
    <row r="649" spans="1:20" ht="15.6" x14ac:dyDescent="0.3">
      <c r="A649" s="35" t="s">
        <v>611</v>
      </c>
      <c r="B649" s="35" t="s">
        <v>374</v>
      </c>
      <c r="C649" s="35" t="s">
        <v>375</v>
      </c>
      <c r="D649" s="35" t="s">
        <v>663</v>
      </c>
      <c r="E649" s="41" t="s">
        <v>23</v>
      </c>
      <c r="F649" s="35" t="s">
        <v>54</v>
      </c>
      <c r="G649" s="35" t="s">
        <v>275</v>
      </c>
      <c r="H649" s="35" t="s">
        <v>56</v>
      </c>
      <c r="I649" s="35" t="s">
        <v>27</v>
      </c>
      <c r="J649" s="35">
        <v>547</v>
      </c>
      <c r="K649" s="35" t="s">
        <v>276</v>
      </c>
      <c r="L649" s="35">
        <v>20</v>
      </c>
      <c r="M649" s="37">
        <v>0</v>
      </c>
      <c r="N649" s="38">
        <f t="shared" si="12"/>
        <v>0</v>
      </c>
      <c r="O649" s="37" t="s">
        <v>29</v>
      </c>
      <c r="P649" s="37" t="s">
        <v>30</v>
      </c>
      <c r="Q649" s="36">
        <v>46103</v>
      </c>
      <c r="R649" s="37" t="s">
        <v>31</v>
      </c>
      <c r="S649" s="35" t="s">
        <v>667</v>
      </c>
      <c r="T649" s="36">
        <v>46043</v>
      </c>
    </row>
    <row r="650" spans="1:20" ht="15.6" x14ac:dyDescent="0.3">
      <c r="A650" s="35" t="s">
        <v>611</v>
      </c>
      <c r="B650" s="35" t="s">
        <v>374</v>
      </c>
      <c r="C650" s="35" t="s">
        <v>375</v>
      </c>
      <c r="D650" s="35" t="s">
        <v>663</v>
      </c>
      <c r="E650" s="41" t="s">
        <v>23</v>
      </c>
      <c r="F650" s="35" t="s">
        <v>54</v>
      </c>
      <c r="G650" s="35" t="s">
        <v>296</v>
      </c>
      <c r="H650" s="35" t="s">
        <v>56</v>
      </c>
      <c r="I650" s="35" t="s">
        <v>27</v>
      </c>
      <c r="J650" s="35">
        <v>547</v>
      </c>
      <c r="K650" s="35" t="s">
        <v>123</v>
      </c>
      <c r="L650" s="35">
        <v>40</v>
      </c>
      <c r="M650" s="37">
        <v>0</v>
      </c>
      <c r="N650" s="38">
        <f t="shared" si="12"/>
        <v>0</v>
      </c>
      <c r="O650" s="37" t="s">
        <v>29</v>
      </c>
      <c r="P650" s="37" t="s">
        <v>30</v>
      </c>
      <c r="Q650" s="36">
        <v>46103</v>
      </c>
      <c r="R650" s="37" t="s">
        <v>31</v>
      </c>
      <c r="S650" s="35" t="s">
        <v>667</v>
      </c>
      <c r="T650" s="36">
        <v>46043</v>
      </c>
    </row>
    <row r="651" spans="1:20" ht="15.6" x14ac:dyDescent="0.3">
      <c r="A651" s="35" t="s">
        <v>611</v>
      </c>
      <c r="B651" s="35" t="s">
        <v>374</v>
      </c>
      <c r="C651" s="35" t="s">
        <v>375</v>
      </c>
      <c r="D651" s="35" t="s">
        <v>663</v>
      </c>
      <c r="E651" s="41" t="s">
        <v>23</v>
      </c>
      <c r="F651" s="35" t="s">
        <v>54</v>
      </c>
      <c r="G651" s="35" t="s">
        <v>378</v>
      </c>
      <c r="H651" s="35" t="s">
        <v>56</v>
      </c>
      <c r="I651" s="35" t="s">
        <v>27</v>
      </c>
      <c r="J651" s="35">
        <v>547</v>
      </c>
      <c r="K651" s="35" t="s">
        <v>123</v>
      </c>
      <c r="L651" s="35">
        <v>12</v>
      </c>
      <c r="M651" s="37">
        <v>0</v>
      </c>
      <c r="N651" s="38">
        <f t="shared" si="12"/>
        <v>0</v>
      </c>
      <c r="O651" s="37" t="s">
        <v>29</v>
      </c>
      <c r="P651" s="37" t="s">
        <v>30</v>
      </c>
      <c r="Q651" s="36">
        <v>46103</v>
      </c>
      <c r="R651" s="37" t="s">
        <v>31</v>
      </c>
      <c r="S651" s="35" t="s">
        <v>667</v>
      </c>
      <c r="T651" s="36">
        <v>46043</v>
      </c>
    </row>
    <row r="652" spans="1:20" ht="15.6" x14ac:dyDescent="0.3">
      <c r="A652" s="35" t="s">
        <v>611</v>
      </c>
      <c r="B652" s="35" t="s">
        <v>374</v>
      </c>
      <c r="C652" s="35" t="s">
        <v>375</v>
      </c>
      <c r="D652" s="35" t="s">
        <v>663</v>
      </c>
      <c r="E652" s="41" t="s">
        <v>23</v>
      </c>
      <c r="F652" s="35" t="s">
        <v>54</v>
      </c>
      <c r="G652" s="35" t="s">
        <v>379</v>
      </c>
      <c r="H652" s="35" t="s">
        <v>56</v>
      </c>
      <c r="I652" s="35" t="s">
        <v>27</v>
      </c>
      <c r="J652" s="35">
        <v>547</v>
      </c>
      <c r="K652" s="35" t="s">
        <v>123</v>
      </c>
      <c r="L652" s="35">
        <v>120</v>
      </c>
      <c r="M652" s="37">
        <v>0</v>
      </c>
      <c r="N652" s="38">
        <f t="shared" si="12"/>
        <v>0</v>
      </c>
      <c r="O652" s="37" t="s">
        <v>29</v>
      </c>
      <c r="P652" s="37" t="s">
        <v>30</v>
      </c>
      <c r="Q652" s="36">
        <v>46103</v>
      </c>
      <c r="R652" s="37" t="s">
        <v>31</v>
      </c>
      <c r="S652" s="35" t="s">
        <v>667</v>
      </c>
      <c r="T652" s="36">
        <v>46043</v>
      </c>
    </row>
    <row r="653" spans="1:20" ht="15.6" x14ac:dyDescent="0.3">
      <c r="A653" s="35" t="s">
        <v>611</v>
      </c>
      <c r="B653" s="35" t="s">
        <v>199</v>
      </c>
      <c r="C653" s="35" t="s">
        <v>200</v>
      </c>
      <c r="D653" s="35" t="s">
        <v>663</v>
      </c>
      <c r="E653" s="35" t="s">
        <v>40</v>
      </c>
      <c r="F653" s="35" t="s">
        <v>36</v>
      </c>
      <c r="G653" s="35" t="s">
        <v>668</v>
      </c>
      <c r="H653" s="35" t="s">
        <v>56</v>
      </c>
      <c r="I653" s="35" t="s">
        <v>27</v>
      </c>
      <c r="J653" s="35">
        <v>548</v>
      </c>
      <c r="K653" s="35" t="s">
        <v>28</v>
      </c>
      <c r="L653" s="35">
        <v>200</v>
      </c>
      <c r="M653" s="37">
        <v>0</v>
      </c>
      <c r="N653" s="38">
        <f t="shared" ref="N653:N684" si="13">M653/L653</f>
        <v>0</v>
      </c>
      <c r="O653" s="37" t="s">
        <v>29</v>
      </c>
      <c r="P653" s="37" t="s">
        <v>30</v>
      </c>
      <c r="Q653" s="36">
        <v>46091</v>
      </c>
      <c r="R653" s="37" t="s">
        <v>31</v>
      </c>
      <c r="S653" s="35" t="s">
        <v>669</v>
      </c>
      <c r="T653" s="36">
        <v>46002</v>
      </c>
    </row>
    <row r="654" spans="1:20" ht="15.6" x14ac:dyDescent="0.3">
      <c r="A654" s="35" t="s">
        <v>611</v>
      </c>
      <c r="B654" s="35" t="s">
        <v>670</v>
      </c>
      <c r="C654" s="35" t="s">
        <v>671</v>
      </c>
      <c r="D654" s="35" t="s">
        <v>663</v>
      </c>
      <c r="E654" s="35" t="s">
        <v>40</v>
      </c>
      <c r="F654" s="35" t="s">
        <v>24</v>
      </c>
      <c r="G654" s="35" t="s">
        <v>651</v>
      </c>
      <c r="H654" s="35" t="s">
        <v>26</v>
      </c>
      <c r="I654" s="35" t="s">
        <v>27</v>
      </c>
      <c r="J654" s="35">
        <v>549</v>
      </c>
      <c r="K654" s="35" t="s">
        <v>28</v>
      </c>
      <c r="L654" s="35">
        <v>200</v>
      </c>
      <c r="M654" s="37">
        <v>0</v>
      </c>
      <c r="N654" s="38">
        <f t="shared" si="13"/>
        <v>0</v>
      </c>
      <c r="O654" s="37" t="s">
        <v>29</v>
      </c>
      <c r="P654" s="37" t="s">
        <v>30</v>
      </c>
      <c r="Q654" s="36">
        <v>46082</v>
      </c>
      <c r="R654" s="37" t="s">
        <v>31</v>
      </c>
      <c r="S654" s="35" t="s">
        <v>672</v>
      </c>
      <c r="T654" s="36">
        <v>45992</v>
      </c>
    </row>
    <row r="655" spans="1:20" ht="15.6" x14ac:dyDescent="0.3">
      <c r="A655" s="35" t="s">
        <v>611</v>
      </c>
      <c r="B655" s="35" t="s">
        <v>202</v>
      </c>
      <c r="C655" s="35" t="s">
        <v>203</v>
      </c>
      <c r="D655" s="35" t="s">
        <v>663</v>
      </c>
      <c r="E655" s="35" t="s">
        <v>40</v>
      </c>
      <c r="F655" s="35" t="s">
        <v>36</v>
      </c>
      <c r="G655" s="35" t="s">
        <v>673</v>
      </c>
      <c r="H655" s="35" t="s">
        <v>56</v>
      </c>
      <c r="I655" s="35" t="s">
        <v>27</v>
      </c>
      <c r="J655" s="35">
        <v>550</v>
      </c>
      <c r="K655" s="35" t="s">
        <v>28</v>
      </c>
      <c r="L655" s="35">
        <v>100</v>
      </c>
      <c r="M655" s="37">
        <v>0</v>
      </c>
      <c r="N655" s="38">
        <f t="shared" si="13"/>
        <v>0</v>
      </c>
      <c r="O655" s="37" t="s">
        <v>29</v>
      </c>
      <c r="P655" s="37" t="s">
        <v>30</v>
      </c>
      <c r="Q655" s="36">
        <v>46057</v>
      </c>
      <c r="R655" s="37" t="s">
        <v>31</v>
      </c>
      <c r="S655" s="35" t="s">
        <v>674</v>
      </c>
      <c r="T655" s="36">
        <v>45995</v>
      </c>
    </row>
    <row r="656" spans="1:20" ht="15.6" x14ac:dyDescent="0.3">
      <c r="A656" s="35" t="s">
        <v>611</v>
      </c>
      <c r="B656" s="35" t="s">
        <v>405</v>
      </c>
      <c r="C656" s="35" t="s">
        <v>406</v>
      </c>
      <c r="D656" s="35" t="s">
        <v>675</v>
      </c>
      <c r="E656" s="35" t="s">
        <v>47</v>
      </c>
      <c r="F656" s="35" t="s">
        <v>58</v>
      </c>
      <c r="G656" s="35" t="s">
        <v>244</v>
      </c>
      <c r="H656" s="35" t="s">
        <v>56</v>
      </c>
      <c r="I656" s="35" t="s">
        <v>27</v>
      </c>
      <c r="J656" s="35">
        <v>551</v>
      </c>
      <c r="K656" s="35" t="s">
        <v>123</v>
      </c>
      <c r="L656" s="37">
        <v>40</v>
      </c>
      <c r="M656" s="37">
        <v>320000</v>
      </c>
      <c r="N656" s="38">
        <f t="shared" si="13"/>
        <v>8000</v>
      </c>
      <c r="O656" s="37" t="s">
        <v>29</v>
      </c>
      <c r="P656" s="37" t="s">
        <v>30</v>
      </c>
      <c r="Q656" s="36">
        <v>46218</v>
      </c>
      <c r="R656" s="37" t="s">
        <v>31</v>
      </c>
      <c r="S656" s="35"/>
      <c r="T656" s="35"/>
    </row>
    <row r="657" spans="1:20" ht="15.6" x14ac:dyDescent="0.3">
      <c r="A657" s="35" t="s">
        <v>611</v>
      </c>
      <c r="B657" s="35" t="s">
        <v>94</v>
      </c>
      <c r="C657" s="35" t="s">
        <v>95</v>
      </c>
      <c r="D657" s="35" t="s">
        <v>675</v>
      </c>
      <c r="E657" s="35" t="s">
        <v>40</v>
      </c>
      <c r="F657" s="35" t="s">
        <v>36</v>
      </c>
      <c r="G657" s="35" t="s">
        <v>258</v>
      </c>
      <c r="H657" s="35" t="s">
        <v>26</v>
      </c>
      <c r="I657" s="35" t="s">
        <v>64</v>
      </c>
      <c r="J657" s="35">
        <v>230</v>
      </c>
      <c r="K657" s="35" t="s">
        <v>123</v>
      </c>
      <c r="L657" s="37">
        <v>10</v>
      </c>
      <c r="M657" s="37">
        <v>70000</v>
      </c>
      <c r="N657" s="38">
        <f t="shared" si="13"/>
        <v>7000</v>
      </c>
      <c r="O657" s="37" t="s">
        <v>29</v>
      </c>
      <c r="P657" s="37" t="s">
        <v>30</v>
      </c>
      <c r="Q657" s="36">
        <v>46117</v>
      </c>
      <c r="R657" s="37" t="s">
        <v>31</v>
      </c>
      <c r="S657" s="35"/>
      <c r="T657" s="35"/>
    </row>
    <row r="658" spans="1:20" ht="15.6" x14ac:dyDescent="0.3">
      <c r="A658" s="35" t="s">
        <v>611</v>
      </c>
      <c r="B658" s="35" t="s">
        <v>94</v>
      </c>
      <c r="C658" s="35" t="s">
        <v>95</v>
      </c>
      <c r="D658" s="35" t="s">
        <v>675</v>
      </c>
      <c r="E658" s="35" t="s">
        <v>40</v>
      </c>
      <c r="F658" s="35" t="s">
        <v>36</v>
      </c>
      <c r="G658" s="35" t="s">
        <v>242</v>
      </c>
      <c r="H658" s="35" t="s">
        <v>26</v>
      </c>
      <c r="I658" s="35" t="s">
        <v>64</v>
      </c>
      <c r="J658" s="35">
        <v>230</v>
      </c>
      <c r="K658" s="35" t="s">
        <v>123</v>
      </c>
      <c r="L658" s="37">
        <v>40</v>
      </c>
      <c r="M658" s="37">
        <v>440000</v>
      </c>
      <c r="N658" s="38">
        <f t="shared" si="13"/>
        <v>11000</v>
      </c>
      <c r="O658" s="37" t="s">
        <v>29</v>
      </c>
      <c r="P658" s="37" t="s">
        <v>30</v>
      </c>
      <c r="Q658" s="36">
        <v>46117</v>
      </c>
      <c r="R658" s="37" t="s">
        <v>31</v>
      </c>
      <c r="S658" s="35"/>
      <c r="T658" s="35"/>
    </row>
    <row r="659" spans="1:20" ht="15.6" x14ac:dyDescent="0.3">
      <c r="A659" s="35" t="s">
        <v>611</v>
      </c>
      <c r="B659" s="35" t="s">
        <v>94</v>
      </c>
      <c r="C659" s="35" t="s">
        <v>95</v>
      </c>
      <c r="D659" s="35" t="s">
        <v>675</v>
      </c>
      <c r="E659" s="35" t="s">
        <v>40</v>
      </c>
      <c r="F659" s="35" t="s">
        <v>36</v>
      </c>
      <c r="G659" s="35" t="s">
        <v>382</v>
      </c>
      <c r="H659" s="35" t="s">
        <v>26</v>
      </c>
      <c r="I659" s="35" t="s">
        <v>64</v>
      </c>
      <c r="J659" s="35">
        <v>230</v>
      </c>
      <c r="K659" s="35" t="s">
        <v>123</v>
      </c>
      <c r="L659" s="37">
        <v>20</v>
      </c>
      <c r="M659" s="37">
        <v>100000</v>
      </c>
      <c r="N659" s="38">
        <f t="shared" si="13"/>
        <v>5000</v>
      </c>
      <c r="O659" s="37" t="s">
        <v>29</v>
      </c>
      <c r="P659" s="37" t="s">
        <v>30</v>
      </c>
      <c r="Q659" s="36">
        <v>46117</v>
      </c>
      <c r="R659" s="37" t="s">
        <v>31</v>
      </c>
      <c r="S659" s="35"/>
      <c r="T659" s="35"/>
    </row>
    <row r="660" spans="1:20" ht="15.6" x14ac:dyDescent="0.3">
      <c r="A660" s="35" t="s">
        <v>611</v>
      </c>
      <c r="B660" s="35" t="s">
        <v>94</v>
      </c>
      <c r="C660" s="35" t="s">
        <v>95</v>
      </c>
      <c r="D660" s="35" t="s">
        <v>675</v>
      </c>
      <c r="E660" s="35" t="s">
        <v>40</v>
      </c>
      <c r="F660" s="35" t="s">
        <v>36</v>
      </c>
      <c r="G660" s="35" t="s">
        <v>282</v>
      </c>
      <c r="H660" s="35" t="s">
        <v>26</v>
      </c>
      <c r="I660" s="35" t="s">
        <v>64</v>
      </c>
      <c r="J660" s="35">
        <v>230</v>
      </c>
      <c r="K660" s="35" t="s">
        <v>123</v>
      </c>
      <c r="L660" s="37">
        <v>5</v>
      </c>
      <c r="M660" s="37">
        <v>57500</v>
      </c>
      <c r="N660" s="38">
        <f t="shared" si="13"/>
        <v>11500</v>
      </c>
      <c r="O660" s="37" t="s">
        <v>29</v>
      </c>
      <c r="P660" s="37" t="s">
        <v>30</v>
      </c>
      <c r="Q660" s="36">
        <v>46117</v>
      </c>
      <c r="R660" s="37" t="s">
        <v>31</v>
      </c>
      <c r="S660" s="35"/>
      <c r="T660" s="35"/>
    </row>
    <row r="661" spans="1:20" ht="15.6" x14ac:dyDescent="0.3">
      <c r="A661" s="35" t="s">
        <v>611</v>
      </c>
      <c r="B661" s="35" t="s">
        <v>94</v>
      </c>
      <c r="C661" s="35" t="s">
        <v>95</v>
      </c>
      <c r="D661" s="35" t="s">
        <v>675</v>
      </c>
      <c r="E661" s="35" t="s">
        <v>40</v>
      </c>
      <c r="F661" s="35" t="s">
        <v>36</v>
      </c>
      <c r="G661" s="35" t="s">
        <v>462</v>
      </c>
      <c r="H661" s="35" t="s">
        <v>26</v>
      </c>
      <c r="I661" s="35" t="s">
        <v>64</v>
      </c>
      <c r="J661" s="35">
        <v>230</v>
      </c>
      <c r="K661" s="35" t="s">
        <v>123</v>
      </c>
      <c r="L661" s="37">
        <v>10</v>
      </c>
      <c r="M661" s="37">
        <v>70000</v>
      </c>
      <c r="N661" s="38">
        <f t="shared" si="13"/>
        <v>7000</v>
      </c>
      <c r="O661" s="37" t="s">
        <v>29</v>
      </c>
      <c r="P661" s="37" t="s">
        <v>30</v>
      </c>
      <c r="Q661" s="36">
        <v>46117</v>
      </c>
      <c r="R661" s="37" t="s">
        <v>31</v>
      </c>
      <c r="S661" s="35"/>
      <c r="T661" s="35"/>
    </row>
    <row r="662" spans="1:20" ht="15.6" x14ac:dyDescent="0.3">
      <c r="A662" s="35" t="s">
        <v>611</v>
      </c>
      <c r="B662" s="35" t="s">
        <v>94</v>
      </c>
      <c r="C662" s="35" t="s">
        <v>95</v>
      </c>
      <c r="D662" s="35" t="s">
        <v>675</v>
      </c>
      <c r="E662" s="35" t="s">
        <v>40</v>
      </c>
      <c r="F662" s="35" t="s">
        <v>36</v>
      </c>
      <c r="G662" s="35" t="s">
        <v>275</v>
      </c>
      <c r="H662" s="35" t="s">
        <v>26</v>
      </c>
      <c r="I662" s="35" t="s">
        <v>64</v>
      </c>
      <c r="J662" s="35">
        <v>230</v>
      </c>
      <c r="K662" s="35" t="s">
        <v>276</v>
      </c>
      <c r="L662" s="37">
        <v>40</v>
      </c>
      <c r="M662" s="37">
        <v>1200000</v>
      </c>
      <c r="N662" s="38">
        <f t="shared" si="13"/>
        <v>30000</v>
      </c>
      <c r="O662" s="37" t="s">
        <v>29</v>
      </c>
      <c r="P662" s="37" t="s">
        <v>30</v>
      </c>
      <c r="Q662" s="36">
        <v>46117</v>
      </c>
      <c r="R662" s="37" t="s">
        <v>31</v>
      </c>
      <c r="S662" s="35"/>
      <c r="T662" s="35"/>
    </row>
    <row r="663" spans="1:20" ht="15.6" x14ac:dyDescent="0.3">
      <c r="A663" s="35" t="s">
        <v>611</v>
      </c>
      <c r="B663" s="35" t="s">
        <v>67</v>
      </c>
      <c r="C663" s="35" t="s">
        <v>68</v>
      </c>
      <c r="D663" s="35" t="s">
        <v>676</v>
      </c>
      <c r="E663" s="35" t="s">
        <v>47</v>
      </c>
      <c r="F663" s="35" t="s">
        <v>24</v>
      </c>
      <c r="G663" s="35" t="s">
        <v>388</v>
      </c>
      <c r="H663" s="35" t="s">
        <v>26</v>
      </c>
      <c r="I663" s="35" t="s">
        <v>64</v>
      </c>
      <c r="J663" s="35">
        <v>231</v>
      </c>
      <c r="K663" s="35" t="s">
        <v>123</v>
      </c>
      <c r="L663" s="37">
        <v>100</v>
      </c>
      <c r="M663" s="37">
        <v>408100</v>
      </c>
      <c r="N663" s="38">
        <f t="shared" si="13"/>
        <v>4081</v>
      </c>
      <c r="O663" s="37" t="s">
        <v>29</v>
      </c>
      <c r="P663" s="37" t="s">
        <v>30</v>
      </c>
      <c r="Q663" s="36">
        <v>46371</v>
      </c>
      <c r="R663" s="37" t="s">
        <v>31</v>
      </c>
      <c r="S663" s="35"/>
      <c r="T663" s="35"/>
    </row>
    <row r="664" spans="1:20" ht="15.6" x14ac:dyDescent="0.3">
      <c r="A664" s="35" t="s">
        <v>611</v>
      </c>
      <c r="B664" s="35" t="s">
        <v>444</v>
      </c>
      <c r="C664" s="35" t="s">
        <v>445</v>
      </c>
      <c r="D664" s="35" t="s">
        <v>676</v>
      </c>
      <c r="E664" s="35" t="s">
        <v>47</v>
      </c>
      <c r="F664" s="35" t="s">
        <v>24</v>
      </c>
      <c r="G664" s="35" t="s">
        <v>388</v>
      </c>
      <c r="H664" s="35" t="s">
        <v>26</v>
      </c>
      <c r="I664" s="35" t="s">
        <v>64</v>
      </c>
      <c r="J664" s="35">
        <v>232</v>
      </c>
      <c r="K664" s="35" t="s">
        <v>123</v>
      </c>
      <c r="L664" s="37">
        <v>40</v>
      </c>
      <c r="M664" s="37">
        <v>163240</v>
      </c>
      <c r="N664" s="38">
        <f t="shared" si="13"/>
        <v>4081</v>
      </c>
      <c r="O664" s="37" t="s">
        <v>29</v>
      </c>
      <c r="P664" s="37" t="s">
        <v>30</v>
      </c>
      <c r="Q664" s="36">
        <v>46371</v>
      </c>
      <c r="R664" s="37" t="s">
        <v>31</v>
      </c>
      <c r="S664" s="35"/>
      <c r="T664" s="35"/>
    </row>
    <row r="665" spans="1:20" ht="15.6" x14ac:dyDescent="0.3">
      <c r="A665" s="35" t="s">
        <v>611</v>
      </c>
      <c r="B665" s="35" t="s">
        <v>444</v>
      </c>
      <c r="C665" s="35" t="s">
        <v>445</v>
      </c>
      <c r="D665" s="35" t="s">
        <v>676</v>
      </c>
      <c r="E665" s="35" t="s">
        <v>47</v>
      </c>
      <c r="F665" s="35" t="s">
        <v>24</v>
      </c>
      <c r="G665" s="35" t="s">
        <v>438</v>
      </c>
      <c r="H665" s="35" t="s">
        <v>26</v>
      </c>
      <c r="I665" s="35" t="s">
        <v>64</v>
      </c>
      <c r="J665" s="35">
        <v>232</v>
      </c>
      <c r="K665" s="35" t="s">
        <v>123</v>
      </c>
      <c r="L665" s="37">
        <v>10</v>
      </c>
      <c r="M665" s="37">
        <v>40810</v>
      </c>
      <c r="N665" s="38">
        <f t="shared" si="13"/>
        <v>4081</v>
      </c>
      <c r="O665" s="37" t="s">
        <v>29</v>
      </c>
      <c r="P665" s="37" t="s">
        <v>30</v>
      </c>
      <c r="Q665" s="36">
        <v>46371</v>
      </c>
      <c r="R665" s="37" t="s">
        <v>31</v>
      </c>
      <c r="S665" s="35"/>
      <c r="T665" s="35"/>
    </row>
    <row r="666" spans="1:20" ht="15.6" x14ac:dyDescent="0.3">
      <c r="A666" s="35" t="s">
        <v>611</v>
      </c>
      <c r="B666" s="35" t="s">
        <v>677</v>
      </c>
      <c r="C666" s="35" t="s">
        <v>678</v>
      </c>
      <c r="D666" s="35" t="s">
        <v>679</v>
      </c>
      <c r="E666" s="35" t="s">
        <v>636</v>
      </c>
      <c r="F666" s="35" t="s">
        <v>54</v>
      </c>
      <c r="G666" s="35" t="s">
        <v>465</v>
      </c>
      <c r="H666" s="35" t="s">
        <v>26</v>
      </c>
      <c r="I666" s="35" t="s">
        <v>27</v>
      </c>
      <c r="J666" s="35">
        <v>552</v>
      </c>
      <c r="K666" s="35" t="s">
        <v>123</v>
      </c>
      <c r="L666" s="35">
        <v>1</v>
      </c>
      <c r="M666" s="37">
        <v>11430</v>
      </c>
      <c r="N666" s="38">
        <f t="shared" si="13"/>
        <v>11430</v>
      </c>
      <c r="O666" s="37" t="s">
        <v>29</v>
      </c>
      <c r="P666" s="37" t="s">
        <v>30</v>
      </c>
      <c r="Q666" s="36">
        <v>46092</v>
      </c>
      <c r="R666" s="37" t="s">
        <v>31</v>
      </c>
      <c r="S666" s="35"/>
      <c r="T666" s="35"/>
    </row>
    <row r="667" spans="1:20" ht="15.6" x14ac:dyDescent="0.3">
      <c r="A667" s="35" t="s">
        <v>611</v>
      </c>
      <c r="B667" s="35" t="s">
        <v>677</v>
      </c>
      <c r="C667" s="35" t="s">
        <v>678</v>
      </c>
      <c r="D667" s="35" t="s">
        <v>679</v>
      </c>
      <c r="E667" s="35" t="s">
        <v>636</v>
      </c>
      <c r="F667" s="35" t="s">
        <v>54</v>
      </c>
      <c r="G667" s="35" t="s">
        <v>428</v>
      </c>
      <c r="H667" s="35" t="s">
        <v>26</v>
      </c>
      <c r="I667" s="35" t="s">
        <v>27</v>
      </c>
      <c r="J667" s="35">
        <v>552</v>
      </c>
      <c r="K667" s="35" t="s">
        <v>123</v>
      </c>
      <c r="L667" s="35">
        <v>1</v>
      </c>
      <c r="M667" s="37">
        <v>9600</v>
      </c>
      <c r="N667" s="38">
        <f t="shared" si="13"/>
        <v>9600</v>
      </c>
      <c r="O667" s="37" t="s">
        <v>29</v>
      </c>
      <c r="P667" s="37" t="s">
        <v>30</v>
      </c>
      <c r="Q667" s="36">
        <v>46092</v>
      </c>
      <c r="R667" s="37" t="s">
        <v>31</v>
      </c>
      <c r="S667" s="35"/>
      <c r="T667" s="35"/>
    </row>
    <row r="668" spans="1:20" ht="15.6" x14ac:dyDescent="0.3">
      <c r="A668" s="35" t="s">
        <v>611</v>
      </c>
      <c r="B668" s="35" t="s">
        <v>677</v>
      </c>
      <c r="C668" s="35" t="s">
        <v>678</v>
      </c>
      <c r="D668" s="35" t="s">
        <v>679</v>
      </c>
      <c r="E668" s="35" t="s">
        <v>636</v>
      </c>
      <c r="F668" s="35" t="s">
        <v>54</v>
      </c>
      <c r="G668" s="35" t="s">
        <v>309</v>
      </c>
      <c r="H668" s="35" t="s">
        <v>26</v>
      </c>
      <c r="I668" s="35" t="s">
        <v>27</v>
      </c>
      <c r="J668" s="35">
        <v>552</v>
      </c>
      <c r="K668" s="35" t="s">
        <v>123</v>
      </c>
      <c r="L668" s="35">
        <v>1</v>
      </c>
      <c r="M668" s="37">
        <v>7900</v>
      </c>
      <c r="N668" s="38">
        <f t="shared" si="13"/>
        <v>7900</v>
      </c>
      <c r="O668" s="37" t="s">
        <v>29</v>
      </c>
      <c r="P668" s="37" t="s">
        <v>30</v>
      </c>
      <c r="Q668" s="36">
        <v>46092</v>
      </c>
      <c r="R668" s="37" t="s">
        <v>31</v>
      </c>
      <c r="S668" s="35"/>
      <c r="T668" s="35"/>
    </row>
    <row r="669" spans="1:20" ht="15.6" x14ac:dyDescent="0.3">
      <c r="A669" s="35" t="s">
        <v>611</v>
      </c>
      <c r="B669" s="35" t="s">
        <v>677</v>
      </c>
      <c r="C669" s="35" t="s">
        <v>678</v>
      </c>
      <c r="D669" s="35" t="s">
        <v>679</v>
      </c>
      <c r="E669" s="35" t="s">
        <v>636</v>
      </c>
      <c r="F669" s="35" t="s">
        <v>54</v>
      </c>
      <c r="G669" s="35" t="s">
        <v>437</v>
      </c>
      <c r="H669" s="35" t="s">
        <v>26</v>
      </c>
      <c r="I669" s="35" t="s">
        <v>27</v>
      </c>
      <c r="J669" s="35">
        <v>552</v>
      </c>
      <c r="K669" s="35" t="s">
        <v>123</v>
      </c>
      <c r="L669" s="35">
        <v>1</v>
      </c>
      <c r="M669" s="37">
        <v>11800</v>
      </c>
      <c r="N669" s="38">
        <f t="shared" si="13"/>
        <v>11800</v>
      </c>
      <c r="O669" s="37" t="s">
        <v>29</v>
      </c>
      <c r="P669" s="37" t="s">
        <v>30</v>
      </c>
      <c r="Q669" s="36">
        <v>46092</v>
      </c>
      <c r="R669" s="37" t="s">
        <v>31</v>
      </c>
      <c r="S669" s="35"/>
      <c r="T669" s="35"/>
    </row>
    <row r="670" spans="1:20" ht="15.6" x14ac:dyDescent="0.3">
      <c r="A670" s="35" t="s">
        <v>611</v>
      </c>
      <c r="B670" s="35" t="s">
        <v>677</v>
      </c>
      <c r="C670" s="35" t="s">
        <v>678</v>
      </c>
      <c r="D670" s="35" t="s">
        <v>679</v>
      </c>
      <c r="E670" s="35" t="s">
        <v>636</v>
      </c>
      <c r="F670" s="35" t="s">
        <v>54</v>
      </c>
      <c r="G670" s="35" t="s">
        <v>275</v>
      </c>
      <c r="H670" s="35" t="s">
        <v>26</v>
      </c>
      <c r="I670" s="35" t="s">
        <v>27</v>
      </c>
      <c r="J670" s="35">
        <v>552</v>
      </c>
      <c r="K670" s="35" t="s">
        <v>276</v>
      </c>
      <c r="L670" s="35">
        <v>1</v>
      </c>
      <c r="M670" s="37">
        <v>38000</v>
      </c>
      <c r="N670" s="38">
        <f t="shared" si="13"/>
        <v>38000</v>
      </c>
      <c r="O670" s="37" t="s">
        <v>29</v>
      </c>
      <c r="P670" s="37" t="s">
        <v>30</v>
      </c>
      <c r="Q670" s="36">
        <v>46092</v>
      </c>
      <c r="R670" s="37" t="s">
        <v>31</v>
      </c>
      <c r="S670" s="35"/>
      <c r="T670" s="35"/>
    </row>
    <row r="671" spans="1:20" ht="15.6" x14ac:dyDescent="0.3">
      <c r="A671" s="35" t="s">
        <v>611</v>
      </c>
      <c r="B671" s="35" t="s">
        <v>681</v>
      </c>
      <c r="C671" s="35" t="s">
        <v>682</v>
      </c>
      <c r="D671" s="35" t="s">
        <v>679</v>
      </c>
      <c r="E671" s="35" t="s">
        <v>680</v>
      </c>
      <c r="F671" s="35" t="s">
        <v>36</v>
      </c>
      <c r="G671" s="35" t="s">
        <v>683</v>
      </c>
      <c r="H671" s="35" t="s">
        <v>85</v>
      </c>
      <c r="I671" s="35" t="s">
        <v>27</v>
      </c>
      <c r="J671" s="35">
        <v>554</v>
      </c>
      <c r="K671" s="35" t="s">
        <v>7</v>
      </c>
      <c r="L671" s="35">
        <v>2</v>
      </c>
      <c r="M671" s="37">
        <v>0</v>
      </c>
      <c r="N671" s="38">
        <f t="shared" si="13"/>
        <v>0</v>
      </c>
      <c r="O671" s="37" t="s">
        <v>29</v>
      </c>
      <c r="P671" s="37" t="s">
        <v>30</v>
      </c>
      <c r="Q671" s="36">
        <v>46092</v>
      </c>
      <c r="R671" s="37" t="s">
        <v>31</v>
      </c>
      <c r="S671" s="35"/>
      <c r="T671" s="35"/>
    </row>
    <row r="672" spans="1:20" ht="15.6" x14ac:dyDescent="0.3">
      <c r="A672" s="35" t="s">
        <v>611</v>
      </c>
      <c r="B672" s="35" t="s">
        <v>235</v>
      </c>
      <c r="C672" s="35" t="s">
        <v>236</v>
      </c>
      <c r="D672" s="35" t="s">
        <v>679</v>
      </c>
      <c r="E672" s="35" t="s">
        <v>636</v>
      </c>
      <c r="F672" s="35" t="s">
        <v>54</v>
      </c>
      <c r="G672" s="35" t="s">
        <v>640</v>
      </c>
      <c r="H672" s="35" t="s">
        <v>56</v>
      </c>
      <c r="I672" s="35" t="s">
        <v>64</v>
      </c>
      <c r="J672" s="35">
        <v>58</v>
      </c>
      <c r="K672" s="35" t="s">
        <v>276</v>
      </c>
      <c r="L672" s="35">
        <v>668</v>
      </c>
      <c r="M672" s="37">
        <v>11356000</v>
      </c>
      <c r="N672" s="38">
        <f t="shared" si="13"/>
        <v>17000</v>
      </c>
      <c r="O672" s="37" t="s">
        <v>29</v>
      </c>
      <c r="P672" s="37" t="s">
        <v>30</v>
      </c>
      <c r="Q672" s="36">
        <v>46276</v>
      </c>
      <c r="R672" s="37" t="s">
        <v>31</v>
      </c>
      <c r="S672" s="35"/>
      <c r="T672" s="35"/>
    </row>
    <row r="673" spans="1:20" ht="15.6" x14ac:dyDescent="0.3">
      <c r="A673" s="35" t="s">
        <v>611</v>
      </c>
      <c r="B673" s="35" t="s">
        <v>374</v>
      </c>
      <c r="C673" s="35" t="s">
        <v>375</v>
      </c>
      <c r="D673" s="35" t="s">
        <v>684</v>
      </c>
      <c r="E673" s="41" t="s">
        <v>23</v>
      </c>
      <c r="F673" s="35" t="s">
        <v>54</v>
      </c>
      <c r="G673" s="35" t="s">
        <v>379</v>
      </c>
      <c r="H673" s="35" t="s">
        <v>56</v>
      </c>
      <c r="I673" s="35" t="s">
        <v>64</v>
      </c>
      <c r="J673" s="35">
        <v>234</v>
      </c>
      <c r="K673" s="35" t="s">
        <v>123</v>
      </c>
      <c r="L673" s="35">
        <v>200</v>
      </c>
      <c r="M673" s="37">
        <v>659779</v>
      </c>
      <c r="N673" s="38">
        <f t="shared" si="13"/>
        <v>3298.895</v>
      </c>
      <c r="O673" s="37" t="s">
        <v>29</v>
      </c>
      <c r="P673" s="37" t="s">
        <v>30</v>
      </c>
      <c r="Q673" s="36">
        <v>46153</v>
      </c>
      <c r="R673" s="37" t="s">
        <v>31</v>
      </c>
      <c r="S673" s="35"/>
      <c r="T673" s="35"/>
    </row>
    <row r="674" spans="1:20" ht="15.6" x14ac:dyDescent="0.3">
      <c r="A674" s="35" t="s">
        <v>611</v>
      </c>
      <c r="B674" s="35" t="s">
        <v>403</v>
      </c>
      <c r="C674" s="35" t="s">
        <v>404</v>
      </c>
      <c r="D674" s="35" t="s">
        <v>684</v>
      </c>
      <c r="E674" s="35" t="s">
        <v>47</v>
      </c>
      <c r="F674" s="35" t="s">
        <v>58</v>
      </c>
      <c r="G674" s="35" t="s">
        <v>407</v>
      </c>
      <c r="H674" s="35" t="s">
        <v>26</v>
      </c>
      <c r="I674" s="35" t="s">
        <v>64</v>
      </c>
      <c r="J674" s="35">
        <v>235</v>
      </c>
      <c r="K674" s="35" t="s">
        <v>123</v>
      </c>
      <c r="L674" s="35">
        <v>40</v>
      </c>
      <c r="M674" s="37">
        <v>540000</v>
      </c>
      <c r="N674" s="38">
        <f t="shared" si="13"/>
        <v>13500</v>
      </c>
      <c r="O674" s="37" t="s">
        <v>29</v>
      </c>
      <c r="P674" s="37" t="s">
        <v>30</v>
      </c>
      <c r="Q674" s="36">
        <v>46295</v>
      </c>
      <c r="R674" s="37" t="s">
        <v>31</v>
      </c>
      <c r="S674" s="35"/>
      <c r="T674" s="35"/>
    </row>
    <row r="675" spans="1:20" ht="15.6" x14ac:dyDescent="0.3">
      <c r="A675" s="35" t="s">
        <v>611</v>
      </c>
      <c r="B675" s="35" t="s">
        <v>403</v>
      </c>
      <c r="C675" s="35" t="s">
        <v>404</v>
      </c>
      <c r="D675" s="35" t="s">
        <v>684</v>
      </c>
      <c r="E675" s="35" t="s">
        <v>47</v>
      </c>
      <c r="F675" s="35" t="s">
        <v>58</v>
      </c>
      <c r="G675" s="35" t="s">
        <v>408</v>
      </c>
      <c r="H675" s="35" t="s">
        <v>26</v>
      </c>
      <c r="I675" s="35" t="s">
        <v>64</v>
      </c>
      <c r="J675" s="35">
        <v>235</v>
      </c>
      <c r="K675" s="35" t="s">
        <v>123</v>
      </c>
      <c r="L675" s="35">
        <v>15</v>
      </c>
      <c r="M675" s="37">
        <v>202500</v>
      </c>
      <c r="N675" s="38">
        <f t="shared" si="13"/>
        <v>13500</v>
      </c>
      <c r="O675" s="37" t="s">
        <v>29</v>
      </c>
      <c r="P675" s="37" t="s">
        <v>30</v>
      </c>
      <c r="Q675" s="36">
        <v>46295</v>
      </c>
      <c r="R675" s="37" t="s">
        <v>31</v>
      </c>
      <c r="S675" s="35"/>
      <c r="T675" s="35"/>
    </row>
    <row r="676" spans="1:20" ht="15.6" x14ac:dyDescent="0.3">
      <c r="A676" s="35" t="s">
        <v>611</v>
      </c>
      <c r="B676" s="35" t="s">
        <v>403</v>
      </c>
      <c r="C676" s="35" t="s">
        <v>404</v>
      </c>
      <c r="D676" s="35" t="s">
        <v>684</v>
      </c>
      <c r="E676" s="35" t="s">
        <v>47</v>
      </c>
      <c r="F676" s="35" t="s">
        <v>58</v>
      </c>
      <c r="G676" s="35" t="s">
        <v>257</v>
      </c>
      <c r="H676" s="35" t="s">
        <v>26</v>
      </c>
      <c r="I676" s="35" t="s">
        <v>64</v>
      </c>
      <c r="J676" s="35">
        <v>235</v>
      </c>
      <c r="K676" s="35" t="s">
        <v>123</v>
      </c>
      <c r="L676" s="35">
        <v>20</v>
      </c>
      <c r="M676" s="37">
        <v>162000</v>
      </c>
      <c r="N676" s="38">
        <f t="shared" si="13"/>
        <v>8100</v>
      </c>
      <c r="O676" s="37" t="s">
        <v>29</v>
      </c>
      <c r="P676" s="37" t="s">
        <v>30</v>
      </c>
      <c r="Q676" s="36">
        <v>46295</v>
      </c>
      <c r="R676" s="37" t="s">
        <v>31</v>
      </c>
      <c r="S676" s="35"/>
      <c r="T676" s="35"/>
    </row>
    <row r="677" spans="1:20" ht="15.6" x14ac:dyDescent="0.3">
      <c r="A677" s="35" t="s">
        <v>611</v>
      </c>
      <c r="B677" s="35" t="s">
        <v>403</v>
      </c>
      <c r="C677" s="35" t="s">
        <v>404</v>
      </c>
      <c r="D677" s="35" t="s">
        <v>684</v>
      </c>
      <c r="E677" s="35" t="s">
        <v>47</v>
      </c>
      <c r="F677" s="35" t="s">
        <v>58</v>
      </c>
      <c r="G677" s="35" t="s">
        <v>258</v>
      </c>
      <c r="H677" s="35" t="s">
        <v>26</v>
      </c>
      <c r="I677" s="35" t="s">
        <v>64</v>
      </c>
      <c r="J677" s="35">
        <v>235</v>
      </c>
      <c r="K677" s="35" t="s">
        <v>123</v>
      </c>
      <c r="L677" s="35">
        <v>15</v>
      </c>
      <c r="M677" s="37">
        <v>121500</v>
      </c>
      <c r="N677" s="38">
        <f t="shared" si="13"/>
        <v>8100</v>
      </c>
      <c r="O677" s="37" t="s">
        <v>29</v>
      </c>
      <c r="P677" s="37" t="s">
        <v>30</v>
      </c>
      <c r="Q677" s="36">
        <v>46295</v>
      </c>
      <c r="R677" s="37" t="s">
        <v>31</v>
      </c>
      <c r="S677" s="35"/>
      <c r="T677" s="35"/>
    </row>
    <row r="678" spans="1:20" ht="15.6" x14ac:dyDescent="0.3">
      <c r="A678" s="35" t="s">
        <v>611</v>
      </c>
      <c r="B678" s="35" t="s">
        <v>403</v>
      </c>
      <c r="C678" s="35" t="s">
        <v>404</v>
      </c>
      <c r="D678" s="35" t="s">
        <v>684</v>
      </c>
      <c r="E678" s="35" t="s">
        <v>47</v>
      </c>
      <c r="F678" s="35" t="s">
        <v>58</v>
      </c>
      <c r="G678" s="35" t="s">
        <v>453</v>
      </c>
      <c r="H678" s="35" t="s">
        <v>26</v>
      </c>
      <c r="I678" s="35" t="s">
        <v>64</v>
      </c>
      <c r="J678" s="35">
        <v>235</v>
      </c>
      <c r="K678" s="35" t="s">
        <v>123</v>
      </c>
      <c r="L678" s="35">
        <v>1</v>
      </c>
      <c r="M678" s="37">
        <v>8100</v>
      </c>
      <c r="N678" s="38">
        <f t="shared" si="13"/>
        <v>8100</v>
      </c>
      <c r="O678" s="37" t="s">
        <v>29</v>
      </c>
      <c r="P678" s="37" t="s">
        <v>30</v>
      </c>
      <c r="Q678" s="36">
        <v>46295</v>
      </c>
      <c r="R678" s="37" t="s">
        <v>31</v>
      </c>
      <c r="S678" s="35"/>
      <c r="T678" s="35"/>
    </row>
    <row r="679" spans="1:20" ht="15.6" x14ac:dyDescent="0.3">
      <c r="A679" s="35" t="s">
        <v>611</v>
      </c>
      <c r="B679" s="35" t="s">
        <v>403</v>
      </c>
      <c r="C679" s="35" t="s">
        <v>404</v>
      </c>
      <c r="D679" s="35" t="s">
        <v>684</v>
      </c>
      <c r="E679" s="35" t="s">
        <v>47</v>
      </c>
      <c r="F679" s="35" t="s">
        <v>58</v>
      </c>
      <c r="G679" s="35" t="s">
        <v>321</v>
      </c>
      <c r="H679" s="35" t="s">
        <v>26</v>
      </c>
      <c r="I679" s="35" t="s">
        <v>64</v>
      </c>
      <c r="J679" s="35">
        <v>235</v>
      </c>
      <c r="K679" s="35" t="s">
        <v>123</v>
      </c>
      <c r="L679" s="35">
        <v>80</v>
      </c>
      <c r="M679" s="37">
        <v>720000</v>
      </c>
      <c r="N679" s="38">
        <f t="shared" si="13"/>
        <v>9000</v>
      </c>
      <c r="O679" s="37" t="s">
        <v>29</v>
      </c>
      <c r="P679" s="37" t="s">
        <v>30</v>
      </c>
      <c r="Q679" s="36">
        <v>46295</v>
      </c>
      <c r="R679" s="37" t="s">
        <v>31</v>
      </c>
      <c r="S679" s="35"/>
      <c r="T679" s="35"/>
    </row>
    <row r="680" spans="1:20" ht="15.6" x14ac:dyDescent="0.3">
      <c r="A680" s="35" t="s">
        <v>611</v>
      </c>
      <c r="B680" s="35" t="s">
        <v>403</v>
      </c>
      <c r="C680" s="35" t="s">
        <v>404</v>
      </c>
      <c r="D680" s="35" t="s">
        <v>684</v>
      </c>
      <c r="E680" s="35" t="s">
        <v>47</v>
      </c>
      <c r="F680" s="35" t="s">
        <v>58</v>
      </c>
      <c r="G680" s="35" t="s">
        <v>282</v>
      </c>
      <c r="H680" s="35" t="s">
        <v>26</v>
      </c>
      <c r="I680" s="35" t="s">
        <v>64</v>
      </c>
      <c r="J680" s="35">
        <v>235</v>
      </c>
      <c r="K680" s="35" t="s">
        <v>123</v>
      </c>
      <c r="L680" s="35">
        <v>10</v>
      </c>
      <c r="M680" s="37">
        <v>90000</v>
      </c>
      <c r="N680" s="38">
        <f t="shared" si="13"/>
        <v>9000</v>
      </c>
      <c r="O680" s="37" t="s">
        <v>29</v>
      </c>
      <c r="P680" s="37" t="s">
        <v>30</v>
      </c>
      <c r="Q680" s="36">
        <v>46295</v>
      </c>
      <c r="R680" s="37" t="s">
        <v>31</v>
      </c>
      <c r="S680" s="35"/>
      <c r="T680" s="35"/>
    </row>
    <row r="681" spans="1:20" ht="15.6" x14ac:dyDescent="0.3">
      <c r="A681" s="35" t="s">
        <v>611</v>
      </c>
      <c r="B681" s="35" t="s">
        <v>446</v>
      </c>
      <c r="C681" s="35" t="s">
        <v>447</v>
      </c>
      <c r="D681" s="35" t="s">
        <v>685</v>
      </c>
      <c r="E681" s="35" t="s">
        <v>47</v>
      </c>
      <c r="F681" s="35" t="s">
        <v>24</v>
      </c>
      <c r="G681" s="35" t="s">
        <v>244</v>
      </c>
      <c r="H681" s="35" t="s">
        <v>26</v>
      </c>
      <c r="I681" s="35" t="s">
        <v>27</v>
      </c>
      <c r="J681" s="35">
        <v>555</v>
      </c>
      <c r="K681" s="35" t="s">
        <v>123</v>
      </c>
      <c r="L681" s="35">
        <v>40</v>
      </c>
      <c r="M681" s="37">
        <v>300000</v>
      </c>
      <c r="N681" s="38">
        <f t="shared" si="13"/>
        <v>7500</v>
      </c>
      <c r="O681" s="37" t="s">
        <v>29</v>
      </c>
      <c r="P681" s="37" t="s">
        <v>30</v>
      </c>
      <c r="Q681" s="36">
        <v>46094</v>
      </c>
      <c r="R681" s="37" t="s">
        <v>31</v>
      </c>
      <c r="S681" s="35"/>
      <c r="T681" s="35"/>
    </row>
    <row r="682" spans="1:20" ht="15.6" x14ac:dyDescent="0.3">
      <c r="A682" s="35" t="s">
        <v>611</v>
      </c>
      <c r="B682" s="35" t="s">
        <v>686</v>
      </c>
      <c r="C682" s="35" t="s">
        <v>687</v>
      </c>
      <c r="D682" s="35" t="s">
        <v>685</v>
      </c>
      <c r="E682" s="35" t="s">
        <v>35</v>
      </c>
      <c r="F682" s="35" t="s">
        <v>54</v>
      </c>
      <c r="G682" s="35" t="s">
        <v>688</v>
      </c>
      <c r="H682" s="35" t="s">
        <v>26</v>
      </c>
      <c r="I682" s="35" t="s">
        <v>64</v>
      </c>
      <c r="J682" s="35">
        <v>54</v>
      </c>
      <c r="K682" s="35" t="s">
        <v>123</v>
      </c>
      <c r="L682" s="35">
        <v>80</v>
      </c>
      <c r="M682" s="37">
        <v>1014000</v>
      </c>
      <c r="N682" s="38">
        <f t="shared" si="13"/>
        <v>12675</v>
      </c>
      <c r="O682" s="37" t="s">
        <v>29</v>
      </c>
      <c r="P682" s="37" t="s">
        <v>30</v>
      </c>
      <c r="Q682" s="36">
        <v>46094</v>
      </c>
      <c r="R682" s="37" t="s">
        <v>31</v>
      </c>
      <c r="S682" s="35"/>
      <c r="T682" s="35"/>
    </row>
    <row r="683" spans="1:20" ht="15.6" x14ac:dyDescent="0.3">
      <c r="A683" s="35" t="s">
        <v>611</v>
      </c>
      <c r="B683" s="35" t="s">
        <v>686</v>
      </c>
      <c r="C683" s="35" t="s">
        <v>687</v>
      </c>
      <c r="D683" s="35" t="s">
        <v>685</v>
      </c>
      <c r="E683" s="35" t="s">
        <v>35</v>
      </c>
      <c r="F683" s="35" t="s">
        <v>54</v>
      </c>
      <c r="G683" s="35" t="s">
        <v>689</v>
      </c>
      <c r="H683" s="35" t="s">
        <v>26</v>
      </c>
      <c r="I683" s="35" t="s">
        <v>64</v>
      </c>
      <c r="J683" s="35">
        <v>54</v>
      </c>
      <c r="K683" s="35" t="s">
        <v>123</v>
      </c>
      <c r="L683" s="35">
        <v>100</v>
      </c>
      <c r="M683" s="37">
        <v>1417500</v>
      </c>
      <c r="N683" s="38">
        <f t="shared" si="13"/>
        <v>14175</v>
      </c>
      <c r="O683" s="37" t="s">
        <v>29</v>
      </c>
      <c r="P683" s="37" t="s">
        <v>30</v>
      </c>
      <c r="Q683" s="36">
        <v>46094</v>
      </c>
      <c r="R683" s="37" t="s">
        <v>31</v>
      </c>
      <c r="S683" s="35"/>
      <c r="T683" s="35"/>
    </row>
    <row r="684" spans="1:20" ht="15.6" x14ac:dyDescent="0.3">
      <c r="A684" s="35" t="s">
        <v>611</v>
      </c>
      <c r="B684" s="35" t="s">
        <v>686</v>
      </c>
      <c r="C684" s="35" t="s">
        <v>687</v>
      </c>
      <c r="D684" s="35" t="s">
        <v>685</v>
      </c>
      <c r="E684" s="35" t="s">
        <v>35</v>
      </c>
      <c r="F684" s="35" t="s">
        <v>54</v>
      </c>
      <c r="G684" s="35" t="s">
        <v>690</v>
      </c>
      <c r="H684" s="35" t="s">
        <v>26</v>
      </c>
      <c r="I684" s="35" t="s">
        <v>64</v>
      </c>
      <c r="J684" s="35">
        <v>54</v>
      </c>
      <c r="K684" s="35" t="s">
        <v>123</v>
      </c>
      <c r="L684" s="35">
        <v>20</v>
      </c>
      <c r="M684" s="37">
        <v>328500</v>
      </c>
      <c r="N684" s="38">
        <f t="shared" si="13"/>
        <v>16425</v>
      </c>
      <c r="O684" s="37" t="s">
        <v>29</v>
      </c>
      <c r="P684" s="37" t="s">
        <v>30</v>
      </c>
      <c r="Q684" s="36">
        <v>46094</v>
      </c>
      <c r="R684" s="37" t="s">
        <v>31</v>
      </c>
      <c r="S684" s="35"/>
      <c r="T684" s="35"/>
    </row>
    <row r="685" spans="1:20" ht="15.6" x14ac:dyDescent="0.3">
      <c r="A685" s="35" t="s">
        <v>611</v>
      </c>
      <c r="B685" s="35" t="s">
        <v>61</v>
      </c>
      <c r="C685" s="35" t="s">
        <v>62</v>
      </c>
      <c r="D685" s="35" t="s">
        <v>685</v>
      </c>
      <c r="E685" s="35" t="s">
        <v>47</v>
      </c>
      <c r="F685" s="35" t="s">
        <v>24</v>
      </c>
      <c r="G685" s="35" t="s">
        <v>388</v>
      </c>
      <c r="H685" s="35" t="s">
        <v>26</v>
      </c>
      <c r="I685" s="35" t="s">
        <v>64</v>
      </c>
      <c r="J685" s="35">
        <v>236</v>
      </c>
      <c r="K685" s="35" t="s">
        <v>123</v>
      </c>
      <c r="L685" s="35">
        <v>80</v>
      </c>
      <c r="M685" s="37">
        <v>480000</v>
      </c>
      <c r="N685" s="38">
        <f t="shared" ref="N685:N689" si="14">M685/L685</f>
        <v>6000</v>
      </c>
      <c r="O685" s="37" t="s">
        <v>29</v>
      </c>
      <c r="P685" s="37" t="s">
        <v>30</v>
      </c>
      <c r="Q685" s="36">
        <v>46173</v>
      </c>
      <c r="R685" s="37" t="s">
        <v>31</v>
      </c>
      <c r="S685" s="35"/>
      <c r="T685" s="35"/>
    </row>
    <row r="686" spans="1:20" ht="15.6" x14ac:dyDescent="0.3">
      <c r="A686" s="35" t="s">
        <v>611</v>
      </c>
      <c r="B686" s="35" t="s">
        <v>151</v>
      </c>
      <c r="C686" s="35" t="s">
        <v>152</v>
      </c>
      <c r="D686" s="35" t="s">
        <v>685</v>
      </c>
      <c r="E686" s="35" t="s">
        <v>40</v>
      </c>
      <c r="F686" s="35" t="s">
        <v>36</v>
      </c>
      <c r="G686" s="35" t="s">
        <v>388</v>
      </c>
      <c r="H686" s="35" t="s">
        <v>26</v>
      </c>
      <c r="I686" s="35" t="s">
        <v>64</v>
      </c>
      <c r="J686" s="35">
        <v>237</v>
      </c>
      <c r="K686" s="35" t="s">
        <v>123</v>
      </c>
      <c r="L686" s="35">
        <v>20</v>
      </c>
      <c r="M686" s="37">
        <v>83000</v>
      </c>
      <c r="N686" s="38">
        <f t="shared" si="14"/>
        <v>4150</v>
      </c>
      <c r="O686" s="37" t="s">
        <v>29</v>
      </c>
      <c r="P686" s="37" t="s">
        <v>30</v>
      </c>
      <c r="Q686" s="36">
        <v>46155</v>
      </c>
      <c r="R686" s="37" t="s">
        <v>31</v>
      </c>
      <c r="S686" s="35"/>
      <c r="T686" s="35"/>
    </row>
    <row r="687" spans="1:20" ht="15.6" x14ac:dyDescent="0.3">
      <c r="A687" s="35" t="s">
        <v>611</v>
      </c>
      <c r="B687" s="35" t="s">
        <v>151</v>
      </c>
      <c r="C687" s="35" t="s">
        <v>152</v>
      </c>
      <c r="D687" s="35" t="s">
        <v>685</v>
      </c>
      <c r="E687" s="35" t="s">
        <v>40</v>
      </c>
      <c r="F687" s="35" t="s">
        <v>36</v>
      </c>
      <c r="G687" s="35" t="s">
        <v>691</v>
      </c>
      <c r="H687" s="35" t="s">
        <v>26</v>
      </c>
      <c r="I687" s="35" t="s">
        <v>64</v>
      </c>
      <c r="J687" s="35">
        <v>237</v>
      </c>
      <c r="K687" s="35" t="s">
        <v>123</v>
      </c>
      <c r="L687" s="35">
        <v>40</v>
      </c>
      <c r="M687" s="37">
        <v>680000</v>
      </c>
      <c r="N687" s="38">
        <f t="shared" si="14"/>
        <v>17000</v>
      </c>
      <c r="O687" s="37" t="s">
        <v>29</v>
      </c>
      <c r="P687" s="37" t="s">
        <v>30</v>
      </c>
      <c r="Q687" s="36">
        <v>46155</v>
      </c>
      <c r="R687" s="37" t="s">
        <v>31</v>
      </c>
      <c r="S687" s="35"/>
      <c r="T687" s="35"/>
    </row>
    <row r="688" spans="1:20" ht="15.6" x14ac:dyDescent="0.3">
      <c r="A688" s="35" t="s">
        <v>611</v>
      </c>
      <c r="B688" s="35" t="s">
        <v>692</v>
      </c>
      <c r="C688" s="35" t="s">
        <v>693</v>
      </c>
      <c r="D688" s="35" t="s">
        <v>685</v>
      </c>
      <c r="E688" s="35" t="s">
        <v>237</v>
      </c>
      <c r="F688" s="35" t="s">
        <v>54</v>
      </c>
      <c r="G688" s="35" t="s">
        <v>242</v>
      </c>
      <c r="H688" s="35" t="s">
        <v>26</v>
      </c>
      <c r="I688" s="35" t="s">
        <v>27</v>
      </c>
      <c r="J688" s="35">
        <v>556</v>
      </c>
      <c r="K688" s="35" t="s">
        <v>123</v>
      </c>
      <c r="L688" s="35">
        <v>240</v>
      </c>
      <c r="M688" s="37">
        <v>2140800</v>
      </c>
      <c r="N688" s="38">
        <f t="shared" si="14"/>
        <v>8920</v>
      </c>
      <c r="O688" s="37" t="s">
        <v>29</v>
      </c>
      <c r="P688" s="37" t="s">
        <v>30</v>
      </c>
      <c r="Q688" s="36">
        <v>46094</v>
      </c>
      <c r="R688" s="37" t="s">
        <v>31</v>
      </c>
      <c r="S688" s="35"/>
      <c r="T688" s="35"/>
    </row>
    <row r="689" spans="1:20" ht="15.6" x14ac:dyDescent="0.3">
      <c r="A689" s="35" t="s">
        <v>611</v>
      </c>
      <c r="B689" s="35" t="s">
        <v>692</v>
      </c>
      <c r="C689" s="35" t="s">
        <v>693</v>
      </c>
      <c r="D689" s="35" t="s">
        <v>685</v>
      </c>
      <c r="E689" s="35" t="s">
        <v>237</v>
      </c>
      <c r="F689" s="35" t="s">
        <v>54</v>
      </c>
      <c r="G689" s="35" t="s">
        <v>289</v>
      </c>
      <c r="H689" s="35" t="s">
        <v>26</v>
      </c>
      <c r="I689" s="35" t="s">
        <v>27</v>
      </c>
      <c r="J689" s="35">
        <v>556</v>
      </c>
      <c r="K689" s="35" t="s">
        <v>123</v>
      </c>
      <c r="L689" s="35">
        <v>20</v>
      </c>
      <c r="M689" s="37">
        <v>118000</v>
      </c>
      <c r="N689" s="38">
        <f t="shared" si="14"/>
        <v>5900</v>
      </c>
      <c r="O689" s="37" t="s">
        <v>29</v>
      </c>
      <c r="P689" s="37" t="s">
        <v>30</v>
      </c>
      <c r="Q689" s="36">
        <v>46094</v>
      </c>
      <c r="R689" s="37" t="s">
        <v>31</v>
      </c>
      <c r="S689" s="35"/>
      <c r="T689" s="35"/>
    </row>
    <row r="690" spans="1:20" ht="15.6" x14ac:dyDescent="0.3">
      <c r="A690" s="35" t="s">
        <v>611</v>
      </c>
      <c r="B690" s="35" t="s">
        <v>694</v>
      </c>
      <c r="C690" s="35" t="s">
        <v>695</v>
      </c>
      <c r="D690" s="35" t="s">
        <v>696</v>
      </c>
      <c r="E690" s="41" t="s">
        <v>23</v>
      </c>
      <c r="F690" s="35" t="s">
        <v>89</v>
      </c>
      <c r="G690" s="35" t="s">
        <v>463</v>
      </c>
      <c r="H690" s="35" t="s">
        <v>56</v>
      </c>
      <c r="I690" s="35" t="s">
        <v>27</v>
      </c>
      <c r="J690" s="35">
        <v>557</v>
      </c>
      <c r="K690" s="35" t="s">
        <v>123</v>
      </c>
      <c r="L690" s="35">
        <v>36</v>
      </c>
      <c r="M690" s="37">
        <v>0</v>
      </c>
      <c r="N690" s="38">
        <f t="shared" ref="N690:N754" si="15">M690/L690</f>
        <v>0</v>
      </c>
      <c r="O690" s="37" t="s">
        <v>29</v>
      </c>
      <c r="P690" s="37" t="s">
        <v>30</v>
      </c>
      <c r="Q690" s="36">
        <v>46111</v>
      </c>
      <c r="R690" s="37" t="s">
        <v>31</v>
      </c>
      <c r="S690" s="35" t="s">
        <v>697</v>
      </c>
      <c r="T690" s="36">
        <v>45982</v>
      </c>
    </row>
    <row r="691" spans="1:20" ht="15.6" x14ac:dyDescent="0.3">
      <c r="A691" s="35" t="s">
        <v>611</v>
      </c>
      <c r="B691" s="35" t="s">
        <v>694</v>
      </c>
      <c r="C691" s="35" t="s">
        <v>695</v>
      </c>
      <c r="D691" s="35" t="s">
        <v>696</v>
      </c>
      <c r="E691" s="41" t="s">
        <v>23</v>
      </c>
      <c r="F691" s="35" t="s">
        <v>89</v>
      </c>
      <c r="G691" s="35" t="s">
        <v>287</v>
      </c>
      <c r="H691" s="35" t="s">
        <v>56</v>
      </c>
      <c r="I691" s="35" t="s">
        <v>27</v>
      </c>
      <c r="J691" s="35">
        <v>558</v>
      </c>
      <c r="K691" s="35" t="s">
        <v>123</v>
      </c>
      <c r="L691" s="35">
        <v>24</v>
      </c>
      <c r="M691" s="37">
        <v>0</v>
      </c>
      <c r="N691" s="38">
        <f t="shared" si="15"/>
        <v>0</v>
      </c>
      <c r="O691" s="37" t="s">
        <v>29</v>
      </c>
      <c r="P691" s="37" t="s">
        <v>30</v>
      </c>
      <c r="Q691" s="36">
        <v>46111</v>
      </c>
      <c r="R691" s="37" t="s">
        <v>31</v>
      </c>
      <c r="S691" s="37" t="s">
        <v>698</v>
      </c>
      <c r="T691" s="36">
        <v>45940</v>
      </c>
    </row>
    <row r="692" spans="1:20" ht="15.6" x14ac:dyDescent="0.3">
      <c r="A692" s="35" t="s">
        <v>611</v>
      </c>
      <c r="B692" s="35" t="s">
        <v>694</v>
      </c>
      <c r="C692" s="35" t="s">
        <v>695</v>
      </c>
      <c r="D692" s="35" t="s">
        <v>696</v>
      </c>
      <c r="E692" s="41" t="s">
        <v>23</v>
      </c>
      <c r="F692" s="35" t="s">
        <v>89</v>
      </c>
      <c r="G692" s="35" t="s">
        <v>463</v>
      </c>
      <c r="H692" s="35" t="s">
        <v>56</v>
      </c>
      <c r="I692" s="35" t="s">
        <v>27</v>
      </c>
      <c r="J692" s="35">
        <v>559</v>
      </c>
      <c r="K692" s="35" t="s">
        <v>123</v>
      </c>
      <c r="L692" s="35">
        <v>36</v>
      </c>
      <c r="M692" s="37">
        <v>0</v>
      </c>
      <c r="N692" s="38">
        <f t="shared" si="15"/>
        <v>0</v>
      </c>
      <c r="O692" s="37" t="s">
        <v>29</v>
      </c>
      <c r="P692" s="37" t="s">
        <v>30</v>
      </c>
      <c r="Q692" s="36">
        <v>46111</v>
      </c>
      <c r="R692" s="37" t="s">
        <v>31</v>
      </c>
      <c r="S692" s="37" t="s">
        <v>699</v>
      </c>
      <c r="T692" s="36">
        <v>45930</v>
      </c>
    </row>
    <row r="693" spans="1:20" ht="15.6" x14ac:dyDescent="0.3">
      <c r="A693" s="35" t="s">
        <v>611</v>
      </c>
      <c r="B693" s="35" t="s">
        <v>700</v>
      </c>
      <c r="C693" s="35" t="s">
        <v>701</v>
      </c>
      <c r="D693" s="35" t="s">
        <v>696</v>
      </c>
      <c r="E693" s="35" t="s">
        <v>511</v>
      </c>
      <c r="F693" s="35" t="s">
        <v>217</v>
      </c>
      <c r="G693" s="35" t="s">
        <v>702</v>
      </c>
      <c r="H693" s="35" t="s">
        <v>85</v>
      </c>
      <c r="I693" s="35" t="s">
        <v>27</v>
      </c>
      <c r="J693" s="35">
        <v>560</v>
      </c>
      <c r="K693" s="35" t="s">
        <v>7</v>
      </c>
      <c r="L693" s="35">
        <v>2</v>
      </c>
      <c r="M693" s="37">
        <v>0</v>
      </c>
      <c r="N693" s="38">
        <f t="shared" si="15"/>
        <v>0</v>
      </c>
      <c r="O693" s="37" t="s">
        <v>29</v>
      </c>
      <c r="P693" s="37" t="s">
        <v>30</v>
      </c>
      <c r="Q693" s="36">
        <v>46097</v>
      </c>
      <c r="R693" s="37" t="s">
        <v>31</v>
      </c>
      <c r="S693" s="35"/>
      <c r="T693" s="35"/>
    </row>
    <row r="694" spans="1:20" ht="15.6" x14ac:dyDescent="0.3">
      <c r="A694" s="35" t="s">
        <v>611</v>
      </c>
      <c r="B694" s="35" t="s">
        <v>700</v>
      </c>
      <c r="C694" s="35" t="s">
        <v>701</v>
      </c>
      <c r="D694" s="35" t="s">
        <v>696</v>
      </c>
      <c r="E694" s="35" t="s">
        <v>511</v>
      </c>
      <c r="F694" s="35" t="s">
        <v>217</v>
      </c>
      <c r="G694" s="35" t="s">
        <v>703</v>
      </c>
      <c r="H694" s="35" t="s">
        <v>85</v>
      </c>
      <c r="I694" s="35" t="s">
        <v>27</v>
      </c>
      <c r="J694" s="35">
        <v>560</v>
      </c>
      <c r="K694" s="35" t="s">
        <v>7</v>
      </c>
      <c r="L694" s="35">
        <v>2</v>
      </c>
      <c r="M694" s="37">
        <v>0</v>
      </c>
      <c r="N694" s="38">
        <f t="shared" si="15"/>
        <v>0</v>
      </c>
      <c r="O694" s="37" t="s">
        <v>29</v>
      </c>
      <c r="P694" s="37" t="s">
        <v>30</v>
      </c>
      <c r="Q694" s="36">
        <v>46097</v>
      </c>
      <c r="R694" s="37" t="s">
        <v>31</v>
      </c>
      <c r="S694" s="35"/>
      <c r="T694" s="35"/>
    </row>
    <row r="695" spans="1:20" ht="15.6" x14ac:dyDescent="0.3">
      <c r="A695" s="35" t="s">
        <v>611</v>
      </c>
      <c r="B695" s="35" t="s">
        <v>700</v>
      </c>
      <c r="C695" s="35" t="s">
        <v>701</v>
      </c>
      <c r="D695" s="35" t="s">
        <v>696</v>
      </c>
      <c r="E695" s="35" t="s">
        <v>511</v>
      </c>
      <c r="F695" s="35" t="s">
        <v>217</v>
      </c>
      <c r="G695" s="35" t="s">
        <v>704</v>
      </c>
      <c r="H695" s="35" t="s">
        <v>85</v>
      </c>
      <c r="I695" s="35" t="s">
        <v>27</v>
      </c>
      <c r="J695" s="35">
        <v>560</v>
      </c>
      <c r="K695" s="35" t="s">
        <v>7</v>
      </c>
      <c r="L695" s="35">
        <v>2</v>
      </c>
      <c r="M695" s="37">
        <v>0</v>
      </c>
      <c r="N695" s="38">
        <f t="shared" si="15"/>
        <v>0</v>
      </c>
      <c r="O695" s="37" t="s">
        <v>29</v>
      </c>
      <c r="P695" s="37" t="s">
        <v>30</v>
      </c>
      <c r="Q695" s="36">
        <v>46097</v>
      </c>
      <c r="R695" s="37" t="s">
        <v>31</v>
      </c>
      <c r="S695" s="35"/>
      <c r="T695" s="35"/>
    </row>
    <row r="696" spans="1:20" ht="15.6" x14ac:dyDescent="0.3">
      <c r="A696" s="35" t="s">
        <v>611</v>
      </c>
      <c r="B696" s="35" t="s">
        <v>700</v>
      </c>
      <c r="C696" s="35" t="s">
        <v>701</v>
      </c>
      <c r="D696" s="35" t="s">
        <v>696</v>
      </c>
      <c r="E696" s="35" t="s">
        <v>511</v>
      </c>
      <c r="F696" s="35" t="s">
        <v>217</v>
      </c>
      <c r="G696" s="35" t="s">
        <v>705</v>
      </c>
      <c r="H696" s="35" t="s">
        <v>85</v>
      </c>
      <c r="I696" s="35" t="s">
        <v>27</v>
      </c>
      <c r="J696" s="35">
        <v>560</v>
      </c>
      <c r="K696" s="35" t="s">
        <v>7</v>
      </c>
      <c r="L696" s="35">
        <v>1</v>
      </c>
      <c r="M696" s="37">
        <v>0</v>
      </c>
      <c r="N696" s="38">
        <f t="shared" si="15"/>
        <v>0</v>
      </c>
      <c r="O696" s="37" t="s">
        <v>29</v>
      </c>
      <c r="P696" s="37" t="s">
        <v>30</v>
      </c>
      <c r="Q696" s="36">
        <v>46097</v>
      </c>
      <c r="R696" s="37" t="s">
        <v>31</v>
      </c>
      <c r="S696" s="35"/>
      <c r="T696" s="35"/>
    </row>
    <row r="697" spans="1:20" ht="15.6" x14ac:dyDescent="0.3">
      <c r="A697" s="35" t="s">
        <v>611</v>
      </c>
      <c r="B697" s="35" t="s">
        <v>431</v>
      </c>
      <c r="C697" s="35" t="s">
        <v>432</v>
      </c>
      <c r="D697" s="35" t="s">
        <v>706</v>
      </c>
      <c r="E697" s="35" t="s">
        <v>47</v>
      </c>
      <c r="F697" s="35" t="s">
        <v>58</v>
      </c>
      <c r="G697" s="35" t="s">
        <v>244</v>
      </c>
      <c r="H697" s="35" t="s">
        <v>56</v>
      </c>
      <c r="I697" s="35" t="s">
        <v>27</v>
      </c>
      <c r="J697" s="35">
        <v>561</v>
      </c>
      <c r="K697" s="35" t="s">
        <v>123</v>
      </c>
      <c r="L697" s="35">
        <v>20</v>
      </c>
      <c r="M697" s="37">
        <v>0</v>
      </c>
      <c r="N697" s="38">
        <f t="shared" si="15"/>
        <v>0</v>
      </c>
      <c r="O697" s="37" t="s">
        <v>29</v>
      </c>
      <c r="P697" s="37" t="s">
        <v>30</v>
      </c>
      <c r="Q697" s="36">
        <v>46108</v>
      </c>
      <c r="R697" s="37" t="s">
        <v>31</v>
      </c>
      <c r="S697" s="35" t="s">
        <v>707</v>
      </c>
      <c r="T697" s="36">
        <v>46048</v>
      </c>
    </row>
    <row r="698" spans="1:20" ht="15.6" x14ac:dyDescent="0.3">
      <c r="A698" s="35" t="s">
        <v>611</v>
      </c>
      <c r="B698" s="35" t="s">
        <v>51</v>
      </c>
      <c r="C698" s="35" t="s">
        <v>52</v>
      </c>
      <c r="D698" s="35" t="s">
        <v>706</v>
      </c>
      <c r="E698" s="35" t="s">
        <v>47</v>
      </c>
      <c r="F698" s="35" t="s">
        <v>58</v>
      </c>
      <c r="G698" s="35" t="s">
        <v>197</v>
      </c>
      <c r="H698" s="35" t="s">
        <v>26</v>
      </c>
      <c r="I698" s="35" t="s">
        <v>27</v>
      </c>
      <c r="J698" s="35">
        <v>562</v>
      </c>
      <c r="K698" s="35" t="s">
        <v>276</v>
      </c>
      <c r="L698" s="35">
        <v>20</v>
      </c>
      <c r="M698" s="37">
        <v>700000</v>
      </c>
      <c r="N698" s="38">
        <f t="shared" si="15"/>
        <v>35000</v>
      </c>
      <c r="O698" s="37" t="s">
        <v>29</v>
      </c>
      <c r="P698" s="37" t="s">
        <v>30</v>
      </c>
      <c r="Q698" s="36">
        <v>46188</v>
      </c>
      <c r="R698" s="37" t="s">
        <v>31</v>
      </c>
      <c r="S698" s="35"/>
      <c r="T698" s="35"/>
    </row>
    <row r="699" spans="1:20" ht="15.6" x14ac:dyDescent="0.3">
      <c r="A699" s="35" t="s">
        <v>611</v>
      </c>
      <c r="B699" s="35" t="s">
        <v>417</v>
      </c>
      <c r="C699" s="35" t="s">
        <v>418</v>
      </c>
      <c r="D699" s="35" t="s">
        <v>706</v>
      </c>
      <c r="E699" s="35" t="s">
        <v>35</v>
      </c>
      <c r="F699" s="35" t="s">
        <v>48</v>
      </c>
      <c r="G699" s="35" t="s">
        <v>419</v>
      </c>
      <c r="H699" s="35" t="s">
        <v>56</v>
      </c>
      <c r="I699" s="35" t="s">
        <v>27</v>
      </c>
      <c r="J699" s="35">
        <v>563</v>
      </c>
      <c r="K699" s="35" t="s">
        <v>276</v>
      </c>
      <c r="L699" s="35">
        <v>1</v>
      </c>
      <c r="M699" s="37">
        <v>0</v>
      </c>
      <c r="N699" s="38">
        <f t="shared" si="15"/>
        <v>0</v>
      </c>
      <c r="O699" s="37" t="s">
        <v>29</v>
      </c>
      <c r="P699" s="37" t="s">
        <v>30</v>
      </c>
      <c r="Q699" s="36">
        <v>46098</v>
      </c>
      <c r="R699" s="37" t="s">
        <v>31</v>
      </c>
      <c r="S699" s="35"/>
      <c r="T699" s="35"/>
    </row>
    <row r="700" spans="1:20" ht="15.6" x14ac:dyDescent="0.3">
      <c r="A700" s="35" t="s">
        <v>611</v>
      </c>
      <c r="B700" s="35" t="s">
        <v>417</v>
      </c>
      <c r="C700" s="35" t="s">
        <v>418</v>
      </c>
      <c r="D700" s="35" t="s">
        <v>706</v>
      </c>
      <c r="E700" s="35" t="s">
        <v>35</v>
      </c>
      <c r="F700" s="35" t="s">
        <v>48</v>
      </c>
      <c r="G700" s="35" t="s">
        <v>398</v>
      </c>
      <c r="H700" s="35" t="s">
        <v>56</v>
      </c>
      <c r="I700" s="35" t="s">
        <v>27</v>
      </c>
      <c r="J700" s="35">
        <v>563</v>
      </c>
      <c r="K700" s="35" t="s">
        <v>276</v>
      </c>
      <c r="L700" s="35">
        <v>4</v>
      </c>
      <c r="M700" s="37">
        <v>0</v>
      </c>
      <c r="N700" s="38">
        <f t="shared" si="15"/>
        <v>0</v>
      </c>
      <c r="O700" s="37" t="s">
        <v>29</v>
      </c>
      <c r="P700" s="37" t="s">
        <v>30</v>
      </c>
      <c r="Q700" s="36">
        <v>46098</v>
      </c>
      <c r="R700" s="37" t="s">
        <v>31</v>
      </c>
      <c r="S700" s="35"/>
      <c r="T700" s="35"/>
    </row>
    <row r="701" spans="1:20" ht="15.6" x14ac:dyDescent="0.3">
      <c r="A701" s="35" t="s">
        <v>611</v>
      </c>
      <c r="B701" s="35" t="s">
        <v>94</v>
      </c>
      <c r="C701" s="35" t="s">
        <v>95</v>
      </c>
      <c r="D701" s="35" t="s">
        <v>706</v>
      </c>
      <c r="E701" s="35" t="s">
        <v>381</v>
      </c>
      <c r="F701" s="35" t="s">
        <v>36</v>
      </c>
      <c r="G701" s="35" t="s">
        <v>258</v>
      </c>
      <c r="H701" s="35" t="s">
        <v>26</v>
      </c>
      <c r="I701" s="35" t="s">
        <v>27</v>
      </c>
      <c r="J701" s="35">
        <v>564</v>
      </c>
      <c r="K701" s="35" t="s">
        <v>123</v>
      </c>
      <c r="L701" s="35">
        <v>10</v>
      </c>
      <c r="M701" s="37">
        <v>0</v>
      </c>
      <c r="N701" s="38">
        <v>0</v>
      </c>
      <c r="O701" s="37" t="s">
        <v>29</v>
      </c>
      <c r="P701" s="37" t="s">
        <v>30</v>
      </c>
      <c r="Q701" s="36">
        <v>46128</v>
      </c>
      <c r="R701" s="37" t="s">
        <v>31</v>
      </c>
      <c r="S701" s="35" t="s">
        <v>708</v>
      </c>
      <c r="T701" s="36">
        <v>46128</v>
      </c>
    </row>
    <row r="702" spans="1:20" ht="15.6" x14ac:dyDescent="0.3">
      <c r="A702" s="35" t="s">
        <v>611</v>
      </c>
      <c r="B702" s="35" t="s">
        <v>94</v>
      </c>
      <c r="C702" s="35" t="s">
        <v>95</v>
      </c>
      <c r="D702" s="35" t="s">
        <v>706</v>
      </c>
      <c r="E702" s="35" t="s">
        <v>40</v>
      </c>
      <c r="F702" s="35" t="s">
        <v>36</v>
      </c>
      <c r="G702" s="35" t="s">
        <v>242</v>
      </c>
      <c r="H702" s="35" t="s">
        <v>26</v>
      </c>
      <c r="I702" s="35" t="s">
        <v>27</v>
      </c>
      <c r="J702" s="35">
        <v>564</v>
      </c>
      <c r="K702" s="35" t="s">
        <v>123</v>
      </c>
      <c r="L702" s="35">
        <v>40</v>
      </c>
      <c r="M702" s="37">
        <v>0</v>
      </c>
      <c r="N702" s="38">
        <f t="shared" si="15"/>
        <v>0</v>
      </c>
      <c r="O702" s="37" t="s">
        <v>29</v>
      </c>
      <c r="P702" s="37" t="s">
        <v>30</v>
      </c>
      <c r="Q702" s="36">
        <v>46128</v>
      </c>
      <c r="R702" s="37" t="s">
        <v>31</v>
      </c>
      <c r="S702" s="35" t="s">
        <v>708</v>
      </c>
      <c r="T702" s="36">
        <v>46128</v>
      </c>
    </row>
    <row r="703" spans="1:20" ht="15.6" x14ac:dyDescent="0.3">
      <c r="A703" s="35" t="s">
        <v>611</v>
      </c>
      <c r="B703" s="35" t="s">
        <v>94</v>
      </c>
      <c r="C703" s="35" t="s">
        <v>95</v>
      </c>
      <c r="D703" s="35" t="s">
        <v>706</v>
      </c>
      <c r="E703" s="35" t="s">
        <v>40</v>
      </c>
      <c r="F703" s="35" t="s">
        <v>36</v>
      </c>
      <c r="G703" s="35" t="s">
        <v>382</v>
      </c>
      <c r="H703" s="35" t="s">
        <v>26</v>
      </c>
      <c r="I703" s="35" t="s">
        <v>27</v>
      </c>
      <c r="J703" s="35">
        <v>564</v>
      </c>
      <c r="K703" s="35" t="s">
        <v>123</v>
      </c>
      <c r="L703" s="35">
        <v>20</v>
      </c>
      <c r="M703" s="37">
        <v>0</v>
      </c>
      <c r="N703" s="38">
        <f t="shared" si="15"/>
        <v>0</v>
      </c>
      <c r="O703" s="37" t="s">
        <v>29</v>
      </c>
      <c r="P703" s="37" t="s">
        <v>30</v>
      </c>
      <c r="Q703" s="36">
        <v>46128</v>
      </c>
      <c r="R703" s="37" t="s">
        <v>31</v>
      </c>
      <c r="S703" s="35" t="s">
        <v>708</v>
      </c>
      <c r="T703" s="36">
        <v>46128</v>
      </c>
    </row>
    <row r="704" spans="1:20" ht="15.6" x14ac:dyDescent="0.3">
      <c r="A704" s="35" t="s">
        <v>611</v>
      </c>
      <c r="B704" s="35" t="s">
        <v>94</v>
      </c>
      <c r="C704" s="35" t="s">
        <v>95</v>
      </c>
      <c r="D704" s="35" t="s">
        <v>706</v>
      </c>
      <c r="E704" s="35" t="s">
        <v>381</v>
      </c>
      <c r="F704" s="35" t="s">
        <v>36</v>
      </c>
      <c r="G704" s="35" t="s">
        <v>282</v>
      </c>
      <c r="H704" s="35" t="s">
        <v>26</v>
      </c>
      <c r="I704" s="35" t="s">
        <v>27</v>
      </c>
      <c r="J704" s="35">
        <v>564</v>
      </c>
      <c r="K704" s="35" t="s">
        <v>123</v>
      </c>
      <c r="L704" s="35">
        <v>5</v>
      </c>
      <c r="M704" s="37">
        <v>0</v>
      </c>
      <c r="N704" s="38">
        <f t="shared" si="15"/>
        <v>0</v>
      </c>
      <c r="O704" s="37" t="s">
        <v>29</v>
      </c>
      <c r="P704" s="37" t="s">
        <v>30</v>
      </c>
      <c r="Q704" s="36">
        <v>46128</v>
      </c>
      <c r="R704" s="37" t="s">
        <v>31</v>
      </c>
      <c r="S704" s="35" t="s">
        <v>708</v>
      </c>
      <c r="T704" s="36">
        <v>46128</v>
      </c>
    </row>
    <row r="705" spans="1:20" ht="15.6" x14ac:dyDescent="0.3">
      <c r="A705" s="35" t="s">
        <v>611</v>
      </c>
      <c r="B705" s="35" t="s">
        <v>94</v>
      </c>
      <c r="C705" s="35" t="s">
        <v>95</v>
      </c>
      <c r="D705" s="35" t="s">
        <v>706</v>
      </c>
      <c r="E705" s="35" t="s">
        <v>40</v>
      </c>
      <c r="F705" s="35" t="s">
        <v>36</v>
      </c>
      <c r="G705" s="35" t="s">
        <v>462</v>
      </c>
      <c r="H705" s="35" t="s">
        <v>26</v>
      </c>
      <c r="I705" s="35" t="s">
        <v>27</v>
      </c>
      <c r="J705" s="35">
        <v>564</v>
      </c>
      <c r="K705" s="35" t="s">
        <v>123</v>
      </c>
      <c r="L705" s="35">
        <v>10</v>
      </c>
      <c r="M705" s="37">
        <v>0</v>
      </c>
      <c r="N705" s="38">
        <f t="shared" si="15"/>
        <v>0</v>
      </c>
      <c r="O705" s="37" t="s">
        <v>29</v>
      </c>
      <c r="P705" s="37" t="s">
        <v>30</v>
      </c>
      <c r="Q705" s="36">
        <v>46128</v>
      </c>
      <c r="R705" s="37" t="s">
        <v>31</v>
      </c>
      <c r="S705" s="35" t="s">
        <v>708</v>
      </c>
      <c r="T705" s="36">
        <v>46128</v>
      </c>
    </row>
    <row r="706" spans="1:20" ht="15.6" x14ac:dyDescent="0.3">
      <c r="A706" s="35" t="s">
        <v>611</v>
      </c>
      <c r="B706" s="35" t="s">
        <v>94</v>
      </c>
      <c r="C706" s="35" t="s">
        <v>95</v>
      </c>
      <c r="D706" s="35" t="s">
        <v>706</v>
      </c>
      <c r="E706" s="35" t="s">
        <v>40</v>
      </c>
      <c r="F706" s="35" t="s">
        <v>36</v>
      </c>
      <c r="G706" s="35" t="s">
        <v>275</v>
      </c>
      <c r="H706" s="35" t="s">
        <v>26</v>
      </c>
      <c r="I706" s="35" t="s">
        <v>27</v>
      </c>
      <c r="J706" s="35">
        <v>564</v>
      </c>
      <c r="K706" s="35" t="s">
        <v>276</v>
      </c>
      <c r="L706" s="35">
        <v>40</v>
      </c>
      <c r="M706" s="37">
        <v>0</v>
      </c>
      <c r="N706" s="38">
        <f t="shared" si="15"/>
        <v>0</v>
      </c>
      <c r="O706" s="37" t="s">
        <v>29</v>
      </c>
      <c r="P706" s="37" t="s">
        <v>30</v>
      </c>
      <c r="Q706" s="36">
        <v>46128</v>
      </c>
      <c r="R706" s="37" t="s">
        <v>31</v>
      </c>
      <c r="S706" s="35" t="s">
        <v>708</v>
      </c>
      <c r="T706" s="36">
        <v>46128</v>
      </c>
    </row>
    <row r="707" spans="1:20" ht="15.6" x14ac:dyDescent="0.3">
      <c r="A707" s="35" t="s">
        <v>611</v>
      </c>
      <c r="B707" s="35" t="s">
        <v>279</v>
      </c>
      <c r="C707" s="35" t="s">
        <v>280</v>
      </c>
      <c r="D707" s="35" t="s">
        <v>706</v>
      </c>
      <c r="E707" s="35" t="s">
        <v>47</v>
      </c>
      <c r="F707" s="35" t="s">
        <v>24</v>
      </c>
      <c r="G707" s="35" t="s">
        <v>281</v>
      </c>
      <c r="H707" s="35" t="s">
        <v>56</v>
      </c>
      <c r="I707" s="35" t="s">
        <v>27</v>
      </c>
      <c r="J707" s="35">
        <v>565</v>
      </c>
      <c r="K707" s="35" t="s">
        <v>123</v>
      </c>
      <c r="L707" s="35">
        <v>10</v>
      </c>
      <c r="M707" s="37">
        <v>0</v>
      </c>
      <c r="N707" s="38">
        <f t="shared" si="15"/>
        <v>0</v>
      </c>
      <c r="O707" s="37" t="s">
        <v>29</v>
      </c>
      <c r="P707" s="37" t="s">
        <v>30</v>
      </c>
      <c r="Q707" s="36">
        <v>46098</v>
      </c>
      <c r="R707" s="37" t="s">
        <v>31</v>
      </c>
      <c r="S707" s="35" t="s">
        <v>709</v>
      </c>
      <c r="T707" s="36">
        <v>46038</v>
      </c>
    </row>
    <row r="708" spans="1:20" ht="15.6" x14ac:dyDescent="0.3">
      <c r="A708" s="35" t="s">
        <v>611</v>
      </c>
      <c r="B708" s="35" t="s">
        <v>279</v>
      </c>
      <c r="C708" s="35" t="s">
        <v>280</v>
      </c>
      <c r="D708" s="35" t="s">
        <v>706</v>
      </c>
      <c r="E708" s="35" t="s">
        <v>47</v>
      </c>
      <c r="F708" s="35" t="s">
        <v>24</v>
      </c>
      <c r="G708" s="35" t="s">
        <v>282</v>
      </c>
      <c r="H708" s="35" t="s">
        <v>56</v>
      </c>
      <c r="I708" s="35" t="s">
        <v>27</v>
      </c>
      <c r="J708" s="35">
        <v>565</v>
      </c>
      <c r="K708" s="35" t="s">
        <v>123</v>
      </c>
      <c r="L708" s="35">
        <v>10</v>
      </c>
      <c r="M708" s="37">
        <v>0</v>
      </c>
      <c r="N708" s="38">
        <f t="shared" si="15"/>
        <v>0</v>
      </c>
      <c r="O708" s="37" t="s">
        <v>29</v>
      </c>
      <c r="P708" s="37" t="s">
        <v>30</v>
      </c>
      <c r="Q708" s="36">
        <v>46098</v>
      </c>
      <c r="R708" s="37" t="s">
        <v>31</v>
      </c>
      <c r="S708" s="35" t="s">
        <v>709</v>
      </c>
      <c r="T708" s="36">
        <v>46038</v>
      </c>
    </row>
    <row r="709" spans="1:20" ht="15.6" x14ac:dyDescent="0.3">
      <c r="A709" s="35" t="s">
        <v>611</v>
      </c>
      <c r="B709" s="35" t="s">
        <v>51</v>
      </c>
      <c r="C709" s="35" t="s">
        <v>52</v>
      </c>
      <c r="D709" s="35" t="s">
        <v>710</v>
      </c>
      <c r="E709" s="35" t="s">
        <v>47</v>
      </c>
      <c r="F709" s="35" t="s">
        <v>58</v>
      </c>
      <c r="G709" s="35" t="s">
        <v>197</v>
      </c>
      <c r="H709" s="35" t="s">
        <v>26</v>
      </c>
      <c r="I709" s="35" t="s">
        <v>27</v>
      </c>
      <c r="J709" s="35">
        <v>566</v>
      </c>
      <c r="K709" s="35" t="s">
        <v>276</v>
      </c>
      <c r="L709" s="35">
        <v>23</v>
      </c>
      <c r="M709" s="37">
        <v>805000</v>
      </c>
      <c r="N709" s="38">
        <f t="shared" si="15"/>
        <v>35000</v>
      </c>
      <c r="O709" s="37" t="s">
        <v>29</v>
      </c>
      <c r="P709" s="37" t="s">
        <v>30</v>
      </c>
      <c r="Q709" s="36">
        <v>46193</v>
      </c>
      <c r="R709" s="37" t="s">
        <v>31</v>
      </c>
      <c r="S709" s="35"/>
      <c r="T709" s="35"/>
    </row>
    <row r="710" spans="1:20" ht="15.6" x14ac:dyDescent="0.3">
      <c r="A710" s="35" t="s">
        <v>611</v>
      </c>
      <c r="B710" s="35" t="s">
        <v>711</v>
      </c>
      <c r="C710" s="35" t="s">
        <v>712</v>
      </c>
      <c r="D710" s="35" t="s">
        <v>710</v>
      </c>
      <c r="E710" s="35" t="s">
        <v>88</v>
      </c>
      <c r="F710" s="35" t="s">
        <v>89</v>
      </c>
      <c r="G710" s="35" t="s">
        <v>713</v>
      </c>
      <c r="H710" s="35" t="s">
        <v>56</v>
      </c>
      <c r="I710" s="35" t="s">
        <v>27</v>
      </c>
      <c r="J710" s="35">
        <v>567</v>
      </c>
      <c r="K710" s="35" t="s">
        <v>123</v>
      </c>
      <c r="L710" s="35">
        <v>120</v>
      </c>
      <c r="M710" s="37">
        <v>1008000</v>
      </c>
      <c r="N710" s="38">
        <f t="shared" si="15"/>
        <v>8400</v>
      </c>
      <c r="O710" s="37" t="s">
        <v>29</v>
      </c>
      <c r="P710" s="37" t="s">
        <v>30</v>
      </c>
      <c r="Q710" s="36">
        <v>46129</v>
      </c>
      <c r="R710" s="37" t="s">
        <v>31</v>
      </c>
      <c r="S710" s="35"/>
      <c r="T710" s="35"/>
    </row>
    <row r="711" spans="1:20" ht="15.6" x14ac:dyDescent="0.3">
      <c r="A711" s="35" t="s">
        <v>611</v>
      </c>
      <c r="B711" s="35" t="s">
        <v>235</v>
      </c>
      <c r="C711" s="35" t="s">
        <v>236</v>
      </c>
      <c r="D711" s="35" t="s">
        <v>710</v>
      </c>
      <c r="E711" s="35" t="s">
        <v>237</v>
      </c>
      <c r="F711" s="35" t="s">
        <v>54</v>
      </c>
      <c r="G711" s="35" t="s">
        <v>637</v>
      </c>
      <c r="H711" s="35" t="s">
        <v>26</v>
      </c>
      <c r="I711" s="35" t="s">
        <v>27</v>
      </c>
      <c r="J711" s="35">
        <v>568</v>
      </c>
      <c r="K711" s="35" t="s">
        <v>7</v>
      </c>
      <c r="L711" s="35">
        <v>200</v>
      </c>
      <c r="M711" s="37">
        <v>0</v>
      </c>
      <c r="N711" s="38">
        <f t="shared" si="15"/>
        <v>0</v>
      </c>
      <c r="O711" s="37" t="s">
        <v>29</v>
      </c>
      <c r="P711" s="37" t="s">
        <v>30</v>
      </c>
      <c r="Q711" s="36">
        <v>46099</v>
      </c>
      <c r="R711" s="37" t="s">
        <v>31</v>
      </c>
      <c r="S711" s="35" t="s">
        <v>714</v>
      </c>
      <c r="T711" s="36">
        <v>45890</v>
      </c>
    </row>
    <row r="712" spans="1:20" ht="15.6" x14ac:dyDescent="0.3">
      <c r="A712" s="35" t="s">
        <v>611</v>
      </c>
      <c r="B712" s="35" t="s">
        <v>386</v>
      </c>
      <c r="C712" s="35" t="s">
        <v>387</v>
      </c>
      <c r="D712" s="35" t="s">
        <v>715</v>
      </c>
      <c r="E712" s="35" t="s">
        <v>47</v>
      </c>
      <c r="F712" s="35" t="s">
        <v>58</v>
      </c>
      <c r="G712" s="35" t="s">
        <v>321</v>
      </c>
      <c r="H712" s="35" t="s">
        <v>26</v>
      </c>
      <c r="I712" s="35" t="s">
        <v>27</v>
      </c>
      <c r="J712" s="35">
        <v>569</v>
      </c>
      <c r="K712" s="35" t="s">
        <v>123</v>
      </c>
      <c r="L712" s="35">
        <v>20</v>
      </c>
      <c r="M712" s="37">
        <v>214120</v>
      </c>
      <c r="N712" s="38">
        <f t="shared" si="15"/>
        <v>10706</v>
      </c>
      <c r="O712" s="37" t="s">
        <v>29</v>
      </c>
      <c r="P712" s="37" t="s">
        <v>30</v>
      </c>
      <c r="Q712" s="36">
        <v>46100</v>
      </c>
      <c r="R712" s="37" t="s">
        <v>31</v>
      </c>
      <c r="S712" s="35"/>
      <c r="T712" s="35"/>
    </row>
    <row r="713" spans="1:20" ht="15.6" x14ac:dyDescent="0.3">
      <c r="A713" s="35" t="s">
        <v>611</v>
      </c>
      <c r="B713" s="35" t="s">
        <v>386</v>
      </c>
      <c r="C713" s="35" t="s">
        <v>387</v>
      </c>
      <c r="D713" s="35" t="s">
        <v>715</v>
      </c>
      <c r="E713" s="35" t="s">
        <v>47</v>
      </c>
      <c r="F713" s="35" t="s">
        <v>58</v>
      </c>
      <c r="G713" s="35" t="s">
        <v>425</v>
      </c>
      <c r="H713" s="35" t="s">
        <v>26</v>
      </c>
      <c r="I713" s="35" t="s">
        <v>27</v>
      </c>
      <c r="J713" s="35">
        <v>569</v>
      </c>
      <c r="K713" s="35" t="s">
        <v>123</v>
      </c>
      <c r="L713" s="35">
        <v>20</v>
      </c>
      <c r="M713" s="37">
        <v>80000</v>
      </c>
      <c r="N713" s="38">
        <f t="shared" si="15"/>
        <v>4000</v>
      </c>
      <c r="O713" s="37" t="s">
        <v>29</v>
      </c>
      <c r="P713" s="37" t="s">
        <v>30</v>
      </c>
      <c r="Q713" s="36">
        <v>46100</v>
      </c>
      <c r="R713" s="37" t="s">
        <v>31</v>
      </c>
      <c r="S713" s="35"/>
      <c r="T713" s="35"/>
    </row>
    <row r="714" spans="1:20" ht="15.6" x14ac:dyDescent="0.3">
      <c r="A714" s="35" t="s">
        <v>611</v>
      </c>
      <c r="B714" s="35" t="s">
        <v>306</v>
      </c>
      <c r="C714" s="35" t="s">
        <v>307</v>
      </c>
      <c r="D714" s="35" t="s">
        <v>715</v>
      </c>
      <c r="E714" s="35" t="s">
        <v>47</v>
      </c>
      <c r="F714" s="35" t="s">
        <v>58</v>
      </c>
      <c r="G714" s="35" t="s">
        <v>410</v>
      </c>
      <c r="H714" s="35" t="s">
        <v>56</v>
      </c>
      <c r="I714" s="35" t="s">
        <v>27</v>
      </c>
      <c r="J714" s="35">
        <v>570</v>
      </c>
      <c r="K714" s="35" t="s">
        <v>123</v>
      </c>
      <c r="L714" s="35">
        <v>20</v>
      </c>
      <c r="M714" s="37">
        <v>0</v>
      </c>
      <c r="N714" s="38">
        <f t="shared" si="15"/>
        <v>0</v>
      </c>
      <c r="O714" s="37" t="s">
        <v>29</v>
      </c>
      <c r="P714" s="37" t="s">
        <v>30</v>
      </c>
      <c r="Q714" s="36">
        <v>46125</v>
      </c>
      <c r="R714" s="37" t="s">
        <v>31</v>
      </c>
      <c r="S714" s="35" t="s">
        <v>716</v>
      </c>
      <c r="T714" s="36">
        <v>46065</v>
      </c>
    </row>
    <row r="715" spans="1:20" ht="15.6" x14ac:dyDescent="0.3">
      <c r="A715" s="35" t="s">
        <v>611</v>
      </c>
      <c r="B715" s="35" t="s">
        <v>306</v>
      </c>
      <c r="C715" s="35" t="s">
        <v>307</v>
      </c>
      <c r="D715" s="35" t="s">
        <v>715</v>
      </c>
      <c r="E715" s="35" t="s">
        <v>47</v>
      </c>
      <c r="F715" s="35" t="s">
        <v>58</v>
      </c>
      <c r="G715" s="35" t="s">
        <v>310</v>
      </c>
      <c r="H715" s="35" t="s">
        <v>56</v>
      </c>
      <c r="I715" s="35" t="s">
        <v>27</v>
      </c>
      <c r="J715" s="35">
        <v>570</v>
      </c>
      <c r="K715" s="35" t="s">
        <v>123</v>
      </c>
      <c r="L715" s="35">
        <v>4</v>
      </c>
      <c r="M715" s="37">
        <v>0</v>
      </c>
      <c r="N715" s="38">
        <f t="shared" si="15"/>
        <v>0</v>
      </c>
      <c r="O715" s="37" t="s">
        <v>29</v>
      </c>
      <c r="P715" s="37" t="s">
        <v>30</v>
      </c>
      <c r="Q715" s="36">
        <v>46125</v>
      </c>
      <c r="R715" s="37" t="s">
        <v>31</v>
      </c>
      <c r="S715" s="35" t="s">
        <v>716</v>
      </c>
      <c r="T715" s="36">
        <v>46065</v>
      </c>
    </row>
    <row r="716" spans="1:20" ht="15.6" x14ac:dyDescent="0.3">
      <c r="A716" s="35" t="s">
        <v>611</v>
      </c>
      <c r="B716" s="35" t="s">
        <v>306</v>
      </c>
      <c r="C716" s="35" t="s">
        <v>307</v>
      </c>
      <c r="D716" s="35" t="s">
        <v>715</v>
      </c>
      <c r="E716" s="35" t="s">
        <v>47</v>
      </c>
      <c r="F716" s="35" t="s">
        <v>58</v>
      </c>
      <c r="G716" s="35" t="s">
        <v>289</v>
      </c>
      <c r="H716" s="35" t="s">
        <v>56</v>
      </c>
      <c r="I716" s="35" t="s">
        <v>27</v>
      </c>
      <c r="J716" s="35">
        <v>570</v>
      </c>
      <c r="K716" s="35" t="s">
        <v>123</v>
      </c>
      <c r="L716" s="35">
        <v>40</v>
      </c>
      <c r="M716" s="37">
        <v>0</v>
      </c>
      <c r="N716" s="38">
        <f t="shared" si="15"/>
        <v>0</v>
      </c>
      <c r="O716" s="37" t="s">
        <v>29</v>
      </c>
      <c r="P716" s="37" t="s">
        <v>30</v>
      </c>
      <c r="Q716" s="36">
        <v>46125</v>
      </c>
      <c r="R716" s="37" t="s">
        <v>31</v>
      </c>
      <c r="S716" s="35" t="s">
        <v>716</v>
      </c>
      <c r="T716" s="36">
        <v>46065</v>
      </c>
    </row>
    <row r="717" spans="1:20" ht="15.6" x14ac:dyDescent="0.3">
      <c r="A717" s="35" t="s">
        <v>611</v>
      </c>
      <c r="B717" s="35" t="s">
        <v>306</v>
      </c>
      <c r="C717" s="35" t="s">
        <v>307</v>
      </c>
      <c r="D717" s="35" t="s">
        <v>715</v>
      </c>
      <c r="E717" s="35" t="s">
        <v>47</v>
      </c>
      <c r="F717" s="35" t="s">
        <v>58</v>
      </c>
      <c r="G717" s="35" t="s">
        <v>388</v>
      </c>
      <c r="H717" s="35" t="s">
        <v>26</v>
      </c>
      <c r="I717" s="35" t="s">
        <v>27</v>
      </c>
      <c r="J717" s="35">
        <v>571</v>
      </c>
      <c r="K717" s="35" t="s">
        <v>123</v>
      </c>
      <c r="L717" s="35">
        <v>20</v>
      </c>
      <c r="M717" s="37">
        <v>0</v>
      </c>
      <c r="N717" s="38">
        <f t="shared" si="15"/>
        <v>0</v>
      </c>
      <c r="O717" s="37" t="s">
        <v>29</v>
      </c>
      <c r="P717" s="37" t="s">
        <v>30</v>
      </c>
      <c r="Q717" s="36">
        <v>46125</v>
      </c>
      <c r="R717" s="37" t="s">
        <v>31</v>
      </c>
      <c r="S717" s="35" t="s">
        <v>716</v>
      </c>
      <c r="T717" s="36">
        <v>46065</v>
      </c>
    </row>
    <row r="718" spans="1:20" ht="15.6" x14ac:dyDescent="0.3">
      <c r="A718" s="35" t="s">
        <v>611</v>
      </c>
      <c r="B718" s="35" t="s">
        <v>306</v>
      </c>
      <c r="C718" s="35" t="s">
        <v>307</v>
      </c>
      <c r="D718" s="35" t="s">
        <v>715</v>
      </c>
      <c r="E718" s="35" t="s">
        <v>47</v>
      </c>
      <c r="F718" s="35" t="s">
        <v>58</v>
      </c>
      <c r="G718" s="35" t="s">
        <v>438</v>
      </c>
      <c r="H718" s="35" t="s">
        <v>26</v>
      </c>
      <c r="I718" s="35" t="s">
        <v>27</v>
      </c>
      <c r="J718" s="35">
        <v>571</v>
      </c>
      <c r="K718" s="35" t="s">
        <v>123</v>
      </c>
      <c r="L718" s="35">
        <v>10</v>
      </c>
      <c r="M718" s="37">
        <v>0</v>
      </c>
      <c r="N718" s="38">
        <f t="shared" si="15"/>
        <v>0</v>
      </c>
      <c r="O718" s="37" t="s">
        <v>29</v>
      </c>
      <c r="P718" s="37" t="s">
        <v>30</v>
      </c>
      <c r="Q718" s="36">
        <v>46125</v>
      </c>
      <c r="R718" s="37" t="s">
        <v>31</v>
      </c>
      <c r="S718" s="35" t="s">
        <v>717</v>
      </c>
      <c r="T718" s="36">
        <v>46065</v>
      </c>
    </row>
    <row r="719" spans="1:20" ht="15.6" x14ac:dyDescent="0.3">
      <c r="A719" s="35" t="s">
        <v>611</v>
      </c>
      <c r="B719" s="35" t="s">
        <v>306</v>
      </c>
      <c r="C719" s="35" t="s">
        <v>307</v>
      </c>
      <c r="D719" s="35" t="s">
        <v>715</v>
      </c>
      <c r="E719" s="35" t="s">
        <v>47</v>
      </c>
      <c r="F719" s="35" t="s">
        <v>58</v>
      </c>
      <c r="G719" s="35" t="s">
        <v>289</v>
      </c>
      <c r="H719" s="35" t="s">
        <v>26</v>
      </c>
      <c r="I719" s="35" t="s">
        <v>27</v>
      </c>
      <c r="J719" s="35">
        <v>571</v>
      </c>
      <c r="K719" s="35" t="s">
        <v>123</v>
      </c>
      <c r="L719" s="35">
        <v>60</v>
      </c>
      <c r="M719" s="37">
        <v>0</v>
      </c>
      <c r="N719" s="38">
        <f t="shared" si="15"/>
        <v>0</v>
      </c>
      <c r="O719" s="37" t="s">
        <v>29</v>
      </c>
      <c r="P719" s="37" t="s">
        <v>30</v>
      </c>
      <c r="Q719" s="36">
        <v>46125</v>
      </c>
      <c r="R719" s="37" t="s">
        <v>31</v>
      </c>
      <c r="S719" s="35" t="s">
        <v>562</v>
      </c>
      <c r="T719" s="36">
        <v>46065</v>
      </c>
    </row>
    <row r="720" spans="1:20" ht="15.6" x14ac:dyDescent="0.3">
      <c r="A720" s="35" t="s">
        <v>611</v>
      </c>
      <c r="B720" s="35" t="s">
        <v>306</v>
      </c>
      <c r="C720" s="35" t="s">
        <v>307</v>
      </c>
      <c r="D720" s="35" t="s">
        <v>715</v>
      </c>
      <c r="E720" s="35" t="s">
        <v>47</v>
      </c>
      <c r="F720" s="35" t="s">
        <v>58</v>
      </c>
      <c r="G720" s="35" t="s">
        <v>410</v>
      </c>
      <c r="H720" s="35" t="s">
        <v>26</v>
      </c>
      <c r="I720" s="35" t="s">
        <v>27</v>
      </c>
      <c r="J720" s="35">
        <v>571</v>
      </c>
      <c r="K720" s="35" t="s">
        <v>123</v>
      </c>
      <c r="L720" s="35">
        <v>40</v>
      </c>
      <c r="M720" s="37">
        <v>0</v>
      </c>
      <c r="N720" s="38">
        <f t="shared" si="15"/>
        <v>0</v>
      </c>
      <c r="O720" s="37" t="s">
        <v>29</v>
      </c>
      <c r="P720" s="37" t="s">
        <v>30</v>
      </c>
      <c r="Q720" s="36">
        <v>46125</v>
      </c>
      <c r="R720" s="37" t="s">
        <v>31</v>
      </c>
      <c r="S720" s="35" t="s">
        <v>564</v>
      </c>
      <c r="T720" s="36">
        <v>46065</v>
      </c>
    </row>
    <row r="721" spans="1:20" ht="15.6" x14ac:dyDescent="0.3">
      <c r="A721" s="35" t="s">
        <v>611</v>
      </c>
      <c r="B721" s="35" t="s">
        <v>403</v>
      </c>
      <c r="C721" s="35" t="s">
        <v>404</v>
      </c>
      <c r="D721" s="35" t="s">
        <v>718</v>
      </c>
      <c r="E721" s="35" t="s">
        <v>47</v>
      </c>
      <c r="F721" s="35" t="s">
        <v>58</v>
      </c>
      <c r="G721" s="35" t="s">
        <v>244</v>
      </c>
      <c r="H721" s="35" t="s">
        <v>26</v>
      </c>
      <c r="I721" s="35" t="s">
        <v>27</v>
      </c>
      <c r="J721" s="35">
        <v>572</v>
      </c>
      <c r="K721" s="35" t="s">
        <v>123</v>
      </c>
      <c r="L721" s="35">
        <v>140</v>
      </c>
      <c r="M721" s="37">
        <v>0</v>
      </c>
      <c r="N721" s="38">
        <f t="shared" si="15"/>
        <v>0</v>
      </c>
      <c r="O721" s="37" t="s">
        <v>29</v>
      </c>
      <c r="P721" s="37" t="s">
        <v>30</v>
      </c>
      <c r="Q721" s="36">
        <v>46172</v>
      </c>
      <c r="R721" s="37" t="s">
        <v>31</v>
      </c>
      <c r="S721" s="35" t="s">
        <v>719</v>
      </c>
      <c r="T721" s="36">
        <v>46045</v>
      </c>
    </row>
    <row r="722" spans="1:20" ht="15.6" x14ac:dyDescent="0.3">
      <c r="A722" s="35" t="s">
        <v>611</v>
      </c>
      <c r="B722" s="35" t="s">
        <v>403</v>
      </c>
      <c r="C722" s="35" t="s">
        <v>404</v>
      </c>
      <c r="D722" s="35" t="s">
        <v>718</v>
      </c>
      <c r="E722" s="35" t="s">
        <v>47</v>
      </c>
      <c r="F722" s="35" t="s">
        <v>58</v>
      </c>
      <c r="G722" s="35" t="s">
        <v>327</v>
      </c>
      <c r="H722" s="35" t="s">
        <v>26</v>
      </c>
      <c r="I722" s="35" t="s">
        <v>27</v>
      </c>
      <c r="J722" s="35">
        <v>572</v>
      </c>
      <c r="K722" s="35" t="s">
        <v>123</v>
      </c>
      <c r="L722" s="35">
        <v>10</v>
      </c>
      <c r="M722" s="37">
        <v>0</v>
      </c>
      <c r="N722" s="38">
        <f t="shared" si="15"/>
        <v>0</v>
      </c>
      <c r="O722" s="37" t="s">
        <v>29</v>
      </c>
      <c r="P722" s="37" t="s">
        <v>30</v>
      </c>
      <c r="Q722" s="36">
        <v>46172</v>
      </c>
      <c r="R722" s="37" t="s">
        <v>31</v>
      </c>
      <c r="S722" s="35" t="s">
        <v>719</v>
      </c>
      <c r="T722" s="36">
        <v>46045</v>
      </c>
    </row>
    <row r="723" spans="1:20" ht="15.6" x14ac:dyDescent="0.3">
      <c r="A723" s="35" t="s">
        <v>611</v>
      </c>
      <c r="B723" s="35" t="s">
        <v>403</v>
      </c>
      <c r="C723" s="35" t="s">
        <v>404</v>
      </c>
      <c r="D723" s="35" t="s">
        <v>718</v>
      </c>
      <c r="E723" s="35" t="s">
        <v>47</v>
      </c>
      <c r="F723" s="35" t="s">
        <v>58</v>
      </c>
      <c r="G723" s="35" t="s">
        <v>407</v>
      </c>
      <c r="H723" s="35" t="s">
        <v>26</v>
      </c>
      <c r="I723" s="35" t="s">
        <v>27</v>
      </c>
      <c r="J723" s="35">
        <v>573</v>
      </c>
      <c r="K723" s="35" t="s">
        <v>123</v>
      </c>
      <c r="L723" s="35">
        <v>40</v>
      </c>
      <c r="M723" s="37">
        <v>0</v>
      </c>
      <c r="N723" s="38">
        <f t="shared" si="15"/>
        <v>0</v>
      </c>
      <c r="O723" s="37" t="s">
        <v>29</v>
      </c>
      <c r="P723" s="37" t="s">
        <v>30</v>
      </c>
      <c r="Q723" s="36">
        <v>46295</v>
      </c>
      <c r="R723" s="37" t="s">
        <v>31</v>
      </c>
      <c r="S723" s="35" t="s">
        <v>720</v>
      </c>
      <c r="T723" s="36">
        <v>46093</v>
      </c>
    </row>
    <row r="724" spans="1:20" ht="15.6" x14ac:dyDescent="0.3">
      <c r="A724" s="35" t="s">
        <v>611</v>
      </c>
      <c r="B724" s="35" t="s">
        <v>403</v>
      </c>
      <c r="C724" s="35" t="s">
        <v>404</v>
      </c>
      <c r="D724" s="35" t="s">
        <v>718</v>
      </c>
      <c r="E724" s="35" t="s">
        <v>47</v>
      </c>
      <c r="F724" s="35" t="s">
        <v>58</v>
      </c>
      <c r="G724" s="35" t="s">
        <v>408</v>
      </c>
      <c r="H724" s="35" t="s">
        <v>26</v>
      </c>
      <c r="I724" s="35" t="s">
        <v>27</v>
      </c>
      <c r="J724" s="35">
        <v>573</v>
      </c>
      <c r="K724" s="35" t="s">
        <v>123</v>
      </c>
      <c r="L724" s="35">
        <v>15</v>
      </c>
      <c r="M724" s="37">
        <v>0</v>
      </c>
      <c r="N724" s="38">
        <f t="shared" si="15"/>
        <v>0</v>
      </c>
      <c r="O724" s="37" t="s">
        <v>29</v>
      </c>
      <c r="P724" s="37" t="s">
        <v>30</v>
      </c>
      <c r="Q724" s="36">
        <v>46295</v>
      </c>
      <c r="R724" s="37" t="s">
        <v>31</v>
      </c>
      <c r="S724" s="35" t="s">
        <v>720</v>
      </c>
      <c r="T724" s="36">
        <v>46093</v>
      </c>
    </row>
    <row r="725" spans="1:20" ht="15.6" x14ac:dyDescent="0.3">
      <c r="A725" s="35" t="s">
        <v>611</v>
      </c>
      <c r="B725" s="35" t="s">
        <v>403</v>
      </c>
      <c r="C725" s="35" t="s">
        <v>404</v>
      </c>
      <c r="D725" s="35" t="s">
        <v>718</v>
      </c>
      <c r="E725" s="35" t="s">
        <v>47</v>
      </c>
      <c r="F725" s="35" t="s">
        <v>58</v>
      </c>
      <c r="G725" s="35" t="s">
        <v>257</v>
      </c>
      <c r="H725" s="35" t="s">
        <v>26</v>
      </c>
      <c r="I725" s="35" t="s">
        <v>27</v>
      </c>
      <c r="J725" s="35">
        <v>573</v>
      </c>
      <c r="K725" s="35" t="s">
        <v>123</v>
      </c>
      <c r="L725" s="35">
        <v>20</v>
      </c>
      <c r="M725" s="37">
        <v>0</v>
      </c>
      <c r="N725" s="38">
        <f t="shared" si="15"/>
        <v>0</v>
      </c>
      <c r="O725" s="37" t="s">
        <v>29</v>
      </c>
      <c r="P725" s="37" t="s">
        <v>30</v>
      </c>
      <c r="Q725" s="36">
        <v>46295</v>
      </c>
      <c r="R725" s="37" t="s">
        <v>31</v>
      </c>
      <c r="S725" s="35" t="s">
        <v>720</v>
      </c>
      <c r="T725" s="36">
        <v>46093</v>
      </c>
    </row>
    <row r="726" spans="1:20" ht="15.6" x14ac:dyDescent="0.3">
      <c r="A726" s="35" t="s">
        <v>611</v>
      </c>
      <c r="B726" s="35" t="s">
        <v>403</v>
      </c>
      <c r="C726" s="35" t="s">
        <v>404</v>
      </c>
      <c r="D726" s="35" t="s">
        <v>718</v>
      </c>
      <c r="E726" s="35" t="s">
        <v>47</v>
      </c>
      <c r="F726" s="35" t="s">
        <v>58</v>
      </c>
      <c r="G726" s="35" t="s">
        <v>258</v>
      </c>
      <c r="H726" s="35" t="s">
        <v>26</v>
      </c>
      <c r="I726" s="35" t="s">
        <v>27</v>
      </c>
      <c r="J726" s="35">
        <v>573</v>
      </c>
      <c r="K726" s="35" t="s">
        <v>123</v>
      </c>
      <c r="L726" s="35">
        <v>15</v>
      </c>
      <c r="M726" s="37">
        <v>0</v>
      </c>
      <c r="N726" s="38">
        <f t="shared" si="15"/>
        <v>0</v>
      </c>
      <c r="O726" s="37" t="s">
        <v>29</v>
      </c>
      <c r="P726" s="37" t="s">
        <v>30</v>
      </c>
      <c r="Q726" s="36">
        <v>46295</v>
      </c>
      <c r="R726" s="37" t="s">
        <v>31</v>
      </c>
      <c r="S726" s="35" t="s">
        <v>720</v>
      </c>
      <c r="T726" s="36">
        <v>46093</v>
      </c>
    </row>
    <row r="727" spans="1:20" ht="15.6" x14ac:dyDescent="0.3">
      <c r="A727" s="35" t="s">
        <v>611</v>
      </c>
      <c r="B727" s="35" t="s">
        <v>403</v>
      </c>
      <c r="C727" s="35" t="s">
        <v>404</v>
      </c>
      <c r="D727" s="35" t="s">
        <v>718</v>
      </c>
      <c r="E727" s="35" t="s">
        <v>47</v>
      </c>
      <c r="F727" s="35" t="s">
        <v>58</v>
      </c>
      <c r="G727" s="35" t="s">
        <v>453</v>
      </c>
      <c r="H727" s="35" t="s">
        <v>26</v>
      </c>
      <c r="I727" s="35" t="s">
        <v>27</v>
      </c>
      <c r="J727" s="35">
        <v>573</v>
      </c>
      <c r="K727" s="35" t="s">
        <v>123</v>
      </c>
      <c r="L727" s="35">
        <v>1</v>
      </c>
      <c r="M727" s="37">
        <v>0</v>
      </c>
      <c r="N727" s="38">
        <f t="shared" si="15"/>
        <v>0</v>
      </c>
      <c r="O727" s="37" t="s">
        <v>29</v>
      </c>
      <c r="P727" s="37" t="s">
        <v>30</v>
      </c>
      <c r="Q727" s="36">
        <v>46295</v>
      </c>
      <c r="R727" s="37" t="s">
        <v>31</v>
      </c>
      <c r="S727" s="35" t="s">
        <v>720</v>
      </c>
      <c r="T727" s="36">
        <v>46093</v>
      </c>
    </row>
    <row r="728" spans="1:20" ht="15.6" x14ac:dyDescent="0.3">
      <c r="A728" s="35" t="s">
        <v>611</v>
      </c>
      <c r="B728" s="35" t="s">
        <v>403</v>
      </c>
      <c r="C728" s="35" t="s">
        <v>404</v>
      </c>
      <c r="D728" s="35" t="s">
        <v>718</v>
      </c>
      <c r="E728" s="35" t="s">
        <v>47</v>
      </c>
      <c r="F728" s="35" t="s">
        <v>58</v>
      </c>
      <c r="G728" s="35" t="s">
        <v>321</v>
      </c>
      <c r="H728" s="35" t="s">
        <v>26</v>
      </c>
      <c r="I728" s="35" t="s">
        <v>27</v>
      </c>
      <c r="J728" s="35">
        <v>573</v>
      </c>
      <c r="K728" s="35" t="s">
        <v>123</v>
      </c>
      <c r="L728" s="35">
        <v>80</v>
      </c>
      <c r="M728" s="37">
        <v>0</v>
      </c>
      <c r="N728" s="38">
        <f t="shared" si="15"/>
        <v>0</v>
      </c>
      <c r="O728" s="37" t="s">
        <v>29</v>
      </c>
      <c r="P728" s="37" t="s">
        <v>30</v>
      </c>
      <c r="Q728" s="36">
        <v>46295</v>
      </c>
      <c r="R728" s="37" t="s">
        <v>31</v>
      </c>
      <c r="S728" s="35" t="s">
        <v>720</v>
      </c>
      <c r="T728" s="36">
        <v>46093</v>
      </c>
    </row>
    <row r="729" spans="1:20" ht="15.6" x14ac:dyDescent="0.3">
      <c r="A729" s="35" t="s">
        <v>611</v>
      </c>
      <c r="B729" s="35" t="s">
        <v>403</v>
      </c>
      <c r="C729" s="35" t="s">
        <v>404</v>
      </c>
      <c r="D729" s="35" t="s">
        <v>718</v>
      </c>
      <c r="E729" s="35" t="s">
        <v>47</v>
      </c>
      <c r="F729" s="35" t="s">
        <v>58</v>
      </c>
      <c r="G729" s="35" t="s">
        <v>282</v>
      </c>
      <c r="H729" s="35" t="s">
        <v>26</v>
      </c>
      <c r="I729" s="35" t="s">
        <v>27</v>
      </c>
      <c r="J729" s="35">
        <v>573</v>
      </c>
      <c r="K729" s="35" t="s">
        <v>123</v>
      </c>
      <c r="L729" s="35">
        <v>10</v>
      </c>
      <c r="M729" s="37">
        <v>0</v>
      </c>
      <c r="N729" s="38">
        <f t="shared" si="15"/>
        <v>0</v>
      </c>
      <c r="O729" s="37" t="s">
        <v>29</v>
      </c>
      <c r="P729" s="37" t="s">
        <v>30</v>
      </c>
      <c r="Q729" s="36">
        <v>46295</v>
      </c>
      <c r="R729" s="37" t="s">
        <v>31</v>
      </c>
      <c r="S729" s="35" t="s">
        <v>720</v>
      </c>
      <c r="T729" s="36">
        <v>46093</v>
      </c>
    </row>
    <row r="730" spans="1:20" ht="15.6" x14ac:dyDescent="0.3">
      <c r="A730" s="35" t="s">
        <v>611</v>
      </c>
      <c r="B730" s="35" t="s">
        <v>444</v>
      </c>
      <c r="C730" s="35" t="s">
        <v>445</v>
      </c>
      <c r="D730" s="35" t="s">
        <v>718</v>
      </c>
      <c r="E730" s="35" t="s">
        <v>47</v>
      </c>
      <c r="F730" s="35" t="s">
        <v>24</v>
      </c>
      <c r="G730" s="35" t="s">
        <v>721</v>
      </c>
      <c r="H730" s="35" t="s">
        <v>26</v>
      </c>
      <c r="I730" s="35" t="s">
        <v>64</v>
      </c>
      <c r="J730" s="35">
        <v>239</v>
      </c>
      <c r="K730" s="35" t="s">
        <v>276</v>
      </c>
      <c r="L730" s="35">
        <v>5</v>
      </c>
      <c r="M730" s="37">
        <v>165000</v>
      </c>
      <c r="N730" s="38">
        <f t="shared" si="15"/>
        <v>33000</v>
      </c>
      <c r="O730" s="37" t="s">
        <v>29</v>
      </c>
      <c r="P730" s="37" t="s">
        <v>30</v>
      </c>
      <c r="Q730" s="36">
        <v>46376</v>
      </c>
      <c r="R730" s="37" t="s">
        <v>31</v>
      </c>
      <c r="S730" s="35"/>
      <c r="T730" s="35"/>
    </row>
    <row r="731" spans="1:20" ht="15.6" x14ac:dyDescent="0.3">
      <c r="A731" s="35" t="s">
        <v>611</v>
      </c>
      <c r="B731" s="35" t="s">
        <v>67</v>
      </c>
      <c r="C731" s="35" t="s">
        <v>68</v>
      </c>
      <c r="D731" s="35" t="s">
        <v>718</v>
      </c>
      <c r="E731" s="35" t="s">
        <v>47</v>
      </c>
      <c r="F731" s="35" t="s">
        <v>24</v>
      </c>
      <c r="G731" s="35" t="s">
        <v>721</v>
      </c>
      <c r="H731" s="35" t="s">
        <v>26</v>
      </c>
      <c r="I731" s="35" t="s">
        <v>64</v>
      </c>
      <c r="J731" s="35">
        <v>240</v>
      </c>
      <c r="K731" s="35" t="s">
        <v>276</v>
      </c>
      <c r="L731" s="35">
        <v>11</v>
      </c>
      <c r="M731" s="37">
        <v>363000</v>
      </c>
      <c r="N731" s="38">
        <f t="shared" si="15"/>
        <v>33000</v>
      </c>
      <c r="O731" s="37" t="s">
        <v>29</v>
      </c>
      <c r="P731" s="37" t="s">
        <v>30</v>
      </c>
      <c r="Q731" s="36">
        <v>46376</v>
      </c>
      <c r="R731" s="37" t="s">
        <v>31</v>
      </c>
      <c r="S731" s="35"/>
      <c r="T731" s="35"/>
    </row>
    <row r="732" spans="1:20" ht="15.6" x14ac:dyDescent="0.3">
      <c r="A732" s="35" t="s">
        <v>611</v>
      </c>
      <c r="B732" s="35" t="s">
        <v>722</v>
      </c>
      <c r="C732" s="35" t="s">
        <v>723</v>
      </c>
      <c r="D732" s="35" t="s">
        <v>718</v>
      </c>
      <c r="E732" s="35" t="s">
        <v>47</v>
      </c>
      <c r="F732" s="35" t="s">
        <v>24</v>
      </c>
      <c r="G732" s="35" t="s">
        <v>721</v>
      </c>
      <c r="H732" s="35" t="s">
        <v>26</v>
      </c>
      <c r="I732" s="35" t="s">
        <v>64</v>
      </c>
      <c r="J732" s="35">
        <v>241</v>
      </c>
      <c r="K732" s="35" t="s">
        <v>276</v>
      </c>
      <c r="L732" s="35">
        <v>6</v>
      </c>
      <c r="M732" s="37">
        <v>198000</v>
      </c>
      <c r="N732" s="38">
        <f t="shared" si="15"/>
        <v>33000</v>
      </c>
      <c r="O732" s="37" t="s">
        <v>29</v>
      </c>
      <c r="P732" s="37" t="s">
        <v>30</v>
      </c>
      <c r="Q732" s="36">
        <v>46376</v>
      </c>
      <c r="R732" s="37" t="s">
        <v>31</v>
      </c>
      <c r="S732" s="35"/>
      <c r="T732" s="35"/>
    </row>
    <row r="733" spans="1:20" ht="15.6" x14ac:dyDescent="0.3">
      <c r="A733" s="35" t="s">
        <v>611</v>
      </c>
      <c r="B733" s="35" t="s">
        <v>235</v>
      </c>
      <c r="C733" s="35" t="s">
        <v>236</v>
      </c>
      <c r="D733" s="35" t="s">
        <v>718</v>
      </c>
      <c r="E733" s="35" t="s">
        <v>237</v>
      </c>
      <c r="F733" s="35" t="s">
        <v>54</v>
      </c>
      <c r="G733" s="35" t="s">
        <v>724</v>
      </c>
      <c r="H733" s="35" t="s">
        <v>56</v>
      </c>
      <c r="I733" s="35" t="s">
        <v>64</v>
      </c>
      <c r="J733" s="35">
        <v>243</v>
      </c>
      <c r="K733" s="35" t="s">
        <v>725</v>
      </c>
      <c r="L733" s="35">
        <v>600</v>
      </c>
      <c r="M733" s="37">
        <v>10800000</v>
      </c>
      <c r="N733" s="38">
        <f t="shared" si="15"/>
        <v>18000</v>
      </c>
      <c r="O733" s="37" t="s">
        <v>29</v>
      </c>
      <c r="P733" s="37" t="s">
        <v>30</v>
      </c>
      <c r="Q733" s="36">
        <v>46101</v>
      </c>
      <c r="R733" s="37" t="s">
        <v>31</v>
      </c>
      <c r="S733" s="35"/>
      <c r="T733" s="35"/>
    </row>
    <row r="734" spans="1:20" ht="15.6" x14ac:dyDescent="0.3">
      <c r="A734" s="35" t="s">
        <v>611</v>
      </c>
      <c r="B734" s="35" t="s">
        <v>311</v>
      </c>
      <c r="C734" s="35" t="s">
        <v>312</v>
      </c>
      <c r="D734" s="35" t="s">
        <v>726</v>
      </c>
      <c r="E734" s="35" t="s">
        <v>511</v>
      </c>
      <c r="F734" s="35" t="s">
        <v>48</v>
      </c>
      <c r="G734" s="35" t="s">
        <v>454</v>
      </c>
      <c r="H734" s="35" t="s">
        <v>26</v>
      </c>
      <c r="I734" s="35" t="s">
        <v>27</v>
      </c>
      <c r="J734" s="35">
        <v>574</v>
      </c>
      <c r="K734" s="35" t="s">
        <v>123</v>
      </c>
      <c r="L734" s="35">
        <v>12</v>
      </c>
      <c r="M734" s="37">
        <v>73308</v>
      </c>
      <c r="N734" s="38">
        <f t="shared" si="15"/>
        <v>6109</v>
      </c>
      <c r="O734" s="37" t="s">
        <v>29</v>
      </c>
      <c r="P734" s="37" t="s">
        <v>30</v>
      </c>
      <c r="Q734" s="36">
        <v>46132</v>
      </c>
      <c r="R734" s="37" t="s">
        <v>31</v>
      </c>
      <c r="S734" s="35"/>
      <c r="T734" s="35"/>
    </row>
    <row r="735" spans="1:20" ht="15.6" x14ac:dyDescent="0.3">
      <c r="A735" s="35" t="s">
        <v>611</v>
      </c>
      <c r="B735" s="35" t="s">
        <v>311</v>
      </c>
      <c r="C735" s="35" t="s">
        <v>312</v>
      </c>
      <c r="D735" s="35" t="s">
        <v>726</v>
      </c>
      <c r="E735" s="35" t="s">
        <v>511</v>
      </c>
      <c r="F735" s="35" t="s">
        <v>48</v>
      </c>
      <c r="G735" s="35" t="s">
        <v>450</v>
      </c>
      <c r="H735" s="35" t="s">
        <v>26</v>
      </c>
      <c r="I735" s="35" t="s">
        <v>27</v>
      </c>
      <c r="J735" s="35">
        <v>574</v>
      </c>
      <c r="K735" s="35" t="s">
        <v>123</v>
      </c>
      <c r="L735" s="35">
        <v>24</v>
      </c>
      <c r="M735" s="37">
        <v>162840</v>
      </c>
      <c r="N735" s="38">
        <f t="shared" si="15"/>
        <v>6785</v>
      </c>
      <c r="O735" s="37" t="s">
        <v>29</v>
      </c>
      <c r="P735" s="37" t="s">
        <v>30</v>
      </c>
      <c r="Q735" s="36">
        <v>46132</v>
      </c>
      <c r="R735" s="37" t="s">
        <v>31</v>
      </c>
      <c r="S735" s="35"/>
      <c r="T735" s="35"/>
    </row>
    <row r="736" spans="1:20" ht="15.6" x14ac:dyDescent="0.3">
      <c r="A736" s="35" t="s">
        <v>611</v>
      </c>
      <c r="B736" s="35" t="s">
        <v>311</v>
      </c>
      <c r="C736" s="35" t="s">
        <v>312</v>
      </c>
      <c r="D736" s="35" t="s">
        <v>726</v>
      </c>
      <c r="E736" s="35" t="s">
        <v>511</v>
      </c>
      <c r="F736" s="35" t="s">
        <v>48</v>
      </c>
      <c r="G736" s="35" t="s">
        <v>727</v>
      </c>
      <c r="H736" s="35" t="s">
        <v>26</v>
      </c>
      <c r="I736" s="35" t="s">
        <v>27</v>
      </c>
      <c r="J736" s="35">
        <v>574</v>
      </c>
      <c r="K736" s="35" t="s">
        <v>123</v>
      </c>
      <c r="L736" s="35">
        <v>24</v>
      </c>
      <c r="M736" s="37">
        <v>172200</v>
      </c>
      <c r="N736" s="38">
        <f t="shared" si="15"/>
        <v>7175</v>
      </c>
      <c r="O736" s="37" t="s">
        <v>29</v>
      </c>
      <c r="P736" s="37" t="s">
        <v>30</v>
      </c>
      <c r="Q736" s="36">
        <v>46132</v>
      </c>
      <c r="R736" s="37" t="s">
        <v>31</v>
      </c>
      <c r="S736" s="35"/>
      <c r="T736" s="35"/>
    </row>
    <row r="737" spans="1:20" ht="15.6" x14ac:dyDescent="0.3">
      <c r="A737" s="35" t="s">
        <v>611</v>
      </c>
      <c r="B737" s="35" t="s">
        <v>311</v>
      </c>
      <c r="C737" s="35" t="s">
        <v>312</v>
      </c>
      <c r="D737" s="35" t="s">
        <v>726</v>
      </c>
      <c r="E737" s="35" t="s">
        <v>511</v>
      </c>
      <c r="F737" s="35" t="s">
        <v>48</v>
      </c>
      <c r="G737" s="35" t="s">
        <v>309</v>
      </c>
      <c r="H737" s="35" t="s">
        <v>26</v>
      </c>
      <c r="I737" s="35" t="s">
        <v>27</v>
      </c>
      <c r="J737" s="35">
        <v>574</v>
      </c>
      <c r="K737" s="35" t="s">
        <v>123</v>
      </c>
      <c r="L737" s="35">
        <v>12</v>
      </c>
      <c r="M737" s="37">
        <v>74100</v>
      </c>
      <c r="N737" s="38">
        <f t="shared" si="15"/>
        <v>6175</v>
      </c>
      <c r="O737" s="37" t="s">
        <v>29</v>
      </c>
      <c r="P737" s="37" t="s">
        <v>30</v>
      </c>
      <c r="Q737" s="36">
        <v>46132</v>
      </c>
      <c r="R737" s="37" t="s">
        <v>31</v>
      </c>
      <c r="S737" s="35"/>
      <c r="T737" s="35"/>
    </row>
    <row r="738" spans="1:20" ht="15.6" x14ac:dyDescent="0.3">
      <c r="A738" s="35" t="s">
        <v>611</v>
      </c>
      <c r="B738" s="35" t="s">
        <v>311</v>
      </c>
      <c r="C738" s="35" t="s">
        <v>312</v>
      </c>
      <c r="D738" s="35" t="s">
        <v>726</v>
      </c>
      <c r="E738" s="35" t="s">
        <v>511</v>
      </c>
      <c r="F738" s="35" t="s">
        <v>48</v>
      </c>
      <c r="G738" s="35" t="s">
        <v>463</v>
      </c>
      <c r="H738" s="35" t="s">
        <v>26</v>
      </c>
      <c r="I738" s="35" t="s">
        <v>27</v>
      </c>
      <c r="J738" s="35">
        <v>574</v>
      </c>
      <c r="K738" s="35" t="s">
        <v>123</v>
      </c>
      <c r="L738" s="35">
        <v>12</v>
      </c>
      <c r="M738" s="37">
        <v>152280</v>
      </c>
      <c r="N738" s="38">
        <f t="shared" si="15"/>
        <v>12690</v>
      </c>
      <c r="O738" s="37" t="s">
        <v>29</v>
      </c>
      <c r="P738" s="37" t="s">
        <v>30</v>
      </c>
      <c r="Q738" s="36">
        <v>46132</v>
      </c>
      <c r="R738" s="37" t="s">
        <v>31</v>
      </c>
      <c r="S738" s="35"/>
      <c r="T738" s="35"/>
    </row>
    <row r="739" spans="1:20" ht="15.6" x14ac:dyDescent="0.3">
      <c r="A739" s="35" t="s">
        <v>611</v>
      </c>
      <c r="B739" s="35" t="s">
        <v>622</v>
      </c>
      <c r="C739" s="35" t="s">
        <v>623</v>
      </c>
      <c r="D739" s="35" t="s">
        <v>726</v>
      </c>
      <c r="E739" s="35" t="s">
        <v>47</v>
      </c>
      <c r="F739" s="35" t="s">
        <v>24</v>
      </c>
      <c r="G739" s="35" t="s">
        <v>593</v>
      </c>
      <c r="H739" s="35" t="s">
        <v>26</v>
      </c>
      <c r="I739" s="35" t="s">
        <v>64</v>
      </c>
      <c r="J739" s="35">
        <v>244</v>
      </c>
      <c r="K739" s="35" t="s">
        <v>276</v>
      </c>
      <c r="L739" s="35">
        <v>3</v>
      </c>
      <c r="M739" s="37">
        <v>111000</v>
      </c>
      <c r="N739" s="38">
        <f t="shared" si="15"/>
        <v>37000</v>
      </c>
      <c r="O739" s="37" t="s">
        <v>29</v>
      </c>
      <c r="P739" s="37" t="s">
        <v>30</v>
      </c>
      <c r="Q739" s="36">
        <v>46171</v>
      </c>
      <c r="R739" s="37" t="s">
        <v>31</v>
      </c>
      <c r="S739" s="35"/>
      <c r="T739" s="35"/>
    </row>
    <row r="740" spans="1:20" ht="15.6" x14ac:dyDescent="0.3">
      <c r="A740" s="35" t="s">
        <v>611</v>
      </c>
      <c r="B740" s="35" t="s">
        <v>728</v>
      </c>
      <c r="C740" s="35" t="s">
        <v>729</v>
      </c>
      <c r="D740" s="35" t="s">
        <v>730</v>
      </c>
      <c r="E740" s="35" t="s">
        <v>47</v>
      </c>
      <c r="F740" s="35" t="s">
        <v>58</v>
      </c>
      <c r="G740" s="35" t="s">
        <v>721</v>
      </c>
      <c r="H740" s="35" t="s">
        <v>26</v>
      </c>
      <c r="I740" s="35" t="s">
        <v>64</v>
      </c>
      <c r="J740" s="35">
        <v>245</v>
      </c>
      <c r="K740" s="35" t="s">
        <v>276</v>
      </c>
      <c r="L740" s="35">
        <v>10</v>
      </c>
      <c r="M740" s="37">
        <v>350000</v>
      </c>
      <c r="N740" s="38">
        <f t="shared" si="15"/>
        <v>35000</v>
      </c>
      <c r="O740" s="37" t="s">
        <v>29</v>
      </c>
      <c r="P740" s="37" t="s">
        <v>30</v>
      </c>
      <c r="Q740" s="36">
        <v>46254</v>
      </c>
      <c r="R740" s="37" t="s">
        <v>31</v>
      </c>
      <c r="S740" s="35"/>
      <c r="T740" s="35"/>
    </row>
    <row r="741" spans="1:20" ht="15.6" x14ac:dyDescent="0.3">
      <c r="A741" s="35" t="s">
        <v>611</v>
      </c>
      <c r="B741" s="35" t="s">
        <v>728</v>
      </c>
      <c r="C741" s="35" t="s">
        <v>729</v>
      </c>
      <c r="D741" s="35" t="s">
        <v>730</v>
      </c>
      <c r="E741" s="35" t="s">
        <v>47</v>
      </c>
      <c r="F741" s="35" t="s">
        <v>58</v>
      </c>
      <c r="G741" s="35" t="s">
        <v>257</v>
      </c>
      <c r="H741" s="35" t="s">
        <v>26</v>
      </c>
      <c r="I741" s="35" t="s">
        <v>64</v>
      </c>
      <c r="J741" s="35">
        <v>245</v>
      </c>
      <c r="K741" s="35" t="s">
        <v>123</v>
      </c>
      <c r="L741" s="35">
        <v>100</v>
      </c>
      <c r="M741" s="37">
        <v>916000</v>
      </c>
      <c r="N741" s="38">
        <f t="shared" si="15"/>
        <v>9160</v>
      </c>
      <c r="O741" s="37" t="s">
        <v>29</v>
      </c>
      <c r="P741" s="37" t="s">
        <v>30</v>
      </c>
      <c r="Q741" s="36">
        <v>46254</v>
      </c>
      <c r="R741" s="37" t="s">
        <v>31</v>
      </c>
      <c r="S741" s="35"/>
      <c r="T741" s="35"/>
    </row>
    <row r="742" spans="1:20" ht="15.6" x14ac:dyDescent="0.3">
      <c r="A742" s="35" t="s">
        <v>611</v>
      </c>
      <c r="B742" s="35" t="s">
        <v>116</v>
      </c>
      <c r="C742" s="35" t="s">
        <v>117</v>
      </c>
      <c r="D742" s="35" t="s">
        <v>730</v>
      </c>
      <c r="E742" s="35" t="s">
        <v>88</v>
      </c>
      <c r="F742" s="35" t="s">
        <v>89</v>
      </c>
      <c r="G742" s="35" t="s">
        <v>244</v>
      </c>
      <c r="H742" s="35" t="s">
        <v>56</v>
      </c>
      <c r="I742" s="35" t="s">
        <v>64</v>
      </c>
      <c r="J742" s="35">
        <v>246</v>
      </c>
      <c r="K742" s="35" t="s">
        <v>123</v>
      </c>
      <c r="L742" s="35">
        <v>80</v>
      </c>
      <c r="M742" s="37">
        <v>672000</v>
      </c>
      <c r="N742" s="38">
        <f t="shared" si="15"/>
        <v>8400</v>
      </c>
      <c r="O742" s="37" t="s">
        <v>29</v>
      </c>
      <c r="P742" s="37" t="s">
        <v>30</v>
      </c>
      <c r="Q742" s="36">
        <v>46162</v>
      </c>
      <c r="R742" s="37" t="s">
        <v>31</v>
      </c>
      <c r="S742" s="35"/>
      <c r="T742" s="35"/>
    </row>
    <row r="743" spans="1:20" ht="15.6" x14ac:dyDescent="0.3">
      <c r="A743" s="35" t="s">
        <v>611</v>
      </c>
      <c r="B743" s="35" t="s">
        <v>731</v>
      </c>
      <c r="C743" s="35" t="s">
        <v>732</v>
      </c>
      <c r="D743" s="35" t="s">
        <v>733</v>
      </c>
      <c r="E743" s="41" t="s">
        <v>23</v>
      </c>
      <c r="F743" s="35" t="s">
        <v>24</v>
      </c>
      <c r="G743" s="35" t="s">
        <v>410</v>
      </c>
      <c r="H743" s="35" t="s">
        <v>26</v>
      </c>
      <c r="I743" s="35" t="s">
        <v>27</v>
      </c>
      <c r="J743" s="35">
        <v>575</v>
      </c>
      <c r="K743" s="35" t="s">
        <v>123</v>
      </c>
      <c r="L743" s="35">
        <v>20</v>
      </c>
      <c r="M743" s="37">
        <v>60000</v>
      </c>
      <c r="N743" s="38">
        <f t="shared" si="15"/>
        <v>3000</v>
      </c>
      <c r="O743" s="37" t="s">
        <v>29</v>
      </c>
      <c r="P743" s="37" t="s">
        <v>30</v>
      </c>
      <c r="Q743" s="36">
        <v>46132</v>
      </c>
      <c r="R743" s="37" t="s">
        <v>31</v>
      </c>
      <c r="S743" s="35"/>
      <c r="T743" s="35"/>
    </row>
    <row r="744" spans="1:20" ht="15.6" x14ac:dyDescent="0.3">
      <c r="A744" s="35" t="s">
        <v>611</v>
      </c>
      <c r="B744" s="35" t="s">
        <v>731</v>
      </c>
      <c r="C744" s="35" t="s">
        <v>732</v>
      </c>
      <c r="D744" s="35" t="s">
        <v>733</v>
      </c>
      <c r="E744" s="41" t="s">
        <v>23</v>
      </c>
      <c r="F744" s="35" t="s">
        <v>24</v>
      </c>
      <c r="G744" s="35" t="s">
        <v>295</v>
      </c>
      <c r="H744" s="35" t="s">
        <v>26</v>
      </c>
      <c r="I744" s="35" t="s">
        <v>27</v>
      </c>
      <c r="J744" s="35">
        <v>575</v>
      </c>
      <c r="K744" s="35" t="s">
        <v>123</v>
      </c>
      <c r="L744" s="35">
        <v>10</v>
      </c>
      <c r="M744" s="37">
        <v>30000</v>
      </c>
      <c r="N744" s="38">
        <f t="shared" si="15"/>
        <v>3000</v>
      </c>
      <c r="O744" s="37" t="s">
        <v>29</v>
      </c>
      <c r="P744" s="37" t="s">
        <v>30</v>
      </c>
      <c r="Q744" s="36">
        <v>46132</v>
      </c>
      <c r="R744" s="37" t="s">
        <v>31</v>
      </c>
      <c r="S744" s="35"/>
      <c r="T744" s="35"/>
    </row>
    <row r="745" spans="1:20" ht="15.6" x14ac:dyDescent="0.3">
      <c r="A745" s="35" t="s">
        <v>611</v>
      </c>
      <c r="B745" s="35" t="s">
        <v>731</v>
      </c>
      <c r="C745" s="35" t="s">
        <v>732</v>
      </c>
      <c r="D745" s="35" t="s">
        <v>733</v>
      </c>
      <c r="E745" s="41" t="s">
        <v>23</v>
      </c>
      <c r="F745" s="35" t="s">
        <v>24</v>
      </c>
      <c r="G745" s="35" t="s">
        <v>321</v>
      </c>
      <c r="H745" s="35" t="s">
        <v>26</v>
      </c>
      <c r="I745" s="35" t="s">
        <v>27</v>
      </c>
      <c r="J745" s="35">
        <v>575</v>
      </c>
      <c r="K745" s="35" t="s">
        <v>123</v>
      </c>
      <c r="L745" s="35">
        <v>20</v>
      </c>
      <c r="M745" s="37">
        <v>140000</v>
      </c>
      <c r="N745" s="38">
        <f t="shared" si="15"/>
        <v>7000</v>
      </c>
      <c r="O745" s="37" t="s">
        <v>29</v>
      </c>
      <c r="P745" s="37" t="s">
        <v>30</v>
      </c>
      <c r="Q745" s="36">
        <v>46132</v>
      </c>
      <c r="R745" s="37" t="s">
        <v>31</v>
      </c>
      <c r="S745" s="35"/>
      <c r="T745" s="35"/>
    </row>
    <row r="746" spans="1:20" ht="15.6" x14ac:dyDescent="0.3">
      <c r="A746" s="35" t="s">
        <v>611</v>
      </c>
      <c r="B746" s="35" t="s">
        <v>731</v>
      </c>
      <c r="C746" s="35" t="s">
        <v>732</v>
      </c>
      <c r="D746" s="35" t="s">
        <v>733</v>
      </c>
      <c r="E746" s="41" t="s">
        <v>23</v>
      </c>
      <c r="F746" s="35" t="s">
        <v>24</v>
      </c>
      <c r="G746" s="35" t="s">
        <v>242</v>
      </c>
      <c r="H746" s="35" t="s">
        <v>26</v>
      </c>
      <c r="I746" s="35" t="s">
        <v>27</v>
      </c>
      <c r="J746" s="35">
        <v>575</v>
      </c>
      <c r="K746" s="35" t="s">
        <v>123</v>
      </c>
      <c r="L746" s="35">
        <v>20</v>
      </c>
      <c r="M746" s="37">
        <v>120000</v>
      </c>
      <c r="N746" s="38">
        <f t="shared" si="15"/>
        <v>6000</v>
      </c>
      <c r="O746" s="37" t="s">
        <v>29</v>
      </c>
      <c r="P746" s="37" t="s">
        <v>30</v>
      </c>
      <c r="Q746" s="36">
        <v>46132</v>
      </c>
      <c r="R746" s="37" t="s">
        <v>31</v>
      </c>
      <c r="S746" s="35"/>
      <c r="T746" s="35"/>
    </row>
    <row r="747" spans="1:20" ht="15.6" x14ac:dyDescent="0.3">
      <c r="A747" s="35" t="s">
        <v>611</v>
      </c>
      <c r="B747" s="35" t="s">
        <v>731</v>
      </c>
      <c r="C747" s="35" t="s">
        <v>732</v>
      </c>
      <c r="D747" s="35" t="s">
        <v>733</v>
      </c>
      <c r="E747" s="41" t="s">
        <v>23</v>
      </c>
      <c r="F747" s="35" t="s">
        <v>24</v>
      </c>
      <c r="G747" s="35" t="s">
        <v>379</v>
      </c>
      <c r="H747" s="35" t="s">
        <v>26</v>
      </c>
      <c r="I747" s="35" t="s">
        <v>27</v>
      </c>
      <c r="J747" s="35">
        <v>576</v>
      </c>
      <c r="K747" s="35" t="s">
        <v>123</v>
      </c>
      <c r="L747" s="35">
        <v>20</v>
      </c>
      <c r="M747" s="37">
        <v>116000</v>
      </c>
      <c r="N747" s="38">
        <f t="shared" si="15"/>
        <v>5800</v>
      </c>
      <c r="O747" s="37" t="s">
        <v>29</v>
      </c>
      <c r="P747" s="37" t="s">
        <v>30</v>
      </c>
      <c r="Q747" s="36">
        <v>46132</v>
      </c>
      <c r="R747" s="37" t="s">
        <v>31</v>
      </c>
      <c r="S747" s="35"/>
      <c r="T747" s="35"/>
    </row>
    <row r="748" spans="1:20" ht="15.6" x14ac:dyDescent="0.3">
      <c r="A748" s="35" t="s">
        <v>611</v>
      </c>
      <c r="B748" s="35" t="s">
        <v>731</v>
      </c>
      <c r="C748" s="35" t="s">
        <v>732</v>
      </c>
      <c r="D748" s="35" t="s">
        <v>733</v>
      </c>
      <c r="E748" s="41" t="s">
        <v>23</v>
      </c>
      <c r="F748" s="35" t="s">
        <v>24</v>
      </c>
      <c r="G748" s="35" t="s">
        <v>251</v>
      </c>
      <c r="H748" s="35" t="s">
        <v>26</v>
      </c>
      <c r="I748" s="35" t="s">
        <v>27</v>
      </c>
      <c r="J748" s="35">
        <v>576</v>
      </c>
      <c r="K748" s="35" t="s">
        <v>123</v>
      </c>
      <c r="L748" s="35">
        <v>40</v>
      </c>
      <c r="M748" s="37">
        <v>232000</v>
      </c>
      <c r="N748" s="38">
        <f t="shared" si="15"/>
        <v>5800</v>
      </c>
      <c r="O748" s="37" t="s">
        <v>29</v>
      </c>
      <c r="P748" s="37" t="s">
        <v>30</v>
      </c>
      <c r="Q748" s="36">
        <v>46132</v>
      </c>
      <c r="R748" s="37" t="s">
        <v>31</v>
      </c>
      <c r="S748" s="35"/>
      <c r="T748" s="35"/>
    </row>
    <row r="749" spans="1:20" ht="15.6" x14ac:dyDescent="0.3">
      <c r="A749" s="35" t="s">
        <v>611</v>
      </c>
      <c r="B749" s="35" t="s">
        <v>731</v>
      </c>
      <c r="C749" s="35" t="s">
        <v>732</v>
      </c>
      <c r="D749" s="35" t="s">
        <v>733</v>
      </c>
      <c r="E749" s="41" t="s">
        <v>23</v>
      </c>
      <c r="F749" s="35" t="s">
        <v>24</v>
      </c>
      <c r="G749" s="35" t="s">
        <v>242</v>
      </c>
      <c r="H749" s="35" t="s">
        <v>26</v>
      </c>
      <c r="I749" s="35" t="s">
        <v>27</v>
      </c>
      <c r="J749" s="35">
        <v>576</v>
      </c>
      <c r="K749" s="35" t="s">
        <v>123</v>
      </c>
      <c r="L749" s="35">
        <v>20</v>
      </c>
      <c r="M749" s="37">
        <v>196000</v>
      </c>
      <c r="N749" s="38">
        <f t="shared" si="15"/>
        <v>9800</v>
      </c>
      <c r="O749" s="37" t="s">
        <v>29</v>
      </c>
      <c r="P749" s="37" t="s">
        <v>30</v>
      </c>
      <c r="Q749" s="36">
        <v>46132</v>
      </c>
      <c r="R749" s="37" t="s">
        <v>31</v>
      </c>
      <c r="S749" s="35"/>
      <c r="T749" s="35"/>
    </row>
    <row r="750" spans="1:20" ht="15.6" x14ac:dyDescent="0.3">
      <c r="A750" s="35" t="s">
        <v>611</v>
      </c>
      <c r="B750" s="35" t="s">
        <v>470</v>
      </c>
      <c r="C750" s="35" t="s">
        <v>471</v>
      </c>
      <c r="D750" s="35" t="s">
        <v>733</v>
      </c>
      <c r="E750" s="35" t="s">
        <v>47</v>
      </c>
      <c r="F750" s="35" t="s">
        <v>24</v>
      </c>
      <c r="G750" s="35" t="s">
        <v>244</v>
      </c>
      <c r="H750" s="35" t="s">
        <v>56</v>
      </c>
      <c r="I750" s="35" t="s">
        <v>27</v>
      </c>
      <c r="J750" s="35">
        <v>577</v>
      </c>
      <c r="K750" s="35" t="s">
        <v>123</v>
      </c>
      <c r="L750" s="35">
        <v>120</v>
      </c>
      <c r="M750" s="37">
        <v>1056000</v>
      </c>
      <c r="N750" s="38">
        <f t="shared" si="15"/>
        <v>8800</v>
      </c>
      <c r="O750" s="37" t="s">
        <v>29</v>
      </c>
      <c r="P750" s="37" t="s">
        <v>30</v>
      </c>
      <c r="Q750" s="36">
        <v>46136</v>
      </c>
      <c r="R750" s="37" t="s">
        <v>31</v>
      </c>
      <c r="S750" s="35"/>
      <c r="T750" s="35"/>
    </row>
    <row r="751" spans="1:20" ht="15.6" x14ac:dyDescent="0.3">
      <c r="A751" s="35" t="s">
        <v>611</v>
      </c>
      <c r="B751" s="35" t="s">
        <v>470</v>
      </c>
      <c r="C751" s="35" t="s">
        <v>471</v>
      </c>
      <c r="D751" s="35" t="s">
        <v>733</v>
      </c>
      <c r="E751" s="35" t="s">
        <v>47</v>
      </c>
      <c r="F751" s="35" t="s">
        <v>24</v>
      </c>
      <c r="G751" s="35" t="s">
        <v>327</v>
      </c>
      <c r="H751" s="35" t="s">
        <v>56</v>
      </c>
      <c r="I751" s="35" t="s">
        <v>27</v>
      </c>
      <c r="J751" s="35">
        <v>577</v>
      </c>
      <c r="K751" s="35" t="s">
        <v>123</v>
      </c>
      <c r="L751" s="35">
        <v>10</v>
      </c>
      <c r="M751" s="37">
        <v>88000</v>
      </c>
      <c r="N751" s="38">
        <f t="shared" si="15"/>
        <v>8800</v>
      </c>
      <c r="O751" s="37" t="s">
        <v>29</v>
      </c>
      <c r="P751" s="37" t="s">
        <v>30</v>
      </c>
      <c r="Q751" s="36">
        <v>46136</v>
      </c>
      <c r="R751" s="37" t="s">
        <v>31</v>
      </c>
      <c r="S751" s="35"/>
      <c r="T751" s="35"/>
    </row>
    <row r="752" spans="1:20" ht="15.6" x14ac:dyDescent="0.3">
      <c r="A752" s="35" t="s">
        <v>611</v>
      </c>
      <c r="B752" s="35" t="s">
        <v>470</v>
      </c>
      <c r="C752" s="35" t="s">
        <v>471</v>
      </c>
      <c r="D752" s="35" t="s">
        <v>733</v>
      </c>
      <c r="E752" s="35" t="s">
        <v>47</v>
      </c>
      <c r="F752" s="35" t="s">
        <v>24</v>
      </c>
      <c r="G752" s="35" t="s">
        <v>650</v>
      </c>
      <c r="H752" s="35" t="s">
        <v>85</v>
      </c>
      <c r="I752" s="35" t="s">
        <v>27</v>
      </c>
      <c r="J752" s="35">
        <v>578</v>
      </c>
      <c r="K752" s="35" t="s">
        <v>7</v>
      </c>
      <c r="L752" s="35">
        <v>2</v>
      </c>
      <c r="M752" s="37">
        <v>0</v>
      </c>
      <c r="N752" s="38">
        <f t="shared" si="15"/>
        <v>0</v>
      </c>
      <c r="O752" s="37" t="s">
        <v>29</v>
      </c>
      <c r="P752" s="37" t="s">
        <v>30</v>
      </c>
      <c r="Q752" s="36">
        <v>46106</v>
      </c>
      <c r="R752" s="37" t="s">
        <v>31</v>
      </c>
      <c r="S752" s="35"/>
      <c r="T752" s="35"/>
    </row>
    <row r="753" spans="1:20" ht="15.6" x14ac:dyDescent="0.3">
      <c r="A753" s="35" t="s">
        <v>611</v>
      </c>
      <c r="B753" s="35" t="s">
        <v>108</v>
      </c>
      <c r="C753" s="35" t="s">
        <v>109</v>
      </c>
      <c r="D753" s="35" t="s">
        <v>741</v>
      </c>
      <c r="E753" s="35" t="s">
        <v>47</v>
      </c>
      <c r="F753" s="35" t="s">
        <v>58</v>
      </c>
      <c r="G753" s="35" t="s">
        <v>721</v>
      </c>
      <c r="H753" s="35" t="s">
        <v>26</v>
      </c>
      <c r="I753" s="35" t="s">
        <v>64</v>
      </c>
      <c r="J753" s="35">
        <v>249</v>
      </c>
      <c r="K753" s="35" t="s">
        <v>7</v>
      </c>
      <c r="L753" s="35">
        <v>12</v>
      </c>
      <c r="M753" s="37">
        <v>286560</v>
      </c>
      <c r="N753" s="38">
        <f t="shared" si="15"/>
        <v>23880</v>
      </c>
      <c r="O753" s="37" t="s">
        <v>29</v>
      </c>
      <c r="P753" s="37" t="s">
        <v>30</v>
      </c>
      <c r="Q753" s="36">
        <v>46223</v>
      </c>
      <c r="R753" s="37" t="s">
        <v>31</v>
      </c>
      <c r="S753" s="35"/>
      <c r="T753" s="35"/>
    </row>
    <row r="754" spans="1:20" ht="15.6" x14ac:dyDescent="0.3">
      <c r="A754" s="35" t="s">
        <v>611</v>
      </c>
      <c r="B754" s="35" t="s">
        <v>590</v>
      </c>
      <c r="C754" s="35" t="s">
        <v>591</v>
      </c>
      <c r="D754" s="35" t="s">
        <v>734</v>
      </c>
      <c r="E754" s="35" t="s">
        <v>40</v>
      </c>
      <c r="F754" s="35" t="s">
        <v>36</v>
      </c>
      <c r="G754" s="35" t="s">
        <v>558</v>
      </c>
      <c r="H754" s="35" t="s">
        <v>56</v>
      </c>
      <c r="I754" s="35" t="s">
        <v>27</v>
      </c>
      <c r="J754" s="35">
        <v>579</v>
      </c>
      <c r="K754" s="35" t="s">
        <v>123</v>
      </c>
      <c r="L754" s="35">
        <v>20</v>
      </c>
      <c r="M754" s="37">
        <v>0</v>
      </c>
      <c r="N754" s="38">
        <f t="shared" si="15"/>
        <v>0</v>
      </c>
      <c r="O754" s="37" t="s">
        <v>29</v>
      </c>
      <c r="P754" s="37" t="s">
        <v>30</v>
      </c>
      <c r="Q754" s="36">
        <v>46104</v>
      </c>
      <c r="R754" s="37" t="s">
        <v>31</v>
      </c>
      <c r="S754" s="37" t="s">
        <v>735</v>
      </c>
      <c r="T754" s="36">
        <v>46079</v>
      </c>
    </row>
    <row r="755" spans="1:20" ht="15.6" x14ac:dyDescent="0.3">
      <c r="A755" s="35" t="s">
        <v>611</v>
      </c>
      <c r="B755" s="35" t="s">
        <v>736</v>
      </c>
      <c r="C755" s="35" t="s">
        <v>737</v>
      </c>
      <c r="D755" s="35" t="s">
        <v>734</v>
      </c>
      <c r="E755" s="35" t="s">
        <v>47</v>
      </c>
      <c r="F755" s="35" t="s">
        <v>24</v>
      </c>
      <c r="G755" s="35" t="s">
        <v>721</v>
      </c>
      <c r="H755" s="35" t="s">
        <v>56</v>
      </c>
      <c r="I755" s="35" t="s">
        <v>64</v>
      </c>
      <c r="J755" s="35">
        <v>251</v>
      </c>
      <c r="K755" s="35" t="s">
        <v>276</v>
      </c>
      <c r="L755" s="35">
        <v>3</v>
      </c>
      <c r="M755" s="35">
        <v>99000</v>
      </c>
      <c r="N755" s="38">
        <f t="shared" ref="N755:N818" si="16">M755/L755</f>
        <v>33000</v>
      </c>
      <c r="O755" s="37" t="s">
        <v>29</v>
      </c>
      <c r="P755" s="37" t="s">
        <v>30</v>
      </c>
      <c r="Q755" s="36">
        <v>46162</v>
      </c>
      <c r="R755" s="37" t="s">
        <v>31</v>
      </c>
      <c r="S755" s="35"/>
      <c r="T755" s="35"/>
    </row>
    <row r="756" spans="1:20" ht="15.6" x14ac:dyDescent="0.3">
      <c r="A756" s="35" t="s">
        <v>611</v>
      </c>
      <c r="B756" s="35" t="s">
        <v>347</v>
      </c>
      <c r="C756" s="35" t="s">
        <v>594</v>
      </c>
      <c r="D756" s="35" t="s">
        <v>738</v>
      </c>
      <c r="E756" s="35" t="s">
        <v>47</v>
      </c>
      <c r="F756" s="35" t="s">
        <v>58</v>
      </c>
      <c r="G756" s="35" t="s">
        <v>455</v>
      </c>
      <c r="H756" s="35" t="s">
        <v>56</v>
      </c>
      <c r="I756" s="35" t="s">
        <v>27</v>
      </c>
      <c r="J756" s="35">
        <v>580</v>
      </c>
      <c r="K756" s="35" t="s">
        <v>123</v>
      </c>
      <c r="L756" s="35">
        <v>15</v>
      </c>
      <c r="M756" s="35">
        <v>105195</v>
      </c>
      <c r="N756" s="38">
        <f t="shared" si="16"/>
        <v>7013</v>
      </c>
      <c r="O756" s="37" t="s">
        <v>29</v>
      </c>
      <c r="P756" s="37" t="s">
        <v>30</v>
      </c>
      <c r="Q756" s="36">
        <v>46181</v>
      </c>
      <c r="R756" s="37" t="s">
        <v>31</v>
      </c>
      <c r="S756" s="35"/>
      <c r="T756" s="35"/>
    </row>
    <row r="757" spans="1:20" ht="15.6" x14ac:dyDescent="0.3">
      <c r="A757" s="35" t="s">
        <v>611</v>
      </c>
      <c r="B757" s="35" t="s">
        <v>347</v>
      </c>
      <c r="C757" s="35" t="s">
        <v>594</v>
      </c>
      <c r="D757" s="35" t="s">
        <v>738</v>
      </c>
      <c r="E757" s="35" t="s">
        <v>47</v>
      </c>
      <c r="F757" s="35" t="s">
        <v>58</v>
      </c>
      <c r="G757" s="35" t="s">
        <v>382</v>
      </c>
      <c r="H757" s="35" t="s">
        <v>56</v>
      </c>
      <c r="I757" s="35" t="s">
        <v>27</v>
      </c>
      <c r="J757" s="35">
        <v>580</v>
      </c>
      <c r="K757" s="35" t="s">
        <v>123</v>
      </c>
      <c r="L757" s="35">
        <v>40</v>
      </c>
      <c r="M757" s="35">
        <v>220000</v>
      </c>
      <c r="N757" s="38">
        <f t="shared" si="16"/>
        <v>5500</v>
      </c>
      <c r="O757" s="37" t="s">
        <v>29</v>
      </c>
      <c r="P757" s="37" t="s">
        <v>30</v>
      </c>
      <c r="Q757" s="36">
        <v>46181</v>
      </c>
      <c r="R757" s="37" t="s">
        <v>31</v>
      </c>
      <c r="S757" s="35"/>
      <c r="T757" s="35"/>
    </row>
    <row r="758" spans="1:20" ht="15.6" x14ac:dyDescent="0.3">
      <c r="A758" s="35" t="s">
        <v>611</v>
      </c>
      <c r="B758" s="35" t="s">
        <v>347</v>
      </c>
      <c r="C758" s="35" t="s">
        <v>594</v>
      </c>
      <c r="D758" s="35" t="s">
        <v>738</v>
      </c>
      <c r="E758" s="35" t="s">
        <v>47</v>
      </c>
      <c r="F758" s="35" t="s">
        <v>58</v>
      </c>
      <c r="G758" s="35" t="s">
        <v>434</v>
      </c>
      <c r="H758" s="35" t="s">
        <v>56</v>
      </c>
      <c r="I758" s="35" t="s">
        <v>27</v>
      </c>
      <c r="J758" s="35">
        <v>580</v>
      </c>
      <c r="K758" s="35" t="s">
        <v>123</v>
      </c>
      <c r="L758" s="35">
        <v>1</v>
      </c>
      <c r="M758" s="35">
        <v>6225</v>
      </c>
      <c r="N758" s="38">
        <f t="shared" si="16"/>
        <v>6225</v>
      </c>
      <c r="O758" s="37" t="s">
        <v>29</v>
      </c>
      <c r="P758" s="37" t="s">
        <v>30</v>
      </c>
      <c r="Q758" s="36">
        <v>46181</v>
      </c>
      <c r="R758" s="37" t="s">
        <v>31</v>
      </c>
      <c r="S758" s="35"/>
      <c r="T758" s="35"/>
    </row>
    <row r="759" spans="1:20" ht="15.6" x14ac:dyDescent="0.3">
      <c r="A759" s="35" t="s">
        <v>611</v>
      </c>
      <c r="B759" s="35" t="s">
        <v>347</v>
      </c>
      <c r="C759" s="35" t="s">
        <v>594</v>
      </c>
      <c r="D759" s="35" t="s">
        <v>738</v>
      </c>
      <c r="E759" s="35" t="s">
        <v>47</v>
      </c>
      <c r="F759" s="35" t="s">
        <v>58</v>
      </c>
      <c r="G759" s="35" t="s">
        <v>309</v>
      </c>
      <c r="H759" s="35" t="s">
        <v>56</v>
      </c>
      <c r="I759" s="35" t="s">
        <v>27</v>
      </c>
      <c r="J759" s="35">
        <v>580</v>
      </c>
      <c r="K759" s="35" t="s">
        <v>123</v>
      </c>
      <c r="L759" s="35">
        <v>1</v>
      </c>
      <c r="M759" s="35">
        <v>6225</v>
      </c>
      <c r="N759" s="38">
        <f t="shared" si="16"/>
        <v>6225</v>
      </c>
      <c r="O759" s="37" t="s">
        <v>29</v>
      </c>
      <c r="P759" s="37" t="s">
        <v>30</v>
      </c>
      <c r="Q759" s="36">
        <v>46181</v>
      </c>
      <c r="R759" s="37" t="s">
        <v>31</v>
      </c>
      <c r="S759" s="35"/>
      <c r="T759" s="35"/>
    </row>
    <row r="760" spans="1:20" ht="15.6" x14ac:dyDescent="0.3">
      <c r="A760" s="35" t="s">
        <v>611</v>
      </c>
      <c r="B760" s="35" t="s">
        <v>347</v>
      </c>
      <c r="C760" s="35" t="s">
        <v>594</v>
      </c>
      <c r="D760" s="35" t="s">
        <v>738</v>
      </c>
      <c r="E760" s="35" t="s">
        <v>47</v>
      </c>
      <c r="F760" s="35" t="s">
        <v>58</v>
      </c>
      <c r="G760" s="35" t="s">
        <v>289</v>
      </c>
      <c r="H760" s="35" t="s">
        <v>56</v>
      </c>
      <c r="I760" s="35" t="s">
        <v>27</v>
      </c>
      <c r="J760" s="35">
        <v>580</v>
      </c>
      <c r="K760" s="35" t="s">
        <v>123</v>
      </c>
      <c r="L760" s="35">
        <v>20</v>
      </c>
      <c r="M760" s="35">
        <v>88500</v>
      </c>
      <c r="N760" s="38">
        <f t="shared" si="16"/>
        <v>4425</v>
      </c>
      <c r="O760" s="37" t="s">
        <v>29</v>
      </c>
      <c r="P760" s="37" t="s">
        <v>30</v>
      </c>
      <c r="Q760" s="36">
        <v>46181</v>
      </c>
      <c r="R760" s="37" t="s">
        <v>31</v>
      </c>
      <c r="S760" s="35"/>
      <c r="T760" s="35"/>
    </row>
    <row r="761" spans="1:20" ht="15.6" x14ac:dyDescent="0.3">
      <c r="A761" s="35" t="s">
        <v>611</v>
      </c>
      <c r="B761" s="35" t="s">
        <v>347</v>
      </c>
      <c r="C761" s="35" t="s">
        <v>594</v>
      </c>
      <c r="D761" s="35" t="s">
        <v>738</v>
      </c>
      <c r="E761" s="35" t="s">
        <v>47</v>
      </c>
      <c r="F761" s="35" t="s">
        <v>58</v>
      </c>
      <c r="G761" s="35" t="s">
        <v>450</v>
      </c>
      <c r="H761" s="35" t="s">
        <v>56</v>
      </c>
      <c r="I761" s="35" t="s">
        <v>27</v>
      </c>
      <c r="J761" s="35">
        <v>580</v>
      </c>
      <c r="K761" s="35" t="s">
        <v>123</v>
      </c>
      <c r="L761" s="35">
        <v>1</v>
      </c>
      <c r="M761" s="35">
        <v>6880</v>
      </c>
      <c r="N761" s="38">
        <f t="shared" si="16"/>
        <v>6880</v>
      </c>
      <c r="O761" s="37" t="s">
        <v>29</v>
      </c>
      <c r="P761" s="37" t="s">
        <v>30</v>
      </c>
      <c r="Q761" s="36">
        <v>46181</v>
      </c>
      <c r="R761" s="37" t="s">
        <v>31</v>
      </c>
      <c r="S761" s="35"/>
      <c r="T761" s="35"/>
    </row>
    <row r="762" spans="1:20" ht="15.6" x14ac:dyDescent="0.3">
      <c r="A762" s="35" t="s">
        <v>611</v>
      </c>
      <c r="B762" s="35" t="s">
        <v>347</v>
      </c>
      <c r="C762" s="35" t="s">
        <v>594</v>
      </c>
      <c r="D762" s="35" t="s">
        <v>738</v>
      </c>
      <c r="E762" s="35" t="s">
        <v>47</v>
      </c>
      <c r="F762" s="35" t="s">
        <v>58</v>
      </c>
      <c r="G762" s="35" t="s">
        <v>436</v>
      </c>
      <c r="H762" s="35" t="s">
        <v>56</v>
      </c>
      <c r="I762" s="35" t="s">
        <v>27</v>
      </c>
      <c r="J762" s="35">
        <v>580</v>
      </c>
      <c r="K762" s="35" t="s">
        <v>123</v>
      </c>
      <c r="L762" s="35">
        <v>2</v>
      </c>
      <c r="M762" s="35">
        <v>13280</v>
      </c>
      <c r="N762" s="38">
        <f t="shared" si="16"/>
        <v>6640</v>
      </c>
      <c r="O762" s="37" t="s">
        <v>29</v>
      </c>
      <c r="P762" s="37" t="s">
        <v>30</v>
      </c>
      <c r="Q762" s="36">
        <v>46181</v>
      </c>
      <c r="R762" s="37" t="s">
        <v>31</v>
      </c>
      <c r="S762" s="35"/>
      <c r="T762" s="35"/>
    </row>
    <row r="763" spans="1:20" ht="15.6" x14ac:dyDescent="0.3">
      <c r="A763" s="35" t="s">
        <v>611</v>
      </c>
      <c r="B763" s="35" t="s">
        <v>347</v>
      </c>
      <c r="C763" s="35" t="s">
        <v>594</v>
      </c>
      <c r="D763" s="35" t="s">
        <v>738</v>
      </c>
      <c r="E763" s="35" t="s">
        <v>47</v>
      </c>
      <c r="F763" s="35" t="s">
        <v>58</v>
      </c>
      <c r="G763" s="35" t="s">
        <v>438</v>
      </c>
      <c r="H763" s="35" t="s">
        <v>56</v>
      </c>
      <c r="I763" s="35" t="s">
        <v>27</v>
      </c>
      <c r="J763" s="35">
        <v>580</v>
      </c>
      <c r="K763" s="35" t="s">
        <v>123</v>
      </c>
      <c r="L763" s="35">
        <v>5</v>
      </c>
      <c r="M763" s="35">
        <v>33750</v>
      </c>
      <c r="N763" s="38">
        <f t="shared" si="16"/>
        <v>6750</v>
      </c>
      <c r="O763" s="37" t="s">
        <v>29</v>
      </c>
      <c r="P763" s="37" t="s">
        <v>30</v>
      </c>
      <c r="Q763" s="36">
        <v>46181</v>
      </c>
      <c r="R763" s="37" t="s">
        <v>31</v>
      </c>
      <c r="S763" s="35"/>
      <c r="T763" s="35"/>
    </row>
    <row r="764" spans="1:20" ht="15.6" x14ac:dyDescent="0.3">
      <c r="A764" s="35" t="s">
        <v>611</v>
      </c>
      <c r="B764" s="35" t="s">
        <v>347</v>
      </c>
      <c r="C764" s="35" t="s">
        <v>594</v>
      </c>
      <c r="D764" s="35" t="s">
        <v>738</v>
      </c>
      <c r="E764" s="35" t="s">
        <v>47</v>
      </c>
      <c r="F764" s="35" t="s">
        <v>58</v>
      </c>
      <c r="G764" s="35" t="s">
        <v>295</v>
      </c>
      <c r="H764" s="35" t="s">
        <v>56</v>
      </c>
      <c r="I764" s="35" t="s">
        <v>27</v>
      </c>
      <c r="J764" s="35">
        <v>580</v>
      </c>
      <c r="K764" s="35" t="s">
        <v>123</v>
      </c>
      <c r="L764" s="35">
        <v>5</v>
      </c>
      <c r="M764" s="35">
        <v>23625</v>
      </c>
      <c r="N764" s="38">
        <f t="shared" si="16"/>
        <v>4725</v>
      </c>
      <c r="O764" s="37" t="s">
        <v>29</v>
      </c>
      <c r="P764" s="37" t="s">
        <v>30</v>
      </c>
      <c r="Q764" s="36">
        <v>46181</v>
      </c>
      <c r="R764" s="37" t="s">
        <v>31</v>
      </c>
      <c r="S764" s="35"/>
      <c r="T764" s="35"/>
    </row>
    <row r="765" spans="1:20" ht="15.6" x14ac:dyDescent="0.3">
      <c r="A765" s="35" t="s">
        <v>611</v>
      </c>
      <c r="B765" s="35" t="s">
        <v>526</v>
      </c>
      <c r="C765" s="35" t="s">
        <v>527</v>
      </c>
      <c r="D765" s="35" t="s">
        <v>744</v>
      </c>
      <c r="E765" s="35" t="s">
        <v>88</v>
      </c>
      <c r="F765" s="35" t="s">
        <v>24</v>
      </c>
      <c r="G765" s="35" t="s">
        <v>467</v>
      </c>
      <c r="H765" s="35" t="s">
        <v>26</v>
      </c>
      <c r="I765" s="35" t="s">
        <v>27</v>
      </c>
      <c r="J765" s="35">
        <v>581</v>
      </c>
      <c r="K765" s="35" t="s">
        <v>276</v>
      </c>
      <c r="L765" s="35">
        <v>1</v>
      </c>
      <c r="M765" s="37">
        <v>35000</v>
      </c>
      <c r="N765" s="38">
        <f t="shared" si="16"/>
        <v>35000</v>
      </c>
      <c r="O765" s="37" t="s">
        <v>29</v>
      </c>
      <c r="P765" s="37" t="s">
        <v>30</v>
      </c>
      <c r="Q765" s="36">
        <v>46112</v>
      </c>
      <c r="R765" s="37" t="s">
        <v>31</v>
      </c>
      <c r="S765" s="35"/>
      <c r="T765" s="35"/>
    </row>
    <row r="766" spans="1:20" ht="15.6" x14ac:dyDescent="0.3">
      <c r="A766" s="35" t="s">
        <v>611</v>
      </c>
      <c r="B766" s="35" t="s">
        <v>739</v>
      </c>
      <c r="C766" s="35" t="s">
        <v>740</v>
      </c>
      <c r="D766" s="35" t="s">
        <v>744</v>
      </c>
      <c r="E766" s="35" t="s">
        <v>381</v>
      </c>
      <c r="F766" s="35" t="s">
        <v>36</v>
      </c>
      <c r="G766" s="35" t="s">
        <v>388</v>
      </c>
      <c r="H766" s="35" t="s">
        <v>26</v>
      </c>
      <c r="I766" s="35" t="s">
        <v>64</v>
      </c>
      <c r="J766" s="35">
        <v>252</v>
      </c>
      <c r="K766" s="35" t="s">
        <v>123</v>
      </c>
      <c r="L766" s="35">
        <v>200</v>
      </c>
      <c r="M766" s="37">
        <v>1000000</v>
      </c>
      <c r="N766" s="38">
        <f t="shared" si="16"/>
        <v>5000</v>
      </c>
      <c r="O766" s="37" t="s">
        <v>29</v>
      </c>
      <c r="P766" s="37" t="s">
        <v>30</v>
      </c>
      <c r="Q766" s="36">
        <v>46193</v>
      </c>
      <c r="R766" s="37" t="s">
        <v>31</v>
      </c>
      <c r="S766" s="35"/>
      <c r="T766" s="35"/>
    </row>
    <row r="767" spans="1:20" ht="15.6" x14ac:dyDescent="0.3">
      <c r="A767" s="35" t="s">
        <v>611</v>
      </c>
      <c r="B767" s="35" t="s">
        <v>742</v>
      </c>
      <c r="C767" s="35" t="s">
        <v>743</v>
      </c>
      <c r="D767" s="35" t="s">
        <v>744</v>
      </c>
      <c r="E767" s="35" t="s">
        <v>40</v>
      </c>
      <c r="F767" s="35" t="s">
        <v>36</v>
      </c>
      <c r="G767" s="35" t="s">
        <v>691</v>
      </c>
      <c r="H767" s="35" t="s">
        <v>26</v>
      </c>
      <c r="I767" s="35" t="s">
        <v>64</v>
      </c>
      <c r="J767" s="35">
        <v>253</v>
      </c>
      <c r="K767" s="35" t="s">
        <v>123</v>
      </c>
      <c r="L767" s="35">
        <v>40</v>
      </c>
      <c r="M767" s="37">
        <v>640000</v>
      </c>
      <c r="N767" s="38">
        <f t="shared" si="16"/>
        <v>16000</v>
      </c>
      <c r="O767" s="37" t="s">
        <v>29</v>
      </c>
      <c r="P767" s="37" t="s">
        <v>30</v>
      </c>
      <c r="Q767" s="36">
        <v>46147</v>
      </c>
      <c r="R767" s="37" t="s">
        <v>31</v>
      </c>
      <c r="S767" s="35"/>
      <c r="T767" s="35"/>
    </row>
    <row r="768" spans="1:20" ht="15.6" x14ac:dyDescent="0.3">
      <c r="A768" s="35" t="s">
        <v>611</v>
      </c>
      <c r="B768" s="35" t="s">
        <v>330</v>
      </c>
      <c r="C768" s="35" t="s">
        <v>331</v>
      </c>
      <c r="D768" s="35" t="s">
        <v>744</v>
      </c>
      <c r="E768" s="35" t="s">
        <v>88</v>
      </c>
      <c r="F768" s="35" t="s">
        <v>24</v>
      </c>
      <c r="G768" s="35" t="s">
        <v>691</v>
      </c>
      <c r="H768" s="35" t="s">
        <v>26</v>
      </c>
      <c r="I768" s="35" t="s">
        <v>64</v>
      </c>
      <c r="J768" s="35">
        <v>255</v>
      </c>
      <c r="K768" s="35" t="s">
        <v>123</v>
      </c>
      <c r="L768" s="35">
        <v>20</v>
      </c>
      <c r="M768" s="37">
        <v>376000</v>
      </c>
      <c r="N768" s="38">
        <f t="shared" si="16"/>
        <v>18800</v>
      </c>
      <c r="O768" s="37" t="s">
        <v>29</v>
      </c>
      <c r="P768" s="37" t="s">
        <v>30</v>
      </c>
      <c r="Q768" s="36">
        <v>46147</v>
      </c>
      <c r="R768" s="37" t="s">
        <v>31</v>
      </c>
      <c r="S768" s="35"/>
      <c r="T768" s="35"/>
    </row>
    <row r="769" spans="1:20" ht="15.6" x14ac:dyDescent="0.3">
      <c r="A769" s="35" t="s">
        <v>611</v>
      </c>
      <c r="B769" s="35" t="s">
        <v>45</v>
      </c>
      <c r="C769" s="35" t="s">
        <v>46</v>
      </c>
      <c r="D769" s="35" t="s">
        <v>744</v>
      </c>
      <c r="E769" s="35" t="s">
        <v>47</v>
      </c>
      <c r="F769" s="35" t="s">
        <v>48</v>
      </c>
      <c r="G769" s="35" t="s">
        <v>388</v>
      </c>
      <c r="H769" s="35" t="s">
        <v>26</v>
      </c>
      <c r="I769" s="35" t="s">
        <v>27</v>
      </c>
      <c r="J769" s="35">
        <v>582</v>
      </c>
      <c r="K769" s="35" t="s">
        <v>123</v>
      </c>
      <c r="L769" s="35">
        <v>160</v>
      </c>
      <c r="M769" s="37">
        <v>640000</v>
      </c>
      <c r="N769" s="38">
        <f t="shared" si="16"/>
        <v>4000</v>
      </c>
      <c r="O769" s="37" t="s">
        <v>29</v>
      </c>
      <c r="P769" s="37" t="s">
        <v>30</v>
      </c>
      <c r="Q769" s="36">
        <v>46147</v>
      </c>
      <c r="R769" s="37" t="s">
        <v>31</v>
      </c>
      <c r="S769" s="35"/>
      <c r="T769" s="35"/>
    </row>
    <row r="770" spans="1:20" ht="15.6" x14ac:dyDescent="0.3">
      <c r="A770" s="35" t="s">
        <v>756</v>
      </c>
      <c r="B770" s="35" t="s">
        <v>686</v>
      </c>
      <c r="C770" s="35" t="s">
        <v>687</v>
      </c>
      <c r="D770" s="35" t="s">
        <v>757</v>
      </c>
      <c r="E770" s="35" t="s">
        <v>35</v>
      </c>
      <c r="F770" s="35" t="s">
        <v>54</v>
      </c>
      <c r="G770" s="35" t="s">
        <v>758</v>
      </c>
      <c r="H770" s="35" t="s">
        <v>56</v>
      </c>
      <c r="I770" s="35" t="s">
        <v>27</v>
      </c>
      <c r="J770" s="35">
        <v>583</v>
      </c>
      <c r="K770" s="35" t="s">
        <v>276</v>
      </c>
      <c r="L770" s="35">
        <v>151</v>
      </c>
      <c r="M770" s="37">
        <v>4001500</v>
      </c>
      <c r="N770" s="38">
        <f t="shared" si="16"/>
        <v>26500</v>
      </c>
      <c r="O770" s="37" t="s">
        <v>29</v>
      </c>
      <c r="P770" s="37" t="s">
        <v>30</v>
      </c>
      <c r="Q770" s="36">
        <v>46233</v>
      </c>
      <c r="R770" s="37" t="s">
        <v>31</v>
      </c>
      <c r="S770" s="35"/>
      <c r="T770" s="35"/>
    </row>
    <row r="771" spans="1:20" ht="15.6" x14ac:dyDescent="0.3">
      <c r="A771" s="35" t="s">
        <v>756</v>
      </c>
      <c r="B771" s="35" t="s">
        <v>742</v>
      </c>
      <c r="C771" s="35" t="s">
        <v>743</v>
      </c>
      <c r="D771" s="35" t="s">
        <v>757</v>
      </c>
      <c r="E771" s="35" t="s">
        <v>40</v>
      </c>
      <c r="F771" s="35" t="s">
        <v>36</v>
      </c>
      <c r="G771" s="35" t="s">
        <v>691</v>
      </c>
      <c r="H771" s="35" t="s">
        <v>26</v>
      </c>
      <c r="I771" s="35" t="s">
        <v>27</v>
      </c>
      <c r="J771" s="35">
        <v>584</v>
      </c>
      <c r="K771" s="35" t="s">
        <v>123</v>
      </c>
      <c r="L771" s="35">
        <v>40</v>
      </c>
      <c r="M771" s="37">
        <v>0</v>
      </c>
      <c r="N771" s="38">
        <f t="shared" si="16"/>
        <v>0</v>
      </c>
      <c r="O771" s="37" t="s">
        <v>29</v>
      </c>
      <c r="P771" s="37" t="s">
        <v>30</v>
      </c>
      <c r="Q771" s="36">
        <v>46113</v>
      </c>
      <c r="R771" s="37" t="s">
        <v>31</v>
      </c>
      <c r="S771" s="37" t="s">
        <v>759</v>
      </c>
      <c r="T771" s="36">
        <v>46112</v>
      </c>
    </row>
    <row r="772" spans="1:20" ht="15.6" x14ac:dyDescent="0.3">
      <c r="A772" s="35" t="s">
        <v>756</v>
      </c>
      <c r="B772" s="35" t="s">
        <v>235</v>
      </c>
      <c r="C772" s="35" t="s">
        <v>236</v>
      </c>
      <c r="D772" s="35" t="s">
        <v>757</v>
      </c>
      <c r="E772" s="35" t="s">
        <v>325</v>
      </c>
      <c r="F772" s="35" t="s">
        <v>54</v>
      </c>
      <c r="G772" s="35" t="s">
        <v>640</v>
      </c>
      <c r="H772" s="35" t="s">
        <v>56</v>
      </c>
      <c r="I772" s="35" t="s">
        <v>27</v>
      </c>
      <c r="J772" s="35">
        <v>586</v>
      </c>
      <c r="K772" s="35" t="s">
        <v>7</v>
      </c>
      <c r="L772" s="35">
        <v>668</v>
      </c>
      <c r="M772" s="37">
        <v>0</v>
      </c>
      <c r="N772" s="38">
        <f t="shared" si="16"/>
        <v>0</v>
      </c>
      <c r="O772" s="37" t="s">
        <v>29</v>
      </c>
      <c r="P772" s="37" t="s">
        <v>30</v>
      </c>
      <c r="Q772" s="36">
        <v>46235</v>
      </c>
      <c r="R772" s="37" t="s">
        <v>31</v>
      </c>
      <c r="S772" s="37" t="s">
        <v>760</v>
      </c>
      <c r="T772" s="36">
        <v>45924</v>
      </c>
    </row>
    <row r="773" spans="1:20" ht="15.6" x14ac:dyDescent="0.3">
      <c r="A773" s="35" t="s">
        <v>756</v>
      </c>
      <c r="B773" s="35" t="s">
        <v>686</v>
      </c>
      <c r="C773" s="35" t="s">
        <v>687</v>
      </c>
      <c r="D773" s="35" t="s">
        <v>757</v>
      </c>
      <c r="E773" s="35" t="s">
        <v>35</v>
      </c>
      <c r="F773" s="35" t="s">
        <v>54</v>
      </c>
      <c r="G773" s="35" t="s">
        <v>758</v>
      </c>
      <c r="H773" s="35" t="s">
        <v>56</v>
      </c>
      <c r="I773" s="35" t="s">
        <v>64</v>
      </c>
      <c r="J773" s="35">
        <v>257</v>
      </c>
      <c r="K773" s="35" t="s">
        <v>276</v>
      </c>
      <c r="L773" s="35">
        <v>149</v>
      </c>
      <c r="M773" s="37">
        <v>3948500</v>
      </c>
      <c r="N773" s="38">
        <f t="shared" si="16"/>
        <v>26500</v>
      </c>
      <c r="O773" s="37" t="s">
        <v>29</v>
      </c>
      <c r="P773" s="37" t="s">
        <v>30</v>
      </c>
      <c r="Q773" s="36">
        <v>46239</v>
      </c>
      <c r="R773" s="37" t="s">
        <v>31</v>
      </c>
      <c r="S773" s="35"/>
      <c r="T773" s="35"/>
    </row>
    <row r="774" spans="1:20" ht="15.6" x14ac:dyDescent="0.3">
      <c r="A774" s="35" t="s">
        <v>756</v>
      </c>
      <c r="B774" s="35" t="s">
        <v>728</v>
      </c>
      <c r="C774" s="35" t="s">
        <v>729</v>
      </c>
      <c r="D774" s="35" t="s">
        <v>761</v>
      </c>
      <c r="E774" s="35" t="s">
        <v>47</v>
      </c>
      <c r="F774" s="35" t="s">
        <v>58</v>
      </c>
      <c r="G774" s="35" t="s">
        <v>721</v>
      </c>
      <c r="H774" s="35" t="s">
        <v>26</v>
      </c>
      <c r="I774" s="35" t="s">
        <v>27</v>
      </c>
      <c r="J774" s="35">
        <v>587</v>
      </c>
      <c r="K774" s="35" t="s">
        <v>276</v>
      </c>
      <c r="L774" s="35">
        <v>10</v>
      </c>
      <c r="M774" s="37">
        <v>0</v>
      </c>
      <c r="N774" s="38">
        <f t="shared" si="16"/>
        <v>0</v>
      </c>
      <c r="O774" s="37" t="s">
        <v>29</v>
      </c>
      <c r="P774" s="37" t="s">
        <v>30</v>
      </c>
      <c r="Q774" s="36">
        <v>46254</v>
      </c>
      <c r="R774" s="37" t="s">
        <v>31</v>
      </c>
      <c r="S774" s="37" t="s">
        <v>762</v>
      </c>
      <c r="T774" s="36">
        <v>46105</v>
      </c>
    </row>
    <row r="775" spans="1:20" ht="15.6" x14ac:dyDescent="0.3">
      <c r="A775" s="35" t="s">
        <v>756</v>
      </c>
      <c r="B775" s="35" t="s">
        <v>728</v>
      </c>
      <c r="C775" s="35" t="s">
        <v>729</v>
      </c>
      <c r="D775" s="35" t="s">
        <v>761</v>
      </c>
      <c r="E775" s="35" t="s">
        <v>47</v>
      </c>
      <c r="F775" s="35" t="s">
        <v>58</v>
      </c>
      <c r="G775" s="35" t="s">
        <v>257</v>
      </c>
      <c r="H775" s="35" t="s">
        <v>26</v>
      </c>
      <c r="I775" s="35" t="s">
        <v>27</v>
      </c>
      <c r="J775" s="35">
        <v>587</v>
      </c>
      <c r="K775" s="35" t="s">
        <v>123</v>
      </c>
      <c r="L775" s="35">
        <v>100</v>
      </c>
      <c r="M775" s="37">
        <v>0</v>
      </c>
      <c r="N775" s="38">
        <f t="shared" si="16"/>
        <v>0</v>
      </c>
      <c r="O775" s="37" t="s">
        <v>29</v>
      </c>
      <c r="P775" s="37" t="s">
        <v>30</v>
      </c>
      <c r="Q775" s="36">
        <v>46254</v>
      </c>
      <c r="R775" s="37" t="s">
        <v>31</v>
      </c>
      <c r="S775" s="37" t="s">
        <v>762</v>
      </c>
      <c r="T775" s="36">
        <v>46105</v>
      </c>
    </row>
    <row r="776" spans="1:20" ht="15.6" x14ac:dyDescent="0.3">
      <c r="A776" s="35" t="s">
        <v>756</v>
      </c>
      <c r="B776" s="35" t="s">
        <v>681</v>
      </c>
      <c r="C776" s="35" t="s">
        <v>682</v>
      </c>
      <c r="D776" s="35" t="s">
        <v>763</v>
      </c>
      <c r="E776" s="35" t="s">
        <v>381</v>
      </c>
      <c r="F776" s="35" t="s">
        <v>36</v>
      </c>
      <c r="G776" s="35" t="s">
        <v>691</v>
      </c>
      <c r="H776" s="35" t="s">
        <v>26</v>
      </c>
      <c r="I776" s="35" t="s">
        <v>27</v>
      </c>
      <c r="J776" s="35">
        <v>588</v>
      </c>
      <c r="K776" s="35" t="s">
        <v>123</v>
      </c>
      <c r="L776" s="35">
        <v>20</v>
      </c>
      <c r="M776" s="37">
        <v>320000</v>
      </c>
      <c r="N776" s="38">
        <f t="shared" si="16"/>
        <v>16000</v>
      </c>
      <c r="O776" s="37" t="s">
        <v>29</v>
      </c>
      <c r="P776" s="37" t="s">
        <v>30</v>
      </c>
      <c r="Q776" s="36">
        <v>46117</v>
      </c>
      <c r="R776" s="37" t="s">
        <v>31</v>
      </c>
      <c r="S776" s="35"/>
      <c r="T776" s="35"/>
    </row>
    <row r="777" spans="1:20" ht="15.6" x14ac:dyDescent="0.3">
      <c r="A777" s="35" t="s">
        <v>756</v>
      </c>
      <c r="B777" s="35" t="s">
        <v>681</v>
      </c>
      <c r="C777" s="35" t="s">
        <v>682</v>
      </c>
      <c r="D777" s="35" t="s">
        <v>763</v>
      </c>
      <c r="E777" s="35" t="s">
        <v>381</v>
      </c>
      <c r="F777" s="35" t="s">
        <v>36</v>
      </c>
      <c r="G777" s="35" t="s">
        <v>253</v>
      </c>
      <c r="H777" s="35" t="s">
        <v>26</v>
      </c>
      <c r="I777" s="35" t="s">
        <v>27</v>
      </c>
      <c r="J777" s="35">
        <v>588</v>
      </c>
      <c r="K777" s="35" t="s">
        <v>123</v>
      </c>
      <c r="L777" s="35">
        <v>40</v>
      </c>
      <c r="M777" s="37">
        <v>200000</v>
      </c>
      <c r="N777" s="38">
        <f t="shared" si="16"/>
        <v>5000</v>
      </c>
      <c r="O777" s="37" t="s">
        <v>29</v>
      </c>
      <c r="P777" s="37" t="s">
        <v>30</v>
      </c>
      <c r="Q777" s="36">
        <v>46117</v>
      </c>
      <c r="R777" s="37" t="s">
        <v>31</v>
      </c>
      <c r="S777" s="35"/>
      <c r="T777" s="35"/>
    </row>
    <row r="778" spans="1:20" ht="15.6" x14ac:dyDescent="0.3">
      <c r="A778" s="35" t="s">
        <v>756</v>
      </c>
      <c r="B778" s="35" t="s">
        <v>644</v>
      </c>
      <c r="C778" s="35" t="s">
        <v>645</v>
      </c>
      <c r="D778" s="35" t="s">
        <v>763</v>
      </c>
      <c r="E778" s="35" t="s">
        <v>40</v>
      </c>
      <c r="F778" s="35" t="s">
        <v>36</v>
      </c>
      <c r="G778" s="35" t="s">
        <v>322</v>
      </c>
      <c r="H778" s="35" t="s">
        <v>26</v>
      </c>
      <c r="I778" s="35" t="s">
        <v>27</v>
      </c>
      <c r="J778" s="35">
        <v>589</v>
      </c>
      <c r="K778" s="35" t="s">
        <v>123</v>
      </c>
      <c r="L778" s="35">
        <v>10</v>
      </c>
      <c r="M778" s="37">
        <v>170000</v>
      </c>
      <c r="N778" s="38">
        <f t="shared" si="16"/>
        <v>17000</v>
      </c>
      <c r="O778" s="37" t="s">
        <v>29</v>
      </c>
      <c r="P778" s="37" t="s">
        <v>30</v>
      </c>
      <c r="Q778" s="36">
        <v>46117</v>
      </c>
      <c r="R778" s="37" t="s">
        <v>31</v>
      </c>
      <c r="S778" s="35"/>
      <c r="T778" s="35"/>
    </row>
    <row r="779" spans="1:20" ht="15.6" x14ac:dyDescent="0.3">
      <c r="A779" s="35" t="s">
        <v>756</v>
      </c>
      <c r="B779" s="35" t="s">
        <v>644</v>
      </c>
      <c r="C779" s="35" t="s">
        <v>645</v>
      </c>
      <c r="D779" s="35" t="s">
        <v>763</v>
      </c>
      <c r="E779" s="35" t="s">
        <v>40</v>
      </c>
      <c r="F779" s="35" t="s">
        <v>36</v>
      </c>
      <c r="G779" s="35" t="s">
        <v>558</v>
      </c>
      <c r="H779" s="35" t="s">
        <v>26</v>
      </c>
      <c r="I779" s="35" t="s">
        <v>27</v>
      </c>
      <c r="J779" s="35">
        <v>589</v>
      </c>
      <c r="K779" s="35" t="s">
        <v>123</v>
      </c>
      <c r="L779" s="35">
        <v>20</v>
      </c>
      <c r="M779" s="37">
        <v>200000</v>
      </c>
      <c r="N779" s="38">
        <f t="shared" si="16"/>
        <v>10000</v>
      </c>
      <c r="O779" s="37" t="s">
        <v>29</v>
      </c>
      <c r="P779" s="37" t="s">
        <v>30</v>
      </c>
      <c r="Q779" s="36">
        <v>46117</v>
      </c>
      <c r="R779" s="37" t="s">
        <v>31</v>
      </c>
      <c r="S779" s="35"/>
      <c r="T779" s="35"/>
    </row>
    <row r="780" spans="1:20" ht="15.6" x14ac:dyDescent="0.3">
      <c r="A780" s="35" t="s">
        <v>756</v>
      </c>
      <c r="B780" s="35" t="s">
        <v>739</v>
      </c>
      <c r="C780" s="35" t="s">
        <v>740</v>
      </c>
      <c r="D780" s="35" t="s">
        <v>774</v>
      </c>
      <c r="E780" s="35"/>
      <c r="F780" s="35" t="s">
        <v>36</v>
      </c>
      <c r="G780" s="35" t="s">
        <v>388</v>
      </c>
      <c r="H780" s="35" t="s">
        <v>26</v>
      </c>
      <c r="I780" s="35" t="s">
        <v>27</v>
      </c>
      <c r="J780" s="35">
        <v>590</v>
      </c>
      <c r="K780" s="35" t="s">
        <v>123</v>
      </c>
      <c r="L780" s="35">
        <v>200</v>
      </c>
      <c r="M780" s="35">
        <v>0</v>
      </c>
      <c r="N780" s="38">
        <f t="shared" si="16"/>
        <v>0</v>
      </c>
      <c r="O780" s="37" t="s">
        <v>29</v>
      </c>
      <c r="P780" s="37" t="s">
        <v>30</v>
      </c>
      <c r="Q780" s="36">
        <v>46208</v>
      </c>
      <c r="R780" s="37" t="s">
        <v>31</v>
      </c>
      <c r="S780" s="37" t="s">
        <v>801</v>
      </c>
      <c r="T780" s="36">
        <v>46112</v>
      </c>
    </row>
    <row r="781" spans="1:20" ht="15.6" x14ac:dyDescent="0.3">
      <c r="A781" s="35" t="s">
        <v>756</v>
      </c>
      <c r="B781" s="35" t="s">
        <v>383</v>
      </c>
      <c r="C781" s="35" t="s">
        <v>384</v>
      </c>
      <c r="D781" s="35" t="s">
        <v>775</v>
      </c>
      <c r="E781" s="35" t="s">
        <v>47</v>
      </c>
      <c r="F781" s="35" t="s">
        <v>58</v>
      </c>
      <c r="G781" s="35" t="s">
        <v>409</v>
      </c>
      <c r="H781" s="35" t="s">
        <v>26</v>
      </c>
      <c r="I781" s="35" t="s">
        <v>27</v>
      </c>
      <c r="J781" s="35">
        <v>591</v>
      </c>
      <c r="K781" s="35" t="s">
        <v>123</v>
      </c>
      <c r="L781" s="35">
        <v>160</v>
      </c>
      <c r="M781" s="37">
        <v>427840</v>
      </c>
      <c r="N781" s="38">
        <f t="shared" si="16"/>
        <v>2674</v>
      </c>
      <c r="O781" s="37" t="s">
        <v>29</v>
      </c>
      <c r="P781" s="37" t="s">
        <v>30</v>
      </c>
      <c r="Q781" s="36">
        <v>46423</v>
      </c>
      <c r="R781" s="37" t="s">
        <v>31</v>
      </c>
      <c r="S781" s="35"/>
      <c r="T781" s="35"/>
    </row>
    <row r="782" spans="1:20" ht="15.6" x14ac:dyDescent="0.3">
      <c r="A782" s="35" t="s">
        <v>756</v>
      </c>
      <c r="B782" s="35" t="s">
        <v>383</v>
      </c>
      <c r="C782" s="35" t="s">
        <v>384</v>
      </c>
      <c r="D782" s="35" t="s">
        <v>775</v>
      </c>
      <c r="E782" s="35" t="s">
        <v>47</v>
      </c>
      <c r="F782" s="35" t="s">
        <v>58</v>
      </c>
      <c r="G782" s="35" t="s">
        <v>164</v>
      </c>
      <c r="H782" s="35" t="s">
        <v>26</v>
      </c>
      <c r="I782" s="35" t="s">
        <v>27</v>
      </c>
      <c r="J782" s="35">
        <v>591</v>
      </c>
      <c r="K782" s="35" t="s">
        <v>123</v>
      </c>
      <c r="L782" s="35">
        <v>80</v>
      </c>
      <c r="M782" s="37">
        <v>213920</v>
      </c>
      <c r="N782" s="38">
        <f t="shared" si="16"/>
        <v>2674</v>
      </c>
      <c r="O782" s="37" t="s">
        <v>29</v>
      </c>
      <c r="P782" s="37" t="s">
        <v>30</v>
      </c>
      <c r="Q782" s="36">
        <v>46423</v>
      </c>
      <c r="R782" s="37" t="s">
        <v>31</v>
      </c>
      <c r="S782" s="35"/>
      <c r="T782" s="35"/>
    </row>
    <row r="783" spans="1:20" ht="15.6" x14ac:dyDescent="0.3">
      <c r="A783" s="35" t="s">
        <v>756</v>
      </c>
      <c r="B783" s="35" t="s">
        <v>770</v>
      </c>
      <c r="C783" s="35" t="s">
        <v>771</v>
      </c>
      <c r="D783" s="35" t="s">
        <v>775</v>
      </c>
      <c r="E783" s="35"/>
      <c r="F783" s="35" t="s">
        <v>54</v>
      </c>
      <c r="G783" s="35" t="s">
        <v>467</v>
      </c>
      <c r="H783" s="35" t="s">
        <v>26</v>
      </c>
      <c r="I783" s="35" t="s">
        <v>27</v>
      </c>
      <c r="J783" s="35">
        <v>592</v>
      </c>
      <c r="K783" s="35" t="s">
        <v>276</v>
      </c>
      <c r="L783" s="35">
        <v>3</v>
      </c>
      <c r="M783" s="37">
        <v>102408</v>
      </c>
      <c r="N783" s="38">
        <f t="shared" si="16"/>
        <v>34136</v>
      </c>
      <c r="O783" s="37" t="s">
        <v>29</v>
      </c>
      <c r="P783" s="37" t="s">
        <v>30</v>
      </c>
      <c r="Q783" s="36">
        <v>45755</v>
      </c>
      <c r="R783" s="37" t="s">
        <v>31</v>
      </c>
      <c r="S783" s="35"/>
      <c r="T783" s="35"/>
    </row>
    <row r="784" spans="1:20" ht="15.6" x14ac:dyDescent="0.3">
      <c r="A784" s="35" t="s">
        <v>756</v>
      </c>
      <c r="B784" s="35" t="s">
        <v>777</v>
      </c>
      <c r="C784" s="35" t="s">
        <v>778</v>
      </c>
      <c r="D784" s="35" t="s">
        <v>775</v>
      </c>
      <c r="E784" s="35" t="s">
        <v>47</v>
      </c>
      <c r="F784" s="35" t="s">
        <v>54</v>
      </c>
      <c r="G784" s="35" t="s">
        <v>379</v>
      </c>
      <c r="H784" s="35" t="s">
        <v>26</v>
      </c>
      <c r="I784" s="35" t="s">
        <v>64</v>
      </c>
      <c r="J784" s="35">
        <v>258</v>
      </c>
      <c r="K784" s="35" t="s">
        <v>123</v>
      </c>
      <c r="L784" s="35">
        <v>100</v>
      </c>
      <c r="M784" s="37">
        <v>354100</v>
      </c>
      <c r="N784" s="38">
        <f t="shared" si="16"/>
        <v>3541</v>
      </c>
      <c r="O784" s="37" t="s">
        <v>29</v>
      </c>
      <c r="P784" s="37" t="s">
        <v>30</v>
      </c>
      <c r="Q784" s="36">
        <v>46178</v>
      </c>
      <c r="R784" s="37" t="s">
        <v>31</v>
      </c>
      <c r="S784" s="35"/>
      <c r="T784" s="35"/>
    </row>
    <row r="785" spans="1:20" ht="15.6" x14ac:dyDescent="0.3">
      <c r="A785" s="35" t="s">
        <v>756</v>
      </c>
      <c r="B785" s="35" t="s">
        <v>374</v>
      </c>
      <c r="C785" s="35" t="s">
        <v>375</v>
      </c>
      <c r="D785" s="35" t="s">
        <v>775</v>
      </c>
      <c r="E785" s="35"/>
      <c r="F785" s="35" t="s">
        <v>54</v>
      </c>
      <c r="G785" s="35" t="s">
        <v>327</v>
      </c>
      <c r="H785" s="35" t="s">
        <v>26</v>
      </c>
      <c r="I785" s="35" t="s">
        <v>64</v>
      </c>
      <c r="J785" s="35">
        <v>260</v>
      </c>
      <c r="K785" s="35" t="s">
        <v>123</v>
      </c>
      <c r="L785" s="35">
        <v>25</v>
      </c>
      <c r="M785" s="37">
        <v>230650</v>
      </c>
      <c r="N785" s="38">
        <f t="shared" si="16"/>
        <v>9226</v>
      </c>
      <c r="O785" s="37" t="s">
        <v>29</v>
      </c>
      <c r="P785" s="37" t="s">
        <v>30</v>
      </c>
      <c r="Q785" s="36">
        <v>46178</v>
      </c>
      <c r="R785" s="37" t="s">
        <v>31</v>
      </c>
      <c r="S785" s="35"/>
      <c r="T785" s="35"/>
    </row>
    <row r="786" spans="1:20" ht="15.6" x14ac:dyDescent="0.3">
      <c r="A786" s="35" t="s">
        <v>756</v>
      </c>
      <c r="B786" s="35" t="s">
        <v>374</v>
      </c>
      <c r="C786" s="35" t="s">
        <v>375</v>
      </c>
      <c r="D786" s="35" t="s">
        <v>775</v>
      </c>
      <c r="E786" s="35"/>
      <c r="F786" s="35" t="s">
        <v>54</v>
      </c>
      <c r="G786" s="35" t="s">
        <v>455</v>
      </c>
      <c r="H786" s="35" t="s">
        <v>26</v>
      </c>
      <c r="I786" s="35" t="s">
        <v>64</v>
      </c>
      <c r="J786" s="35">
        <v>260</v>
      </c>
      <c r="K786" s="35" t="s">
        <v>123</v>
      </c>
      <c r="L786" s="35">
        <v>25</v>
      </c>
      <c r="M786" s="37">
        <v>253725</v>
      </c>
      <c r="N786" s="38">
        <f t="shared" si="16"/>
        <v>10149</v>
      </c>
      <c r="O786" s="37" t="s">
        <v>29</v>
      </c>
      <c r="P786" s="37" t="s">
        <v>30</v>
      </c>
      <c r="Q786" s="36">
        <v>46178</v>
      </c>
      <c r="R786" s="37" t="s">
        <v>31</v>
      </c>
      <c r="S786" s="35"/>
      <c r="T786" s="35"/>
    </row>
    <row r="787" spans="1:20" ht="15.6" x14ac:dyDescent="0.3">
      <c r="A787" s="35" t="s">
        <v>756</v>
      </c>
      <c r="B787" s="35" t="s">
        <v>374</v>
      </c>
      <c r="C787" s="35" t="s">
        <v>375</v>
      </c>
      <c r="D787" s="35" t="s">
        <v>775</v>
      </c>
      <c r="E787" s="35"/>
      <c r="F787" s="35" t="s">
        <v>54</v>
      </c>
      <c r="G787" s="35" t="s">
        <v>275</v>
      </c>
      <c r="H787" s="35" t="s">
        <v>26</v>
      </c>
      <c r="I787" s="35" t="s">
        <v>64</v>
      </c>
      <c r="J787" s="35">
        <v>260</v>
      </c>
      <c r="K787" s="35" t="s">
        <v>276</v>
      </c>
      <c r="L787" s="35">
        <v>20</v>
      </c>
      <c r="M787" s="37">
        <v>830340</v>
      </c>
      <c r="N787" s="38">
        <f t="shared" si="16"/>
        <v>41517</v>
      </c>
      <c r="O787" s="37" t="s">
        <v>29</v>
      </c>
      <c r="P787" s="37" t="s">
        <v>30</v>
      </c>
      <c r="Q787" s="36">
        <v>46178</v>
      </c>
      <c r="R787" s="37" t="s">
        <v>31</v>
      </c>
      <c r="S787" s="35"/>
      <c r="T787" s="35"/>
    </row>
    <row r="788" spans="1:20" ht="15.6" x14ac:dyDescent="0.3">
      <c r="A788" s="35" t="s">
        <v>756</v>
      </c>
      <c r="B788" s="35" t="s">
        <v>772</v>
      </c>
      <c r="C788" s="35" t="s">
        <v>773</v>
      </c>
      <c r="D788" s="35" t="s">
        <v>775</v>
      </c>
      <c r="E788" s="35"/>
      <c r="F788" s="35" t="s">
        <v>54</v>
      </c>
      <c r="G788" s="35" t="s">
        <v>721</v>
      </c>
      <c r="H788" s="35" t="s">
        <v>26</v>
      </c>
      <c r="I788" s="35" t="s">
        <v>27</v>
      </c>
      <c r="J788" s="35">
        <v>63</v>
      </c>
      <c r="K788" s="35" t="s">
        <v>276</v>
      </c>
      <c r="L788" s="35">
        <v>1</v>
      </c>
      <c r="M788" s="37">
        <v>35000</v>
      </c>
      <c r="N788" s="38">
        <f t="shared" si="16"/>
        <v>35000</v>
      </c>
      <c r="O788" s="37" t="s">
        <v>29</v>
      </c>
      <c r="P788" s="37" t="s">
        <v>30</v>
      </c>
      <c r="Q788" s="35"/>
      <c r="R788" s="37" t="s">
        <v>31</v>
      </c>
      <c r="S788" s="35"/>
      <c r="T788" s="35"/>
    </row>
    <row r="789" spans="1:20" ht="15.6" x14ac:dyDescent="0.3">
      <c r="A789" s="35" t="s">
        <v>756</v>
      </c>
      <c r="B789" s="35" t="s">
        <v>374</v>
      </c>
      <c r="C789" s="35" t="s">
        <v>375</v>
      </c>
      <c r="D789" s="35" t="s">
        <v>779</v>
      </c>
      <c r="E789" s="35"/>
      <c r="F789" s="35" t="s">
        <v>54</v>
      </c>
      <c r="G789" s="35" t="s">
        <v>593</v>
      </c>
      <c r="H789" s="35" t="s">
        <v>26</v>
      </c>
      <c r="I789" s="35" t="s">
        <v>64</v>
      </c>
      <c r="J789" s="35">
        <v>262</v>
      </c>
      <c r="K789" s="35" t="s">
        <v>276</v>
      </c>
      <c r="L789" s="35">
        <v>10</v>
      </c>
      <c r="M789" s="37">
        <v>415170</v>
      </c>
      <c r="N789" s="38">
        <f t="shared" si="16"/>
        <v>41517</v>
      </c>
      <c r="O789" s="37" t="s">
        <v>29</v>
      </c>
      <c r="P789" s="37" t="s">
        <v>30</v>
      </c>
      <c r="Q789" s="36">
        <v>46178</v>
      </c>
      <c r="R789" s="37" t="s">
        <v>31</v>
      </c>
      <c r="S789" s="35"/>
      <c r="T789" s="35"/>
    </row>
    <row r="790" spans="1:20" ht="15.6" x14ac:dyDescent="0.3">
      <c r="A790" s="35" t="s">
        <v>756</v>
      </c>
      <c r="B790" s="35" t="s">
        <v>444</v>
      </c>
      <c r="C790" s="35" t="s">
        <v>445</v>
      </c>
      <c r="D790" s="35" t="s">
        <v>779</v>
      </c>
      <c r="E790" s="35" t="s">
        <v>47</v>
      </c>
      <c r="F790" s="35" t="s">
        <v>24</v>
      </c>
      <c r="G790" s="35" t="s">
        <v>382</v>
      </c>
      <c r="H790" s="35" t="s">
        <v>26</v>
      </c>
      <c r="I790" s="35" t="s">
        <v>64</v>
      </c>
      <c r="J790" s="35">
        <v>263</v>
      </c>
      <c r="K790" s="35" t="s">
        <v>123</v>
      </c>
      <c r="L790" s="35">
        <v>40</v>
      </c>
      <c r="M790" s="37">
        <v>311440</v>
      </c>
      <c r="N790" s="38">
        <f t="shared" si="16"/>
        <v>7786</v>
      </c>
      <c r="O790" s="37" t="s">
        <v>29</v>
      </c>
      <c r="P790" s="37" t="s">
        <v>30</v>
      </c>
      <c r="Q790" s="36">
        <v>46376</v>
      </c>
      <c r="R790" s="37" t="s">
        <v>31</v>
      </c>
      <c r="S790" s="35"/>
      <c r="T790" s="35"/>
    </row>
    <row r="791" spans="1:20" ht="15.6" x14ac:dyDescent="0.3">
      <c r="A791" s="35" t="s">
        <v>756</v>
      </c>
      <c r="B791" s="35" t="s">
        <v>444</v>
      </c>
      <c r="C791" s="35" t="s">
        <v>445</v>
      </c>
      <c r="D791" s="35" t="s">
        <v>779</v>
      </c>
      <c r="E791" s="35" t="s">
        <v>47</v>
      </c>
      <c r="F791" s="35" t="s">
        <v>24</v>
      </c>
      <c r="G791" s="35" t="s">
        <v>409</v>
      </c>
      <c r="H791" s="35" t="s">
        <v>26</v>
      </c>
      <c r="I791" s="35" t="s">
        <v>64</v>
      </c>
      <c r="J791" s="35">
        <v>263</v>
      </c>
      <c r="K791" s="35" t="s">
        <v>123</v>
      </c>
      <c r="L791" s="35">
        <v>40</v>
      </c>
      <c r="M791" s="37">
        <v>164880</v>
      </c>
      <c r="N791" s="38">
        <f t="shared" si="16"/>
        <v>4122</v>
      </c>
      <c r="O791" s="37" t="s">
        <v>29</v>
      </c>
      <c r="P791" s="37" t="s">
        <v>30</v>
      </c>
      <c r="Q791" s="36">
        <v>46376</v>
      </c>
      <c r="R791" s="37" t="s">
        <v>31</v>
      </c>
      <c r="S791" s="35"/>
      <c r="T791" s="35"/>
    </row>
    <row r="792" spans="1:20" ht="15.6" x14ac:dyDescent="0.3">
      <c r="A792" s="35" t="s">
        <v>756</v>
      </c>
      <c r="B792" s="35" t="s">
        <v>444</v>
      </c>
      <c r="C792" s="35" t="s">
        <v>445</v>
      </c>
      <c r="D792" s="35" t="s">
        <v>779</v>
      </c>
      <c r="E792" s="35" t="s">
        <v>47</v>
      </c>
      <c r="F792" s="35" t="s">
        <v>24</v>
      </c>
      <c r="G792" s="35" t="s">
        <v>289</v>
      </c>
      <c r="H792" s="35" t="s">
        <v>26</v>
      </c>
      <c r="I792" s="35" t="s">
        <v>64</v>
      </c>
      <c r="J792" s="35">
        <v>263</v>
      </c>
      <c r="K792" s="35" t="s">
        <v>123</v>
      </c>
      <c r="L792" s="35">
        <v>40</v>
      </c>
      <c r="M792" s="37">
        <v>164880</v>
      </c>
      <c r="N792" s="38">
        <f t="shared" si="16"/>
        <v>4122</v>
      </c>
      <c r="O792" s="37" t="s">
        <v>29</v>
      </c>
      <c r="P792" s="37" t="s">
        <v>30</v>
      </c>
      <c r="Q792" s="36">
        <v>46376</v>
      </c>
      <c r="R792" s="37" t="s">
        <v>31</v>
      </c>
      <c r="S792" s="35"/>
      <c r="T792" s="35"/>
    </row>
    <row r="793" spans="1:20" ht="15.6" x14ac:dyDescent="0.3">
      <c r="A793" s="35" t="s">
        <v>756</v>
      </c>
      <c r="B793" s="35" t="s">
        <v>67</v>
      </c>
      <c r="C793" s="35" t="s">
        <v>68</v>
      </c>
      <c r="D793" s="35" t="s">
        <v>779</v>
      </c>
      <c r="E793" s="35" t="s">
        <v>47</v>
      </c>
      <c r="F793" s="35" t="s">
        <v>24</v>
      </c>
      <c r="G793" s="35" t="s">
        <v>382</v>
      </c>
      <c r="H793" s="35" t="s">
        <v>26</v>
      </c>
      <c r="I793" s="35" t="s">
        <v>64</v>
      </c>
      <c r="J793" s="35">
        <v>264</v>
      </c>
      <c r="K793" s="35" t="s">
        <v>123</v>
      </c>
      <c r="L793" s="35">
        <v>20</v>
      </c>
      <c r="M793" s="37">
        <v>155720</v>
      </c>
      <c r="N793" s="38">
        <f t="shared" si="16"/>
        <v>7786</v>
      </c>
      <c r="O793" s="37" t="s">
        <v>29</v>
      </c>
      <c r="P793" s="37" t="s">
        <v>30</v>
      </c>
      <c r="Q793" s="36">
        <v>46376</v>
      </c>
      <c r="R793" s="37" t="s">
        <v>31</v>
      </c>
      <c r="S793" s="35"/>
      <c r="T793" s="35"/>
    </row>
    <row r="794" spans="1:20" ht="15.6" x14ac:dyDescent="0.3">
      <c r="A794" s="35" t="s">
        <v>756</v>
      </c>
      <c r="B794" s="35" t="s">
        <v>67</v>
      </c>
      <c r="C794" s="35" t="s">
        <v>68</v>
      </c>
      <c r="D794" s="35" t="s">
        <v>779</v>
      </c>
      <c r="E794" s="35" t="s">
        <v>47</v>
      </c>
      <c r="F794" s="35" t="s">
        <v>24</v>
      </c>
      <c r="G794" s="35" t="s">
        <v>455</v>
      </c>
      <c r="H794" s="35" t="s">
        <v>26</v>
      </c>
      <c r="I794" s="35" t="s">
        <v>64</v>
      </c>
      <c r="J794" s="35">
        <v>264</v>
      </c>
      <c r="K794" s="35" t="s">
        <v>123</v>
      </c>
      <c r="L794" s="35">
        <v>10</v>
      </c>
      <c r="M794" s="37">
        <v>83000</v>
      </c>
      <c r="N794" s="38">
        <f t="shared" si="16"/>
        <v>8300</v>
      </c>
      <c r="O794" s="37" t="s">
        <v>29</v>
      </c>
      <c r="P794" s="37" t="s">
        <v>30</v>
      </c>
      <c r="Q794" s="36">
        <v>46376</v>
      </c>
      <c r="R794" s="37" t="s">
        <v>31</v>
      </c>
      <c r="S794" s="35"/>
      <c r="T794" s="35"/>
    </row>
    <row r="795" spans="1:20" ht="15.6" x14ac:dyDescent="0.3">
      <c r="A795" s="35" t="s">
        <v>756</v>
      </c>
      <c r="B795" s="35" t="s">
        <v>67</v>
      </c>
      <c r="C795" s="35" t="s">
        <v>68</v>
      </c>
      <c r="D795" s="35" t="s">
        <v>779</v>
      </c>
      <c r="E795" s="35" t="s">
        <v>47</v>
      </c>
      <c r="F795" s="35" t="s">
        <v>24</v>
      </c>
      <c r="G795" s="35" t="s">
        <v>289</v>
      </c>
      <c r="H795" s="35" t="s">
        <v>26</v>
      </c>
      <c r="I795" s="35" t="s">
        <v>64</v>
      </c>
      <c r="J795" s="35">
        <v>264</v>
      </c>
      <c r="K795" s="35" t="s">
        <v>123</v>
      </c>
      <c r="L795" s="35">
        <v>20</v>
      </c>
      <c r="M795" s="37">
        <v>82440</v>
      </c>
      <c r="N795" s="38">
        <f t="shared" si="16"/>
        <v>4122</v>
      </c>
      <c r="O795" s="37" t="s">
        <v>29</v>
      </c>
      <c r="P795" s="37" t="s">
        <v>30</v>
      </c>
      <c r="Q795" s="36">
        <v>46376</v>
      </c>
      <c r="R795" s="37" t="s">
        <v>31</v>
      </c>
      <c r="S795" s="35"/>
      <c r="T795" s="35"/>
    </row>
    <row r="796" spans="1:20" ht="15.6" x14ac:dyDescent="0.3">
      <c r="A796" s="35" t="s">
        <v>756</v>
      </c>
      <c r="B796" s="35" t="s">
        <v>67</v>
      </c>
      <c r="C796" s="35" t="s">
        <v>68</v>
      </c>
      <c r="D796" s="35" t="s">
        <v>779</v>
      </c>
      <c r="E796" s="35" t="s">
        <v>47</v>
      </c>
      <c r="F796" s="35" t="s">
        <v>24</v>
      </c>
      <c r="G796" s="35" t="s">
        <v>308</v>
      </c>
      <c r="H796" s="35" t="s">
        <v>26</v>
      </c>
      <c r="I796" s="35" t="s">
        <v>64</v>
      </c>
      <c r="J796" s="35">
        <v>264</v>
      </c>
      <c r="K796" s="35" t="s">
        <v>123</v>
      </c>
      <c r="L796" s="35">
        <v>10</v>
      </c>
      <c r="M796" s="37">
        <v>46000</v>
      </c>
      <c r="N796" s="38">
        <f t="shared" si="16"/>
        <v>4600</v>
      </c>
      <c r="O796" s="37" t="s">
        <v>29</v>
      </c>
      <c r="P796" s="37" t="s">
        <v>30</v>
      </c>
      <c r="Q796" s="36">
        <v>46376</v>
      </c>
      <c r="R796" s="37" t="s">
        <v>31</v>
      </c>
      <c r="S796" s="35"/>
      <c r="T796" s="35"/>
    </row>
    <row r="797" spans="1:20" ht="15.6" x14ac:dyDescent="0.3">
      <c r="A797" s="35" t="s">
        <v>756</v>
      </c>
      <c r="B797" s="35" t="s">
        <v>67</v>
      </c>
      <c r="C797" s="35" t="s">
        <v>68</v>
      </c>
      <c r="D797" s="35" t="s">
        <v>779</v>
      </c>
      <c r="E797" s="35" t="s">
        <v>47</v>
      </c>
      <c r="F797" s="35" t="s">
        <v>24</v>
      </c>
      <c r="G797" s="35" t="s">
        <v>409</v>
      </c>
      <c r="H797" s="35" t="s">
        <v>26</v>
      </c>
      <c r="I797" s="35" t="s">
        <v>64</v>
      </c>
      <c r="J797" s="35">
        <v>264</v>
      </c>
      <c r="K797" s="35" t="s">
        <v>123</v>
      </c>
      <c r="L797" s="35">
        <v>20</v>
      </c>
      <c r="M797" s="37">
        <v>82440</v>
      </c>
      <c r="N797" s="38">
        <f t="shared" si="16"/>
        <v>4122</v>
      </c>
      <c r="O797" s="37" t="s">
        <v>29</v>
      </c>
      <c r="P797" s="37" t="s">
        <v>30</v>
      </c>
      <c r="Q797" s="36">
        <v>46376</v>
      </c>
      <c r="R797" s="37" t="s">
        <v>31</v>
      </c>
      <c r="S797" s="35"/>
      <c r="T797" s="35"/>
    </row>
    <row r="798" spans="1:20" ht="15.6" x14ac:dyDescent="0.3">
      <c r="A798" s="35" t="s">
        <v>756</v>
      </c>
      <c r="B798" s="35" t="s">
        <v>67</v>
      </c>
      <c r="C798" s="35" t="s">
        <v>68</v>
      </c>
      <c r="D798" s="35" t="s">
        <v>779</v>
      </c>
      <c r="E798" s="35" t="s">
        <v>47</v>
      </c>
      <c r="F798" s="35" t="s">
        <v>24</v>
      </c>
      <c r="G798" s="35" t="s">
        <v>586</v>
      </c>
      <c r="H798" s="35" t="s">
        <v>26</v>
      </c>
      <c r="I798" s="35" t="s">
        <v>64</v>
      </c>
      <c r="J798" s="35">
        <v>264</v>
      </c>
      <c r="K798" s="35" t="s">
        <v>123</v>
      </c>
      <c r="L798" s="35">
        <v>10</v>
      </c>
      <c r="M798" s="37">
        <v>46000</v>
      </c>
      <c r="N798" s="38">
        <f t="shared" si="16"/>
        <v>4600</v>
      </c>
      <c r="O798" s="37" t="s">
        <v>29</v>
      </c>
      <c r="P798" s="37" t="s">
        <v>30</v>
      </c>
      <c r="Q798" s="36">
        <v>46376</v>
      </c>
      <c r="R798" s="37" t="s">
        <v>31</v>
      </c>
      <c r="S798" s="35"/>
      <c r="T798" s="35"/>
    </row>
    <row r="799" spans="1:20" ht="15.6" x14ac:dyDescent="0.3">
      <c r="A799" s="35" t="s">
        <v>756</v>
      </c>
      <c r="B799" s="35" t="s">
        <v>386</v>
      </c>
      <c r="C799" s="35" t="s">
        <v>387</v>
      </c>
      <c r="D799" s="35" t="s">
        <v>776</v>
      </c>
      <c r="E799" s="35" t="s">
        <v>47</v>
      </c>
      <c r="F799" s="35" t="s">
        <v>58</v>
      </c>
      <c r="G799" s="35" t="s">
        <v>244</v>
      </c>
      <c r="H799" s="35" t="s">
        <v>26</v>
      </c>
      <c r="I799" s="35" t="s">
        <v>27</v>
      </c>
      <c r="J799" s="35">
        <v>593</v>
      </c>
      <c r="K799" s="35" t="s">
        <v>123</v>
      </c>
      <c r="L799" s="35">
        <v>20</v>
      </c>
      <c r="M799" s="37">
        <v>161340</v>
      </c>
      <c r="N799" s="38">
        <f t="shared" si="16"/>
        <v>8067</v>
      </c>
      <c r="O799" s="37" t="s">
        <v>29</v>
      </c>
      <c r="P799" s="37" t="s">
        <v>30</v>
      </c>
      <c r="Q799" s="36">
        <v>46142</v>
      </c>
      <c r="R799" s="37" t="s">
        <v>31</v>
      </c>
      <c r="S799" s="35"/>
      <c r="T799" s="35"/>
    </row>
    <row r="800" spans="1:20" ht="15.6" x14ac:dyDescent="0.3">
      <c r="A800" s="35" t="s">
        <v>756</v>
      </c>
      <c r="B800" s="35" t="s">
        <v>499</v>
      </c>
      <c r="C800" s="35" t="s">
        <v>500</v>
      </c>
      <c r="D800" s="35" t="s">
        <v>776</v>
      </c>
      <c r="E800" s="35" t="s">
        <v>47</v>
      </c>
      <c r="F800" s="35" t="s">
        <v>24</v>
      </c>
      <c r="G800" s="35" t="s">
        <v>242</v>
      </c>
      <c r="H800" s="35" t="s">
        <v>26</v>
      </c>
      <c r="I800" s="35" t="s">
        <v>27</v>
      </c>
      <c r="J800" s="35">
        <v>594</v>
      </c>
      <c r="K800" s="35" t="s">
        <v>123</v>
      </c>
      <c r="L800" s="35">
        <v>20</v>
      </c>
      <c r="M800" s="37">
        <v>178400</v>
      </c>
      <c r="N800" s="38">
        <f t="shared" si="16"/>
        <v>8920</v>
      </c>
      <c r="O800" s="37" t="s">
        <v>29</v>
      </c>
      <c r="P800" s="37" t="s">
        <v>30</v>
      </c>
      <c r="Q800" s="36">
        <v>46152</v>
      </c>
      <c r="R800" s="37" t="s">
        <v>31</v>
      </c>
      <c r="S800" s="37" t="s">
        <v>802</v>
      </c>
      <c r="T800" s="36">
        <v>46059</v>
      </c>
    </row>
    <row r="801" spans="1:20" ht="15.6" x14ac:dyDescent="0.3">
      <c r="A801" s="35" t="s">
        <v>756</v>
      </c>
      <c r="B801" s="35" t="s">
        <v>499</v>
      </c>
      <c r="C801" s="35" t="s">
        <v>500</v>
      </c>
      <c r="D801" s="35" t="s">
        <v>776</v>
      </c>
      <c r="E801" s="35" t="s">
        <v>47</v>
      </c>
      <c r="F801" s="35" t="s">
        <v>24</v>
      </c>
      <c r="G801" s="35" t="s">
        <v>165</v>
      </c>
      <c r="H801" s="35" t="s">
        <v>26</v>
      </c>
      <c r="I801" s="35" t="s">
        <v>27</v>
      </c>
      <c r="J801" s="35">
        <v>594</v>
      </c>
      <c r="K801" s="35" t="s">
        <v>123</v>
      </c>
      <c r="L801" s="35">
        <v>20</v>
      </c>
      <c r="M801" s="37">
        <v>104800</v>
      </c>
      <c r="N801" s="38">
        <f t="shared" si="16"/>
        <v>5240</v>
      </c>
      <c r="O801" s="37" t="s">
        <v>29</v>
      </c>
      <c r="P801" s="37" t="s">
        <v>30</v>
      </c>
      <c r="Q801" s="36">
        <v>46152</v>
      </c>
      <c r="R801" s="37" t="s">
        <v>31</v>
      </c>
      <c r="S801" s="37" t="s">
        <v>802</v>
      </c>
      <c r="T801" s="36">
        <v>46059</v>
      </c>
    </row>
    <row r="802" spans="1:20" ht="15.6" x14ac:dyDescent="0.3">
      <c r="A802" s="35" t="s">
        <v>756</v>
      </c>
      <c r="B802" s="35" t="s">
        <v>499</v>
      </c>
      <c r="C802" s="35" t="s">
        <v>500</v>
      </c>
      <c r="D802" s="35" t="s">
        <v>776</v>
      </c>
      <c r="E802" s="35" t="s">
        <v>47</v>
      </c>
      <c r="F802" s="35" t="s">
        <v>24</v>
      </c>
      <c r="G802" s="35" t="s">
        <v>326</v>
      </c>
      <c r="H802" s="35" t="s">
        <v>26</v>
      </c>
      <c r="I802" s="35" t="s">
        <v>27</v>
      </c>
      <c r="J802" s="35">
        <v>594</v>
      </c>
      <c r="K802" s="35" t="s">
        <v>123</v>
      </c>
      <c r="L802" s="35">
        <v>5</v>
      </c>
      <c r="M802" s="37">
        <v>28895</v>
      </c>
      <c r="N802" s="38">
        <f t="shared" si="16"/>
        <v>5779</v>
      </c>
      <c r="O802" s="37" t="s">
        <v>29</v>
      </c>
      <c r="P802" s="37" t="s">
        <v>30</v>
      </c>
      <c r="Q802" s="36">
        <v>46152</v>
      </c>
      <c r="R802" s="37" t="s">
        <v>31</v>
      </c>
      <c r="S802" s="37" t="s">
        <v>802</v>
      </c>
      <c r="T802" s="36">
        <v>46059</v>
      </c>
    </row>
    <row r="803" spans="1:20" ht="15.6" x14ac:dyDescent="0.3">
      <c r="A803" s="35" t="s">
        <v>756</v>
      </c>
      <c r="B803" s="35" t="s">
        <v>499</v>
      </c>
      <c r="C803" s="35" t="s">
        <v>500</v>
      </c>
      <c r="D803" s="35" t="s">
        <v>776</v>
      </c>
      <c r="E803" s="35" t="s">
        <v>47</v>
      </c>
      <c r="F803" s="35" t="s">
        <v>24</v>
      </c>
      <c r="G803" s="35" t="s">
        <v>275</v>
      </c>
      <c r="H803" s="35" t="s">
        <v>26</v>
      </c>
      <c r="I803" s="35" t="s">
        <v>27</v>
      </c>
      <c r="J803" s="35">
        <v>594</v>
      </c>
      <c r="K803" s="35" t="s">
        <v>276</v>
      </c>
      <c r="L803" s="35">
        <v>3</v>
      </c>
      <c r="M803" s="37">
        <v>114000</v>
      </c>
      <c r="N803" s="38">
        <f t="shared" si="16"/>
        <v>38000</v>
      </c>
      <c r="O803" s="37" t="s">
        <v>29</v>
      </c>
      <c r="P803" s="37" t="s">
        <v>30</v>
      </c>
      <c r="Q803" s="36">
        <v>46152</v>
      </c>
      <c r="R803" s="37" t="s">
        <v>31</v>
      </c>
      <c r="S803" s="37" t="s">
        <v>802</v>
      </c>
      <c r="T803" s="36">
        <v>46059</v>
      </c>
    </row>
    <row r="804" spans="1:20" ht="15.6" x14ac:dyDescent="0.3">
      <c r="A804" s="35" t="s">
        <v>756</v>
      </c>
      <c r="B804" s="35" t="s">
        <v>499</v>
      </c>
      <c r="C804" s="35" t="s">
        <v>500</v>
      </c>
      <c r="D804" s="35" t="s">
        <v>776</v>
      </c>
      <c r="E804" s="35" t="s">
        <v>47</v>
      </c>
      <c r="F804" s="35" t="s">
        <v>24</v>
      </c>
      <c r="G804" s="35" t="s">
        <v>197</v>
      </c>
      <c r="H804" s="35" t="s">
        <v>26</v>
      </c>
      <c r="I804" s="35" t="s">
        <v>27</v>
      </c>
      <c r="J804" s="35">
        <v>594</v>
      </c>
      <c r="K804" s="35" t="s">
        <v>276</v>
      </c>
      <c r="L804" s="35">
        <v>1</v>
      </c>
      <c r="M804" s="37">
        <v>28000</v>
      </c>
      <c r="N804" s="38">
        <f t="shared" si="16"/>
        <v>28000</v>
      </c>
      <c r="O804" s="37" t="s">
        <v>29</v>
      </c>
      <c r="P804" s="37" t="s">
        <v>30</v>
      </c>
      <c r="Q804" s="36">
        <v>46152</v>
      </c>
      <c r="R804" s="37" t="s">
        <v>31</v>
      </c>
      <c r="S804" s="37" t="s">
        <v>802</v>
      </c>
      <c r="T804" s="36">
        <v>46059</v>
      </c>
    </row>
    <row r="805" spans="1:20" ht="15.6" x14ac:dyDescent="0.3">
      <c r="A805" s="35" t="s">
        <v>756</v>
      </c>
      <c r="B805" s="35" t="s">
        <v>499</v>
      </c>
      <c r="C805" s="35" t="s">
        <v>500</v>
      </c>
      <c r="D805" s="35" t="s">
        <v>776</v>
      </c>
      <c r="E805" s="35" t="s">
        <v>47</v>
      </c>
      <c r="F805" s="35" t="s">
        <v>24</v>
      </c>
      <c r="G805" s="35" t="s">
        <v>467</v>
      </c>
      <c r="H805" s="35" t="s">
        <v>26</v>
      </c>
      <c r="I805" s="35" t="s">
        <v>27</v>
      </c>
      <c r="J805" s="35">
        <v>594</v>
      </c>
      <c r="K805" s="35" t="s">
        <v>276</v>
      </c>
      <c r="L805" s="35">
        <v>1</v>
      </c>
      <c r="M805" s="37">
        <v>28000</v>
      </c>
      <c r="N805" s="38">
        <f t="shared" si="16"/>
        <v>28000</v>
      </c>
      <c r="O805" s="37" t="s">
        <v>29</v>
      </c>
      <c r="P805" s="37" t="s">
        <v>30</v>
      </c>
      <c r="Q805" s="36">
        <v>46152</v>
      </c>
      <c r="R805" s="37" t="s">
        <v>31</v>
      </c>
      <c r="S805" s="37" t="s">
        <v>802</v>
      </c>
      <c r="T805" s="36">
        <v>46059</v>
      </c>
    </row>
    <row r="806" spans="1:20" ht="15.6" x14ac:dyDescent="0.3">
      <c r="A806" s="35" t="s">
        <v>756</v>
      </c>
      <c r="B806" s="35" t="s">
        <v>279</v>
      </c>
      <c r="C806" s="35" t="s">
        <v>280</v>
      </c>
      <c r="D806" s="35" t="s">
        <v>776</v>
      </c>
      <c r="E806" s="35" t="s">
        <v>47</v>
      </c>
      <c r="F806" s="35" t="s">
        <v>24</v>
      </c>
      <c r="G806" s="35" t="s">
        <v>327</v>
      </c>
      <c r="H806" s="35" t="s">
        <v>26</v>
      </c>
      <c r="I806" s="35" t="s">
        <v>27</v>
      </c>
      <c r="J806" s="35">
        <v>595</v>
      </c>
      <c r="K806" s="35" t="s">
        <v>123</v>
      </c>
      <c r="L806" s="35">
        <v>10</v>
      </c>
      <c r="M806" s="37">
        <v>82000</v>
      </c>
      <c r="N806" s="38">
        <f t="shared" si="16"/>
        <v>8200</v>
      </c>
      <c r="O806" s="37" t="s">
        <v>29</v>
      </c>
      <c r="P806" s="37" t="s">
        <v>30</v>
      </c>
      <c r="Q806" s="36">
        <v>46122</v>
      </c>
      <c r="R806" s="37" t="s">
        <v>31</v>
      </c>
      <c r="S806" s="35"/>
      <c r="T806" s="35"/>
    </row>
    <row r="807" spans="1:20" ht="15.6" x14ac:dyDescent="0.3">
      <c r="A807" s="35" t="s">
        <v>756</v>
      </c>
      <c r="B807" s="35" t="s">
        <v>654</v>
      </c>
      <c r="C807" s="35" t="s">
        <v>655</v>
      </c>
      <c r="D807" s="35" t="s">
        <v>776</v>
      </c>
      <c r="E807" s="35" t="s">
        <v>23</v>
      </c>
      <c r="F807" s="35" t="s">
        <v>482</v>
      </c>
      <c r="G807" s="35" t="s">
        <v>275</v>
      </c>
      <c r="H807" s="35" t="s">
        <v>26</v>
      </c>
      <c r="I807" s="35" t="s">
        <v>27</v>
      </c>
      <c r="J807" s="35">
        <v>596</v>
      </c>
      <c r="K807" s="35" t="s">
        <v>276</v>
      </c>
      <c r="L807" s="35">
        <v>1</v>
      </c>
      <c r="M807" s="37">
        <v>39826</v>
      </c>
      <c r="N807" s="38">
        <f t="shared" si="16"/>
        <v>39826</v>
      </c>
      <c r="O807" s="37" t="s">
        <v>29</v>
      </c>
      <c r="P807" s="37" t="s">
        <v>30</v>
      </c>
      <c r="Q807" s="36">
        <v>46122</v>
      </c>
      <c r="R807" s="37" t="s">
        <v>31</v>
      </c>
      <c r="S807" s="35"/>
      <c r="T807" s="35"/>
    </row>
    <row r="808" spans="1:20" ht="15.6" x14ac:dyDescent="0.3">
      <c r="A808" s="35" t="s">
        <v>756</v>
      </c>
      <c r="B808" s="35" t="s">
        <v>780</v>
      </c>
      <c r="C808" s="35" t="s">
        <v>781</v>
      </c>
      <c r="D808" s="35" t="s">
        <v>784</v>
      </c>
      <c r="E808" s="35" t="s">
        <v>47</v>
      </c>
      <c r="F808" s="35" t="s">
        <v>58</v>
      </c>
      <c r="G808" s="35" t="s">
        <v>790</v>
      </c>
      <c r="H808" s="35" t="s">
        <v>26</v>
      </c>
      <c r="I808" s="35" t="s">
        <v>27</v>
      </c>
      <c r="J808" s="35">
        <v>597</v>
      </c>
      <c r="K808" s="35" t="s">
        <v>7</v>
      </c>
      <c r="L808" s="35">
        <v>10</v>
      </c>
      <c r="M808" s="37">
        <v>0</v>
      </c>
      <c r="N808" s="38">
        <f t="shared" si="16"/>
        <v>0</v>
      </c>
      <c r="O808" s="37" t="s">
        <v>29</v>
      </c>
      <c r="P808" s="37" t="s">
        <v>30</v>
      </c>
      <c r="Q808" s="36">
        <v>46113</v>
      </c>
      <c r="R808" s="37" t="s">
        <v>31</v>
      </c>
      <c r="S808" s="37" t="s">
        <v>803</v>
      </c>
      <c r="T808" s="36">
        <v>45992</v>
      </c>
    </row>
    <row r="809" spans="1:20" ht="15.6" x14ac:dyDescent="0.3">
      <c r="A809" s="35" t="s">
        <v>756</v>
      </c>
      <c r="B809" s="35" t="s">
        <v>780</v>
      </c>
      <c r="C809" s="35" t="s">
        <v>781</v>
      </c>
      <c r="D809" s="35" t="s">
        <v>784</v>
      </c>
      <c r="E809" s="35" t="s">
        <v>47</v>
      </c>
      <c r="F809" s="35" t="s">
        <v>58</v>
      </c>
      <c r="G809" s="35" t="s">
        <v>791</v>
      </c>
      <c r="H809" s="35" t="s">
        <v>26</v>
      </c>
      <c r="I809" s="35" t="s">
        <v>27</v>
      </c>
      <c r="J809" s="35">
        <v>597</v>
      </c>
      <c r="K809" s="35" t="s">
        <v>7</v>
      </c>
      <c r="L809" s="35">
        <v>20</v>
      </c>
      <c r="M809" s="37">
        <v>0</v>
      </c>
      <c r="N809" s="38">
        <f t="shared" si="16"/>
        <v>0</v>
      </c>
      <c r="O809" s="37" t="s">
        <v>29</v>
      </c>
      <c r="P809" s="37" t="s">
        <v>30</v>
      </c>
      <c r="Q809" s="36">
        <v>46113</v>
      </c>
      <c r="R809" s="37" t="s">
        <v>31</v>
      </c>
      <c r="S809" s="37" t="s">
        <v>803</v>
      </c>
      <c r="T809" s="36">
        <v>45992</v>
      </c>
    </row>
    <row r="810" spans="1:20" ht="15.6" x14ac:dyDescent="0.3">
      <c r="A810" s="35" t="s">
        <v>756</v>
      </c>
      <c r="B810" s="35" t="s">
        <v>780</v>
      </c>
      <c r="C810" s="35" t="s">
        <v>781</v>
      </c>
      <c r="D810" s="35" t="s">
        <v>784</v>
      </c>
      <c r="E810" s="35" t="s">
        <v>47</v>
      </c>
      <c r="F810" s="35" t="s">
        <v>58</v>
      </c>
      <c r="G810" s="35" t="s">
        <v>792</v>
      </c>
      <c r="H810" s="35" t="s">
        <v>26</v>
      </c>
      <c r="I810" s="35" t="s">
        <v>27</v>
      </c>
      <c r="J810" s="35">
        <v>597</v>
      </c>
      <c r="K810" s="35" t="s">
        <v>7</v>
      </c>
      <c r="L810" s="35">
        <v>20</v>
      </c>
      <c r="M810" s="37">
        <v>0</v>
      </c>
      <c r="N810" s="38">
        <f t="shared" si="16"/>
        <v>0</v>
      </c>
      <c r="O810" s="37" t="s">
        <v>29</v>
      </c>
      <c r="P810" s="37" t="s">
        <v>30</v>
      </c>
      <c r="Q810" s="36">
        <v>46113</v>
      </c>
      <c r="R810" s="37" t="s">
        <v>31</v>
      </c>
      <c r="S810" s="37" t="s">
        <v>803</v>
      </c>
      <c r="T810" s="36">
        <v>45992</v>
      </c>
    </row>
    <row r="811" spans="1:20" ht="15.6" x14ac:dyDescent="0.3">
      <c r="A811" s="35" t="s">
        <v>756</v>
      </c>
      <c r="B811" s="35" t="s">
        <v>20</v>
      </c>
      <c r="C811" s="35" t="s">
        <v>21</v>
      </c>
      <c r="D811" s="35" t="s">
        <v>784</v>
      </c>
      <c r="E811" s="35" t="s">
        <v>23</v>
      </c>
      <c r="F811" s="35" t="s">
        <v>24</v>
      </c>
      <c r="G811" s="35" t="s">
        <v>25</v>
      </c>
      <c r="H811" s="35" t="s">
        <v>26</v>
      </c>
      <c r="I811" s="35" t="s">
        <v>27</v>
      </c>
      <c r="J811" s="35">
        <v>598</v>
      </c>
      <c r="K811" s="35" t="s">
        <v>28</v>
      </c>
      <c r="L811" s="35">
        <v>100</v>
      </c>
      <c r="M811" s="37">
        <v>0</v>
      </c>
      <c r="N811" s="38">
        <f t="shared" si="16"/>
        <v>0</v>
      </c>
      <c r="O811" s="37" t="s">
        <v>29</v>
      </c>
      <c r="P811" s="37" t="s">
        <v>30</v>
      </c>
      <c r="Q811" s="36">
        <v>46142</v>
      </c>
      <c r="R811" s="37" t="s">
        <v>31</v>
      </c>
      <c r="S811" s="37" t="s">
        <v>804</v>
      </c>
      <c r="T811" s="36">
        <v>45993</v>
      </c>
    </row>
    <row r="812" spans="1:20" ht="15.6" x14ac:dyDescent="0.3">
      <c r="A812" s="35" t="s">
        <v>756</v>
      </c>
      <c r="B812" s="35" t="s">
        <v>20</v>
      </c>
      <c r="C812" s="35" t="s">
        <v>21</v>
      </c>
      <c r="D812" s="35" t="s">
        <v>784</v>
      </c>
      <c r="E812" s="35" t="s">
        <v>23</v>
      </c>
      <c r="F812" s="35" t="s">
        <v>24</v>
      </c>
      <c r="G812" s="35" t="s">
        <v>25</v>
      </c>
      <c r="H812" s="35" t="s">
        <v>26</v>
      </c>
      <c r="I812" s="35" t="s">
        <v>27</v>
      </c>
      <c r="J812" s="35">
        <v>599</v>
      </c>
      <c r="K812" s="35" t="s">
        <v>28</v>
      </c>
      <c r="L812" s="35">
        <v>80</v>
      </c>
      <c r="M812" s="37">
        <v>0</v>
      </c>
      <c r="N812" s="38">
        <f t="shared" si="16"/>
        <v>0</v>
      </c>
      <c r="O812" s="37" t="s">
        <v>29</v>
      </c>
      <c r="P812" s="37" t="s">
        <v>30</v>
      </c>
      <c r="Q812" s="36">
        <v>46142</v>
      </c>
      <c r="R812" s="37" t="s">
        <v>31</v>
      </c>
      <c r="S812" s="37" t="s">
        <v>805</v>
      </c>
      <c r="T812" s="36">
        <v>45993</v>
      </c>
    </row>
    <row r="813" spans="1:20" ht="15.6" x14ac:dyDescent="0.3">
      <c r="A813" s="35" t="s">
        <v>756</v>
      </c>
      <c r="B813" s="35" t="s">
        <v>538</v>
      </c>
      <c r="C813" s="35" t="s">
        <v>539</v>
      </c>
      <c r="D813" s="35" t="s">
        <v>784</v>
      </c>
      <c r="E813" s="35" t="s">
        <v>47</v>
      </c>
      <c r="F813" s="35" t="s">
        <v>58</v>
      </c>
      <c r="G813" s="35" t="s">
        <v>793</v>
      </c>
      <c r="H813" s="35" t="s">
        <v>26</v>
      </c>
      <c r="I813" s="35" t="s">
        <v>27</v>
      </c>
      <c r="J813" s="35">
        <v>600</v>
      </c>
      <c r="K813" s="35" t="s">
        <v>7</v>
      </c>
      <c r="L813" s="35">
        <v>24</v>
      </c>
      <c r="M813" s="37">
        <v>0</v>
      </c>
      <c r="N813" s="38">
        <f t="shared" si="16"/>
        <v>0</v>
      </c>
      <c r="O813" s="37" t="s">
        <v>29</v>
      </c>
      <c r="P813" s="37" t="s">
        <v>30</v>
      </c>
      <c r="Q813" s="36">
        <v>46111</v>
      </c>
      <c r="R813" s="37" t="s">
        <v>31</v>
      </c>
      <c r="S813" s="37" t="s">
        <v>806</v>
      </c>
      <c r="T813" s="36">
        <v>46019</v>
      </c>
    </row>
    <row r="814" spans="1:20" ht="15.6" x14ac:dyDescent="0.3">
      <c r="A814" s="35" t="s">
        <v>756</v>
      </c>
      <c r="B814" s="35" t="s">
        <v>538</v>
      </c>
      <c r="C814" s="35" t="s">
        <v>539</v>
      </c>
      <c r="D814" s="35" t="s">
        <v>784</v>
      </c>
      <c r="E814" s="35" t="s">
        <v>47</v>
      </c>
      <c r="F814" s="35" t="s">
        <v>58</v>
      </c>
      <c r="G814" s="35" t="s">
        <v>794</v>
      </c>
      <c r="H814" s="35" t="s">
        <v>26</v>
      </c>
      <c r="I814" s="35" t="s">
        <v>27</v>
      </c>
      <c r="J814" s="35">
        <v>600</v>
      </c>
      <c r="K814" s="35" t="s">
        <v>7</v>
      </c>
      <c r="L814" s="35">
        <v>12</v>
      </c>
      <c r="M814" s="37">
        <v>0</v>
      </c>
      <c r="N814" s="38">
        <f t="shared" si="16"/>
        <v>0</v>
      </c>
      <c r="O814" s="37" t="s">
        <v>29</v>
      </c>
      <c r="P814" s="37" t="s">
        <v>30</v>
      </c>
      <c r="Q814" s="36">
        <v>46111</v>
      </c>
      <c r="R814" s="37" t="s">
        <v>31</v>
      </c>
      <c r="S814" s="37" t="s">
        <v>806</v>
      </c>
      <c r="T814" s="36">
        <v>46019</v>
      </c>
    </row>
    <row r="815" spans="1:20" ht="15.6" x14ac:dyDescent="0.3">
      <c r="A815" s="35" t="s">
        <v>756</v>
      </c>
      <c r="B815" s="35" t="s">
        <v>538</v>
      </c>
      <c r="C815" s="35" t="s">
        <v>539</v>
      </c>
      <c r="D815" s="35" t="s">
        <v>784</v>
      </c>
      <c r="E815" s="35" t="s">
        <v>47</v>
      </c>
      <c r="F815" s="35" t="s">
        <v>58</v>
      </c>
      <c r="G815" s="35" t="s">
        <v>790</v>
      </c>
      <c r="H815" s="35" t="s">
        <v>26</v>
      </c>
      <c r="I815" s="35" t="s">
        <v>27</v>
      </c>
      <c r="J815" s="35">
        <v>600</v>
      </c>
      <c r="K815" s="35" t="s">
        <v>7</v>
      </c>
      <c r="L815" s="35">
        <v>24</v>
      </c>
      <c r="M815" s="37">
        <v>0</v>
      </c>
      <c r="N815" s="38">
        <f t="shared" si="16"/>
        <v>0</v>
      </c>
      <c r="O815" s="37" t="s">
        <v>29</v>
      </c>
      <c r="P815" s="37" t="s">
        <v>30</v>
      </c>
      <c r="Q815" s="36">
        <v>46111</v>
      </c>
      <c r="R815" s="37" t="s">
        <v>31</v>
      </c>
      <c r="S815" s="37" t="s">
        <v>806</v>
      </c>
      <c r="T815" s="36">
        <v>46019</v>
      </c>
    </row>
    <row r="816" spans="1:20" ht="15.6" x14ac:dyDescent="0.3">
      <c r="A816" s="35" t="s">
        <v>756</v>
      </c>
      <c r="B816" s="35" t="s">
        <v>538</v>
      </c>
      <c r="C816" s="35" t="s">
        <v>539</v>
      </c>
      <c r="D816" s="35" t="s">
        <v>784</v>
      </c>
      <c r="E816" s="35" t="s">
        <v>47</v>
      </c>
      <c r="F816" s="35" t="s">
        <v>58</v>
      </c>
      <c r="G816" s="35" t="s">
        <v>369</v>
      </c>
      <c r="H816" s="35" t="s">
        <v>26</v>
      </c>
      <c r="I816" s="35" t="s">
        <v>27</v>
      </c>
      <c r="J816" s="35">
        <v>601</v>
      </c>
      <c r="K816" s="35" t="s">
        <v>7</v>
      </c>
      <c r="L816" s="35">
        <v>20</v>
      </c>
      <c r="M816" s="37">
        <v>0</v>
      </c>
      <c r="N816" s="38">
        <f t="shared" si="16"/>
        <v>0</v>
      </c>
      <c r="O816" s="37" t="s">
        <v>29</v>
      </c>
      <c r="P816" s="37" t="s">
        <v>30</v>
      </c>
      <c r="Q816" s="36">
        <v>46111</v>
      </c>
      <c r="R816" s="37" t="s">
        <v>31</v>
      </c>
      <c r="S816" s="37" t="s">
        <v>807</v>
      </c>
      <c r="T816" s="36">
        <v>45995</v>
      </c>
    </row>
    <row r="817" spans="1:20" ht="15.6" x14ac:dyDescent="0.3">
      <c r="A817" s="35" t="s">
        <v>756</v>
      </c>
      <c r="B817" s="35" t="s">
        <v>199</v>
      </c>
      <c r="C817" s="35" t="s">
        <v>200</v>
      </c>
      <c r="D817" s="35" t="s">
        <v>784</v>
      </c>
      <c r="E817" s="35" t="s">
        <v>40</v>
      </c>
      <c r="F817" s="35" t="s">
        <v>36</v>
      </c>
      <c r="G817" s="35" t="s">
        <v>201</v>
      </c>
      <c r="H817" s="35" t="s">
        <v>26</v>
      </c>
      <c r="I817" s="35" t="s">
        <v>27</v>
      </c>
      <c r="J817" s="35">
        <v>602</v>
      </c>
      <c r="K817" s="35" t="s">
        <v>123</v>
      </c>
      <c r="L817" s="35">
        <v>200</v>
      </c>
      <c r="M817" s="37">
        <v>0</v>
      </c>
      <c r="N817" s="38">
        <f t="shared" si="16"/>
        <v>0</v>
      </c>
      <c r="O817" s="37" t="s">
        <v>29</v>
      </c>
      <c r="P817" s="37" t="s">
        <v>30</v>
      </c>
      <c r="Q817" s="36">
        <v>46123</v>
      </c>
      <c r="R817" s="37" t="s">
        <v>31</v>
      </c>
      <c r="S817" s="37" t="s">
        <v>808</v>
      </c>
      <c r="T817" s="36">
        <v>46034</v>
      </c>
    </row>
    <row r="818" spans="1:20" ht="15.6" x14ac:dyDescent="0.3">
      <c r="A818" s="35" t="s">
        <v>756</v>
      </c>
      <c r="B818" s="35" t="s">
        <v>383</v>
      </c>
      <c r="C818" s="35" t="s">
        <v>384</v>
      </c>
      <c r="D818" s="35" t="s">
        <v>785</v>
      </c>
      <c r="E818" s="35" t="s">
        <v>23</v>
      </c>
      <c r="F818" s="35" t="s">
        <v>58</v>
      </c>
      <c r="G818" s="35" t="s">
        <v>244</v>
      </c>
      <c r="H818" s="35" t="s">
        <v>26</v>
      </c>
      <c r="I818" s="35" t="s">
        <v>27</v>
      </c>
      <c r="J818" s="35">
        <v>603</v>
      </c>
      <c r="K818" s="35" t="s">
        <v>123</v>
      </c>
      <c r="L818" s="35">
        <v>80</v>
      </c>
      <c r="M818" s="37">
        <v>576720</v>
      </c>
      <c r="N818" s="38">
        <f t="shared" si="16"/>
        <v>7209</v>
      </c>
      <c r="O818" s="37" t="s">
        <v>29</v>
      </c>
      <c r="P818" s="37" t="s">
        <v>30</v>
      </c>
      <c r="Q818" s="36">
        <v>46058</v>
      </c>
      <c r="R818" s="37" t="s">
        <v>31</v>
      </c>
      <c r="S818" s="35"/>
      <c r="T818" s="35"/>
    </row>
    <row r="819" spans="1:20" ht="15.6" x14ac:dyDescent="0.3">
      <c r="A819" s="35" t="s">
        <v>756</v>
      </c>
      <c r="B819" s="35" t="s">
        <v>777</v>
      </c>
      <c r="C819" s="35" t="s">
        <v>778</v>
      </c>
      <c r="D819" s="35" t="s">
        <v>785</v>
      </c>
      <c r="E819" s="35" t="s">
        <v>23</v>
      </c>
      <c r="F819" s="35" t="s">
        <v>789</v>
      </c>
      <c r="G819" s="35" t="s">
        <v>379</v>
      </c>
      <c r="H819" s="35" t="s">
        <v>26</v>
      </c>
      <c r="I819" s="35" t="s">
        <v>27</v>
      </c>
      <c r="J819" s="35">
        <v>604</v>
      </c>
      <c r="K819" s="35" t="s">
        <v>123</v>
      </c>
      <c r="L819" s="35">
        <v>100</v>
      </c>
      <c r="M819" s="37">
        <v>0</v>
      </c>
      <c r="N819" s="38">
        <f t="shared" ref="N819:N862" si="17">M819/L819</f>
        <v>0</v>
      </c>
      <c r="O819" s="37" t="s">
        <v>29</v>
      </c>
      <c r="P819" s="37" t="s">
        <v>30</v>
      </c>
      <c r="Q819" s="36">
        <v>46178</v>
      </c>
      <c r="R819" s="37" t="s">
        <v>31</v>
      </c>
      <c r="S819" s="37" t="s">
        <v>809</v>
      </c>
      <c r="T819" s="36">
        <v>46120</v>
      </c>
    </row>
    <row r="820" spans="1:20" ht="15.6" x14ac:dyDescent="0.3">
      <c r="A820" s="35" t="s">
        <v>756</v>
      </c>
      <c r="B820" s="35" t="s">
        <v>641</v>
      </c>
      <c r="C820" s="35" t="s">
        <v>642</v>
      </c>
      <c r="D820" s="35" t="s">
        <v>785</v>
      </c>
      <c r="E820" s="35" t="s">
        <v>23</v>
      </c>
      <c r="F820" s="35" t="s">
        <v>36</v>
      </c>
      <c r="G820" s="35" t="s">
        <v>244</v>
      </c>
      <c r="H820" s="35" t="s">
        <v>26</v>
      </c>
      <c r="I820" s="35" t="s">
        <v>27</v>
      </c>
      <c r="J820" s="35">
        <v>605</v>
      </c>
      <c r="K820" s="35" t="s">
        <v>123</v>
      </c>
      <c r="L820" s="35">
        <v>20</v>
      </c>
      <c r="M820" s="37">
        <v>190000</v>
      </c>
      <c r="N820" s="38">
        <f t="shared" si="17"/>
        <v>9500</v>
      </c>
      <c r="O820" s="37" t="s">
        <v>29</v>
      </c>
      <c r="P820" s="37" t="s">
        <v>30</v>
      </c>
      <c r="Q820" s="36">
        <v>46125</v>
      </c>
      <c r="R820" s="37" t="s">
        <v>31</v>
      </c>
      <c r="S820" s="35"/>
      <c r="T820" s="35"/>
    </row>
    <row r="821" spans="1:20" ht="15.6" x14ac:dyDescent="0.3">
      <c r="A821" s="35" t="s">
        <v>756</v>
      </c>
      <c r="B821" s="35" t="s">
        <v>782</v>
      </c>
      <c r="C821" s="35" t="s">
        <v>783</v>
      </c>
      <c r="D821" s="35" t="s">
        <v>786</v>
      </c>
      <c r="E821" s="35" t="s">
        <v>35</v>
      </c>
      <c r="F821" s="35" t="s">
        <v>36</v>
      </c>
      <c r="G821" s="35" t="s">
        <v>721</v>
      </c>
      <c r="H821" s="35" t="s">
        <v>26</v>
      </c>
      <c r="I821" s="35" t="s">
        <v>27</v>
      </c>
      <c r="J821" s="35">
        <v>607</v>
      </c>
      <c r="K821" s="35" t="s">
        <v>276</v>
      </c>
      <c r="L821" s="35">
        <v>10</v>
      </c>
      <c r="M821" s="37">
        <v>305000</v>
      </c>
      <c r="N821" s="38">
        <f t="shared" si="17"/>
        <v>30500</v>
      </c>
      <c r="O821" s="37" t="s">
        <v>29</v>
      </c>
      <c r="P821" s="37" t="s">
        <v>30</v>
      </c>
      <c r="Q821" s="36">
        <v>46126</v>
      </c>
      <c r="R821" s="37" t="s">
        <v>31</v>
      </c>
      <c r="S821" s="35"/>
      <c r="T821" s="35"/>
    </row>
    <row r="822" spans="1:20" ht="15.6" x14ac:dyDescent="0.3">
      <c r="A822" s="35" t="s">
        <v>756</v>
      </c>
      <c r="B822" s="35" t="s">
        <v>277</v>
      </c>
      <c r="C822" s="35" t="s">
        <v>278</v>
      </c>
      <c r="D822" s="35" t="s">
        <v>787</v>
      </c>
      <c r="E822" s="35" t="s">
        <v>47</v>
      </c>
      <c r="F822" s="35" t="s">
        <v>24</v>
      </c>
      <c r="G822" s="35" t="s">
        <v>795</v>
      </c>
      <c r="H822" s="35" t="s">
        <v>26</v>
      </c>
      <c r="I822" s="35" t="s">
        <v>27</v>
      </c>
      <c r="J822" s="35">
        <v>608</v>
      </c>
      <c r="K822" s="35" t="s">
        <v>28</v>
      </c>
      <c r="L822" s="35">
        <v>60</v>
      </c>
      <c r="M822" s="37">
        <v>0</v>
      </c>
      <c r="N822" s="38">
        <f t="shared" si="17"/>
        <v>0</v>
      </c>
      <c r="O822" s="37" t="s">
        <v>29</v>
      </c>
      <c r="P822" s="37" t="s">
        <v>30</v>
      </c>
      <c r="Q822" s="36">
        <v>46142</v>
      </c>
      <c r="R822" s="37" t="s">
        <v>31</v>
      </c>
      <c r="S822" s="37" t="s">
        <v>810</v>
      </c>
      <c r="T822" s="36">
        <v>46014</v>
      </c>
    </row>
    <row r="823" spans="1:20" ht="15.6" x14ac:dyDescent="0.3">
      <c r="A823" s="35" t="s">
        <v>756</v>
      </c>
      <c r="B823" s="35" t="s">
        <v>403</v>
      </c>
      <c r="C823" s="35" t="s">
        <v>404</v>
      </c>
      <c r="D823" s="35" t="s">
        <v>787</v>
      </c>
      <c r="E823" s="35" t="s">
        <v>47</v>
      </c>
      <c r="F823" s="35" t="s">
        <v>58</v>
      </c>
      <c r="G823" s="35" t="s">
        <v>796</v>
      </c>
      <c r="H823" s="35" t="s">
        <v>26</v>
      </c>
      <c r="I823" s="35" t="s">
        <v>27</v>
      </c>
      <c r="J823" s="35">
        <v>610</v>
      </c>
      <c r="K823" s="35" t="s">
        <v>28</v>
      </c>
      <c r="L823" s="35">
        <v>140</v>
      </c>
      <c r="M823" s="37">
        <v>0</v>
      </c>
      <c r="N823" s="38">
        <f t="shared" si="17"/>
        <v>0</v>
      </c>
      <c r="O823" s="37" t="s">
        <v>29</v>
      </c>
      <c r="P823" s="37" t="s">
        <v>30</v>
      </c>
      <c r="Q823" s="36">
        <v>46172</v>
      </c>
      <c r="R823" s="37" t="s">
        <v>31</v>
      </c>
      <c r="S823" s="37" t="s">
        <v>811</v>
      </c>
      <c r="T823" s="36">
        <v>45996</v>
      </c>
    </row>
    <row r="824" spans="1:20" ht="15.6" x14ac:dyDescent="0.3">
      <c r="A824" s="35" t="s">
        <v>756</v>
      </c>
      <c r="B824" s="35" t="s">
        <v>403</v>
      </c>
      <c r="C824" s="35" t="s">
        <v>404</v>
      </c>
      <c r="D824" s="35" t="s">
        <v>787</v>
      </c>
      <c r="E824" s="35" t="s">
        <v>47</v>
      </c>
      <c r="F824" s="35" t="s">
        <v>58</v>
      </c>
      <c r="G824" s="35" t="s">
        <v>797</v>
      </c>
      <c r="H824" s="35" t="s">
        <v>26</v>
      </c>
      <c r="I824" s="35" t="s">
        <v>27</v>
      </c>
      <c r="J824" s="35">
        <v>610</v>
      </c>
      <c r="K824" s="35" t="s">
        <v>28</v>
      </c>
      <c r="L824" s="35">
        <v>100</v>
      </c>
      <c r="M824" s="37">
        <v>0</v>
      </c>
      <c r="N824" s="38">
        <f t="shared" si="17"/>
        <v>0</v>
      </c>
      <c r="O824" s="37" t="s">
        <v>29</v>
      </c>
      <c r="P824" s="37" t="s">
        <v>30</v>
      </c>
      <c r="Q824" s="36">
        <v>46172</v>
      </c>
      <c r="R824" s="37" t="s">
        <v>31</v>
      </c>
      <c r="S824" s="37" t="s">
        <v>811</v>
      </c>
      <c r="T824" s="36">
        <v>45996</v>
      </c>
    </row>
    <row r="825" spans="1:20" ht="15.6" x14ac:dyDescent="0.3">
      <c r="A825" s="35" t="s">
        <v>756</v>
      </c>
      <c r="B825" s="35" t="s">
        <v>403</v>
      </c>
      <c r="C825" s="35" t="s">
        <v>404</v>
      </c>
      <c r="D825" s="35" t="s">
        <v>787</v>
      </c>
      <c r="E825" s="35" t="s">
        <v>47</v>
      </c>
      <c r="F825" s="35" t="s">
        <v>58</v>
      </c>
      <c r="G825" s="35" t="s">
        <v>798</v>
      </c>
      <c r="H825" s="35" t="s">
        <v>26</v>
      </c>
      <c r="I825" s="35" t="s">
        <v>27</v>
      </c>
      <c r="J825" s="35">
        <v>611</v>
      </c>
      <c r="K825" s="35" t="s">
        <v>28</v>
      </c>
      <c r="L825" s="35">
        <v>140</v>
      </c>
      <c r="M825" s="37">
        <v>0</v>
      </c>
      <c r="N825" s="38">
        <f t="shared" si="17"/>
        <v>0</v>
      </c>
      <c r="O825" s="37" t="s">
        <v>29</v>
      </c>
      <c r="P825" s="37" t="s">
        <v>30</v>
      </c>
      <c r="Q825" s="36">
        <v>46172</v>
      </c>
      <c r="R825" s="37" t="s">
        <v>31</v>
      </c>
      <c r="S825" s="37" t="s">
        <v>812</v>
      </c>
      <c r="T825" s="36">
        <v>46020</v>
      </c>
    </row>
    <row r="826" spans="1:20" ht="15.6" x14ac:dyDescent="0.3">
      <c r="A826" s="35" t="s">
        <v>756</v>
      </c>
      <c r="B826" s="35" t="s">
        <v>383</v>
      </c>
      <c r="C826" s="35" t="s">
        <v>384</v>
      </c>
      <c r="D826" s="35" t="s">
        <v>788</v>
      </c>
      <c r="E826" s="35" t="s">
        <v>47</v>
      </c>
      <c r="F826" s="35" t="s">
        <v>58</v>
      </c>
      <c r="G826" s="35" t="s">
        <v>164</v>
      </c>
      <c r="H826" s="35" t="s">
        <v>26</v>
      </c>
      <c r="I826" s="35" t="s">
        <v>27</v>
      </c>
      <c r="J826" s="35">
        <v>612</v>
      </c>
      <c r="K826" s="35" t="s">
        <v>123</v>
      </c>
      <c r="L826" s="35">
        <v>40</v>
      </c>
      <c r="M826" s="37">
        <v>106960</v>
      </c>
      <c r="N826" s="38">
        <f t="shared" si="17"/>
        <v>2674</v>
      </c>
      <c r="O826" s="37" t="s">
        <v>29</v>
      </c>
      <c r="P826" s="37" t="s">
        <v>30</v>
      </c>
      <c r="Q826" s="36">
        <v>46423</v>
      </c>
      <c r="R826" s="37" t="s">
        <v>31</v>
      </c>
      <c r="S826" s="35"/>
      <c r="T826" s="35"/>
    </row>
    <row r="827" spans="1:20" ht="15.6" x14ac:dyDescent="0.3">
      <c r="A827" s="35" t="s">
        <v>756</v>
      </c>
      <c r="B827" s="35" t="s">
        <v>622</v>
      </c>
      <c r="C827" s="35" t="s">
        <v>623</v>
      </c>
      <c r="D827" s="35" t="s">
        <v>813</v>
      </c>
      <c r="E827" s="35" t="s">
        <v>47</v>
      </c>
      <c r="F827" s="35" t="s">
        <v>24</v>
      </c>
      <c r="G827" s="35" t="s">
        <v>244</v>
      </c>
      <c r="H827" s="35" t="s">
        <v>26</v>
      </c>
      <c r="I827" s="35" t="s">
        <v>64</v>
      </c>
      <c r="J827" s="35">
        <v>268</v>
      </c>
      <c r="K827" s="35" t="s">
        <v>123</v>
      </c>
      <c r="L827" s="35">
        <v>20</v>
      </c>
      <c r="M827" s="37">
        <v>172000</v>
      </c>
      <c r="N827" s="38">
        <f t="shared" si="17"/>
        <v>8600</v>
      </c>
      <c r="O827" s="37" t="s">
        <v>29</v>
      </c>
      <c r="P827" s="37" t="s">
        <v>30</v>
      </c>
      <c r="Q827" s="36">
        <v>46163</v>
      </c>
      <c r="R827" s="37" t="s">
        <v>31</v>
      </c>
      <c r="S827" s="35"/>
      <c r="T827" s="35"/>
    </row>
    <row r="828" spans="1:20" ht="15.6" x14ac:dyDescent="0.3">
      <c r="A828" s="35" t="s">
        <v>756</v>
      </c>
      <c r="B828" s="35" t="s">
        <v>814</v>
      </c>
      <c r="C828" s="35" t="s">
        <v>815</v>
      </c>
      <c r="D828" s="35" t="s">
        <v>813</v>
      </c>
      <c r="E828" s="35" t="s">
        <v>35</v>
      </c>
      <c r="F828" s="35" t="s">
        <v>36</v>
      </c>
      <c r="G828" s="35" t="s">
        <v>721</v>
      </c>
      <c r="H828" s="35" t="s">
        <v>26</v>
      </c>
      <c r="I828" s="35" t="s">
        <v>27</v>
      </c>
      <c r="J828" s="35">
        <v>613</v>
      </c>
      <c r="K828" s="35" t="s">
        <v>276</v>
      </c>
      <c r="L828" s="35">
        <v>12</v>
      </c>
      <c r="M828" s="37">
        <v>384000</v>
      </c>
      <c r="N828" s="38">
        <f t="shared" si="17"/>
        <v>32000</v>
      </c>
      <c r="O828" s="37" t="s">
        <v>29</v>
      </c>
      <c r="P828" s="37" t="s">
        <v>30</v>
      </c>
      <c r="Q828" s="36">
        <v>46134</v>
      </c>
      <c r="R828" s="37" t="s">
        <v>31</v>
      </c>
      <c r="S828" s="35"/>
      <c r="T828" s="35"/>
    </row>
    <row r="829" spans="1:20" ht="15.6" x14ac:dyDescent="0.3">
      <c r="A829" s="35" t="s">
        <v>756</v>
      </c>
      <c r="B829" s="35" t="s">
        <v>542</v>
      </c>
      <c r="C829" s="35" t="s">
        <v>543</v>
      </c>
      <c r="D829" s="35" t="s">
        <v>816</v>
      </c>
      <c r="E829" s="35" t="s">
        <v>817</v>
      </c>
      <c r="F829" s="35" t="s">
        <v>48</v>
      </c>
      <c r="G829" s="35" t="s">
        <v>544</v>
      </c>
      <c r="H829" s="35" t="s">
        <v>56</v>
      </c>
      <c r="I829" s="35" t="s">
        <v>27</v>
      </c>
      <c r="J829" s="35">
        <v>614</v>
      </c>
      <c r="K829" s="35" t="s">
        <v>276</v>
      </c>
      <c r="L829" s="35">
        <v>3</v>
      </c>
      <c r="M829" s="37">
        <v>0</v>
      </c>
      <c r="N829" s="38">
        <f t="shared" si="17"/>
        <v>0</v>
      </c>
      <c r="O829" s="37" t="s">
        <v>29</v>
      </c>
      <c r="P829" s="37" t="s">
        <v>30</v>
      </c>
      <c r="Q829" s="36">
        <v>46133</v>
      </c>
      <c r="R829" s="37" t="s">
        <v>31</v>
      </c>
      <c r="S829" s="35"/>
      <c r="T829" s="35"/>
    </row>
    <row r="830" spans="1:20" ht="15.6" x14ac:dyDescent="0.3">
      <c r="A830" s="35" t="s">
        <v>756</v>
      </c>
      <c r="B830" s="35" t="s">
        <v>542</v>
      </c>
      <c r="C830" s="35" t="s">
        <v>543</v>
      </c>
      <c r="D830" s="35" t="s">
        <v>816</v>
      </c>
      <c r="E830" s="35" t="s">
        <v>817</v>
      </c>
      <c r="F830" s="35" t="s">
        <v>48</v>
      </c>
      <c r="G830" s="35" t="s">
        <v>393</v>
      </c>
      <c r="H830" s="35" t="s">
        <v>56</v>
      </c>
      <c r="I830" s="35" t="s">
        <v>27</v>
      </c>
      <c r="J830" s="35">
        <v>614</v>
      </c>
      <c r="K830" s="35" t="s">
        <v>276</v>
      </c>
      <c r="L830" s="35">
        <v>3</v>
      </c>
      <c r="M830" s="37">
        <v>0</v>
      </c>
      <c r="N830" s="38">
        <f t="shared" si="17"/>
        <v>0</v>
      </c>
      <c r="O830" s="37" t="s">
        <v>29</v>
      </c>
      <c r="P830" s="37" t="s">
        <v>30</v>
      </c>
      <c r="Q830" s="36">
        <v>46134</v>
      </c>
      <c r="R830" s="37" t="s">
        <v>31</v>
      </c>
      <c r="S830" s="35"/>
      <c r="T830" s="35"/>
    </row>
    <row r="831" spans="1:20" ht="15.6" x14ac:dyDescent="0.3">
      <c r="A831" s="35" t="s">
        <v>756</v>
      </c>
      <c r="B831" s="35" t="s">
        <v>542</v>
      </c>
      <c r="C831" s="35" t="s">
        <v>543</v>
      </c>
      <c r="D831" s="35" t="s">
        <v>816</v>
      </c>
      <c r="E831" s="35" t="s">
        <v>817</v>
      </c>
      <c r="F831" s="35" t="s">
        <v>48</v>
      </c>
      <c r="G831" s="35" t="s">
        <v>397</v>
      </c>
      <c r="H831" s="35" t="s">
        <v>56</v>
      </c>
      <c r="I831" s="35" t="s">
        <v>27</v>
      </c>
      <c r="J831" s="35">
        <v>614</v>
      </c>
      <c r="K831" s="35" t="s">
        <v>276</v>
      </c>
      <c r="L831" s="35">
        <v>3</v>
      </c>
      <c r="M831" s="37">
        <v>0</v>
      </c>
      <c r="N831" s="38">
        <f t="shared" si="17"/>
        <v>0</v>
      </c>
      <c r="O831" s="37" t="s">
        <v>29</v>
      </c>
      <c r="P831" s="37" t="s">
        <v>30</v>
      </c>
      <c r="Q831" s="36">
        <v>46134</v>
      </c>
      <c r="R831" s="37" t="s">
        <v>31</v>
      </c>
      <c r="S831" s="35"/>
      <c r="T831" s="35"/>
    </row>
    <row r="832" spans="1:20" ht="15.6" x14ac:dyDescent="0.3">
      <c r="A832" s="35" t="s">
        <v>756</v>
      </c>
      <c r="B832" s="35" t="s">
        <v>542</v>
      </c>
      <c r="C832" s="35" t="s">
        <v>543</v>
      </c>
      <c r="D832" s="35" t="s">
        <v>816</v>
      </c>
      <c r="E832" s="35" t="s">
        <v>817</v>
      </c>
      <c r="F832" s="35" t="s">
        <v>48</v>
      </c>
      <c r="G832" s="35" t="s">
        <v>419</v>
      </c>
      <c r="H832" s="35" t="s">
        <v>56</v>
      </c>
      <c r="I832" s="35" t="s">
        <v>27</v>
      </c>
      <c r="J832" s="35">
        <v>614</v>
      </c>
      <c r="K832" s="35" t="s">
        <v>276</v>
      </c>
      <c r="L832" s="35">
        <v>2</v>
      </c>
      <c r="M832" s="37">
        <v>0</v>
      </c>
      <c r="N832" s="38">
        <f t="shared" si="17"/>
        <v>0</v>
      </c>
      <c r="O832" s="37" t="s">
        <v>29</v>
      </c>
      <c r="P832" s="37" t="s">
        <v>30</v>
      </c>
      <c r="Q832" s="36">
        <v>46134</v>
      </c>
      <c r="R832" s="37" t="s">
        <v>31</v>
      </c>
      <c r="S832" s="35"/>
      <c r="T832" s="35"/>
    </row>
    <row r="833" spans="1:20" ht="15.6" x14ac:dyDescent="0.3">
      <c r="A833" s="35" t="s">
        <v>756</v>
      </c>
      <c r="B833" s="35" t="s">
        <v>542</v>
      </c>
      <c r="C833" s="35" t="s">
        <v>543</v>
      </c>
      <c r="D833" s="35" t="s">
        <v>816</v>
      </c>
      <c r="E833" s="35" t="s">
        <v>817</v>
      </c>
      <c r="F833" s="35" t="s">
        <v>48</v>
      </c>
      <c r="G833" s="35" t="s">
        <v>420</v>
      </c>
      <c r="H833" s="35" t="s">
        <v>56</v>
      </c>
      <c r="I833" s="35" t="s">
        <v>27</v>
      </c>
      <c r="J833" s="35">
        <v>614</v>
      </c>
      <c r="K833" s="35" t="s">
        <v>276</v>
      </c>
      <c r="L833" s="35">
        <v>3</v>
      </c>
      <c r="M833" s="37">
        <v>0</v>
      </c>
      <c r="N833" s="38">
        <f t="shared" si="17"/>
        <v>0</v>
      </c>
      <c r="O833" s="37" t="s">
        <v>29</v>
      </c>
      <c r="P833" s="37" t="s">
        <v>30</v>
      </c>
      <c r="Q833" s="36">
        <v>46134</v>
      </c>
      <c r="R833" s="37" t="s">
        <v>31</v>
      </c>
      <c r="S833" s="35"/>
      <c r="T833" s="35"/>
    </row>
    <row r="834" spans="1:20" ht="15.6" x14ac:dyDescent="0.3">
      <c r="A834" s="35" t="s">
        <v>756</v>
      </c>
      <c r="B834" s="35" t="s">
        <v>542</v>
      </c>
      <c r="C834" s="35" t="s">
        <v>543</v>
      </c>
      <c r="D834" s="35" t="s">
        <v>816</v>
      </c>
      <c r="E834" s="35" t="s">
        <v>817</v>
      </c>
      <c r="F834" s="35" t="s">
        <v>48</v>
      </c>
      <c r="G834" s="35" t="s">
        <v>399</v>
      </c>
      <c r="H834" s="35" t="s">
        <v>56</v>
      </c>
      <c r="I834" s="35" t="s">
        <v>27</v>
      </c>
      <c r="J834" s="35">
        <v>614</v>
      </c>
      <c r="K834" s="35" t="s">
        <v>276</v>
      </c>
      <c r="L834" s="35">
        <v>2</v>
      </c>
      <c r="M834" s="37">
        <v>0</v>
      </c>
      <c r="N834" s="38">
        <f t="shared" si="17"/>
        <v>0</v>
      </c>
      <c r="O834" s="37" t="s">
        <v>29</v>
      </c>
      <c r="P834" s="37" t="s">
        <v>30</v>
      </c>
      <c r="Q834" s="36">
        <v>46134</v>
      </c>
      <c r="R834" s="37" t="s">
        <v>31</v>
      </c>
      <c r="S834" s="35"/>
      <c r="T834" s="35"/>
    </row>
    <row r="835" spans="1:20" ht="15.6" x14ac:dyDescent="0.3">
      <c r="A835" s="35" t="s">
        <v>756</v>
      </c>
      <c r="B835" s="35" t="s">
        <v>818</v>
      </c>
      <c r="C835" s="35" t="s">
        <v>819</v>
      </c>
      <c r="D835" s="35" t="s">
        <v>816</v>
      </c>
      <c r="E835" s="35" t="s">
        <v>40</v>
      </c>
      <c r="F835" s="35" t="s">
        <v>36</v>
      </c>
      <c r="G835" s="35" t="s">
        <v>425</v>
      </c>
      <c r="H835" s="35" t="s">
        <v>26</v>
      </c>
      <c r="I835" s="35" t="s">
        <v>27</v>
      </c>
      <c r="J835" s="35">
        <v>615</v>
      </c>
      <c r="K835" s="35" t="s">
        <v>123</v>
      </c>
      <c r="L835" s="35">
        <v>100</v>
      </c>
      <c r="M835" s="37">
        <v>0</v>
      </c>
      <c r="N835" s="38">
        <f t="shared" si="17"/>
        <v>0</v>
      </c>
      <c r="O835" s="37" t="s">
        <v>29</v>
      </c>
      <c r="P835" s="37" t="s">
        <v>30</v>
      </c>
      <c r="Q835" s="36">
        <v>46134</v>
      </c>
      <c r="R835" s="37" t="s">
        <v>31</v>
      </c>
      <c r="S835" s="35"/>
      <c r="T835" s="35"/>
    </row>
    <row r="836" spans="1:20" ht="15.6" x14ac:dyDescent="0.3">
      <c r="A836" s="35" t="s">
        <v>756</v>
      </c>
      <c r="B836" s="35" t="s">
        <v>818</v>
      </c>
      <c r="C836" s="35" t="s">
        <v>819</v>
      </c>
      <c r="D836" s="35" t="s">
        <v>816</v>
      </c>
      <c r="E836" s="35" t="s">
        <v>40</v>
      </c>
      <c r="F836" s="35" t="s">
        <v>36</v>
      </c>
      <c r="G836" s="35" t="s">
        <v>164</v>
      </c>
      <c r="H836" s="35" t="s">
        <v>26</v>
      </c>
      <c r="I836" s="35" t="s">
        <v>27</v>
      </c>
      <c r="J836" s="35">
        <v>615</v>
      </c>
      <c r="K836" s="35" t="s">
        <v>123</v>
      </c>
      <c r="L836" s="35">
        <v>40</v>
      </c>
      <c r="M836" s="37">
        <v>0</v>
      </c>
      <c r="N836" s="38">
        <f t="shared" si="17"/>
        <v>0</v>
      </c>
      <c r="O836" s="37" t="s">
        <v>29</v>
      </c>
      <c r="P836" s="37" t="s">
        <v>30</v>
      </c>
      <c r="Q836" s="36">
        <v>46134</v>
      </c>
      <c r="R836" s="37" t="s">
        <v>31</v>
      </c>
      <c r="S836" s="35"/>
      <c r="T836" s="35"/>
    </row>
    <row r="837" spans="1:20" ht="15.6" x14ac:dyDescent="0.3">
      <c r="A837" s="35" t="s">
        <v>756</v>
      </c>
      <c r="B837" s="35" t="s">
        <v>818</v>
      </c>
      <c r="C837" s="35" t="s">
        <v>819</v>
      </c>
      <c r="D837" s="35" t="s">
        <v>816</v>
      </c>
      <c r="E837" s="35" t="s">
        <v>40</v>
      </c>
      <c r="F837" s="35" t="s">
        <v>36</v>
      </c>
      <c r="G837" s="35" t="s">
        <v>289</v>
      </c>
      <c r="H837" s="35" t="s">
        <v>26</v>
      </c>
      <c r="I837" s="35" t="s">
        <v>27</v>
      </c>
      <c r="J837" s="35">
        <v>615</v>
      </c>
      <c r="K837" s="35" t="s">
        <v>123</v>
      </c>
      <c r="L837" s="35">
        <v>40</v>
      </c>
      <c r="M837" s="37">
        <v>0</v>
      </c>
      <c r="N837" s="38">
        <f t="shared" si="17"/>
        <v>0</v>
      </c>
      <c r="O837" s="37" t="s">
        <v>29</v>
      </c>
      <c r="P837" s="37" t="s">
        <v>30</v>
      </c>
      <c r="Q837" s="36">
        <v>46134</v>
      </c>
      <c r="R837" s="37" t="s">
        <v>31</v>
      </c>
      <c r="S837" s="35"/>
      <c r="T837" s="35"/>
    </row>
    <row r="838" spans="1:20" ht="15.6" x14ac:dyDescent="0.3">
      <c r="A838" s="35" t="s">
        <v>756</v>
      </c>
      <c r="B838" s="35" t="s">
        <v>818</v>
      </c>
      <c r="C838" s="35" t="s">
        <v>819</v>
      </c>
      <c r="D838" s="35" t="s">
        <v>816</v>
      </c>
      <c r="E838" s="35" t="s">
        <v>40</v>
      </c>
      <c r="F838" s="35" t="s">
        <v>36</v>
      </c>
      <c r="G838" s="35" t="s">
        <v>382</v>
      </c>
      <c r="H838" s="35" t="s">
        <v>26</v>
      </c>
      <c r="I838" s="35" t="s">
        <v>27</v>
      </c>
      <c r="J838" s="35">
        <v>615</v>
      </c>
      <c r="K838" s="35" t="s">
        <v>123</v>
      </c>
      <c r="L838" s="35">
        <v>280</v>
      </c>
      <c r="M838" s="37">
        <v>0</v>
      </c>
      <c r="N838" s="38">
        <f t="shared" si="17"/>
        <v>0</v>
      </c>
      <c r="O838" s="37" t="s">
        <v>29</v>
      </c>
      <c r="P838" s="37" t="s">
        <v>30</v>
      </c>
      <c r="Q838" s="36">
        <v>46134</v>
      </c>
      <c r="R838" s="37" t="s">
        <v>31</v>
      </c>
      <c r="S838" s="35"/>
      <c r="T838" s="35"/>
    </row>
    <row r="839" spans="1:20" ht="15.6" x14ac:dyDescent="0.3">
      <c r="A839" s="35" t="s">
        <v>756</v>
      </c>
      <c r="B839" s="35" t="s">
        <v>818</v>
      </c>
      <c r="C839" s="35" t="s">
        <v>819</v>
      </c>
      <c r="D839" s="35" t="s">
        <v>816</v>
      </c>
      <c r="E839" s="35" t="s">
        <v>40</v>
      </c>
      <c r="F839" s="35" t="s">
        <v>36</v>
      </c>
      <c r="G839" s="35" t="s">
        <v>691</v>
      </c>
      <c r="H839" s="35" t="s">
        <v>26</v>
      </c>
      <c r="I839" s="35" t="s">
        <v>27</v>
      </c>
      <c r="J839" s="35">
        <v>615</v>
      </c>
      <c r="K839" s="35" t="s">
        <v>123</v>
      </c>
      <c r="L839" s="35">
        <v>40</v>
      </c>
      <c r="M839" s="37">
        <v>0</v>
      </c>
      <c r="N839" s="38">
        <f t="shared" si="17"/>
        <v>0</v>
      </c>
      <c r="O839" s="37" t="s">
        <v>29</v>
      </c>
      <c r="P839" s="37" t="s">
        <v>30</v>
      </c>
      <c r="Q839" s="36">
        <v>46134</v>
      </c>
      <c r="R839" s="37" t="s">
        <v>31</v>
      </c>
      <c r="S839" s="35"/>
      <c r="T839" s="35"/>
    </row>
    <row r="840" spans="1:20" ht="15.6" x14ac:dyDescent="0.3">
      <c r="A840" s="35" t="s">
        <v>756</v>
      </c>
      <c r="B840" s="35" t="s">
        <v>818</v>
      </c>
      <c r="C840" s="35" t="s">
        <v>819</v>
      </c>
      <c r="D840" s="35" t="s">
        <v>816</v>
      </c>
      <c r="E840" s="35" t="s">
        <v>40</v>
      </c>
      <c r="F840" s="35" t="s">
        <v>36</v>
      </c>
      <c r="G840" s="35" t="s">
        <v>242</v>
      </c>
      <c r="H840" s="35" t="s">
        <v>26</v>
      </c>
      <c r="I840" s="35" t="s">
        <v>27</v>
      </c>
      <c r="J840" s="35">
        <v>615</v>
      </c>
      <c r="K840" s="35" t="s">
        <v>123</v>
      </c>
      <c r="L840" s="35">
        <v>40</v>
      </c>
      <c r="M840" s="37">
        <v>0</v>
      </c>
      <c r="N840" s="38">
        <f t="shared" si="17"/>
        <v>0</v>
      </c>
      <c r="O840" s="37" t="s">
        <v>29</v>
      </c>
      <c r="P840" s="37" t="s">
        <v>30</v>
      </c>
      <c r="Q840" s="36">
        <v>46134</v>
      </c>
      <c r="R840" s="37" t="s">
        <v>31</v>
      </c>
      <c r="S840" s="35"/>
      <c r="T840" s="35"/>
    </row>
    <row r="841" spans="1:20" ht="15.6" x14ac:dyDescent="0.3">
      <c r="A841" s="35" t="s">
        <v>756</v>
      </c>
      <c r="B841" s="35" t="s">
        <v>818</v>
      </c>
      <c r="C841" s="35" t="s">
        <v>819</v>
      </c>
      <c r="D841" s="35" t="s">
        <v>816</v>
      </c>
      <c r="E841" s="35" t="s">
        <v>40</v>
      </c>
      <c r="F841" s="35" t="s">
        <v>36</v>
      </c>
      <c r="G841" s="35" t="s">
        <v>410</v>
      </c>
      <c r="H841" s="35" t="s">
        <v>26</v>
      </c>
      <c r="I841" s="35" t="s">
        <v>27</v>
      </c>
      <c r="J841" s="35">
        <v>615</v>
      </c>
      <c r="K841" s="35" t="s">
        <v>123</v>
      </c>
      <c r="L841" s="35">
        <v>40</v>
      </c>
      <c r="M841" s="37">
        <v>0</v>
      </c>
      <c r="N841" s="38">
        <f t="shared" si="17"/>
        <v>0</v>
      </c>
      <c r="O841" s="37" t="s">
        <v>29</v>
      </c>
      <c r="P841" s="37" t="s">
        <v>30</v>
      </c>
      <c r="Q841" s="36">
        <v>46134</v>
      </c>
      <c r="R841" s="37" t="s">
        <v>31</v>
      </c>
      <c r="S841" s="35"/>
      <c r="T841" s="35"/>
    </row>
    <row r="842" spans="1:20" ht="15.6" x14ac:dyDescent="0.3">
      <c r="A842" s="35" t="s">
        <v>756</v>
      </c>
      <c r="B842" s="35" t="s">
        <v>818</v>
      </c>
      <c r="C842" s="35" t="s">
        <v>819</v>
      </c>
      <c r="D842" s="35" t="s">
        <v>816</v>
      </c>
      <c r="E842" s="35" t="s">
        <v>40</v>
      </c>
      <c r="F842" s="35" t="s">
        <v>36</v>
      </c>
      <c r="G842" s="35" t="s">
        <v>407</v>
      </c>
      <c r="H842" s="35" t="s">
        <v>26</v>
      </c>
      <c r="I842" s="35" t="s">
        <v>27</v>
      </c>
      <c r="J842" s="35">
        <v>615</v>
      </c>
      <c r="K842" s="35" t="s">
        <v>123</v>
      </c>
      <c r="L842" s="35">
        <v>40</v>
      </c>
      <c r="M842" s="37">
        <v>0</v>
      </c>
      <c r="N842" s="38">
        <f t="shared" si="17"/>
        <v>0</v>
      </c>
      <c r="O842" s="37" t="s">
        <v>29</v>
      </c>
      <c r="P842" s="37" t="s">
        <v>30</v>
      </c>
      <c r="Q842" s="36">
        <v>46134</v>
      </c>
      <c r="R842" s="37" t="s">
        <v>31</v>
      </c>
      <c r="S842" s="35"/>
      <c r="T842" s="35"/>
    </row>
    <row r="843" spans="1:20" ht="15.6" x14ac:dyDescent="0.3">
      <c r="A843" s="35" t="s">
        <v>756</v>
      </c>
      <c r="B843" s="35" t="s">
        <v>818</v>
      </c>
      <c r="C843" s="35" t="s">
        <v>819</v>
      </c>
      <c r="D843" s="35" t="s">
        <v>816</v>
      </c>
      <c r="E843" s="35" t="s">
        <v>40</v>
      </c>
      <c r="F843" s="35" t="s">
        <v>36</v>
      </c>
      <c r="G843" s="35" t="s">
        <v>321</v>
      </c>
      <c r="H843" s="35" t="s">
        <v>26</v>
      </c>
      <c r="I843" s="35" t="s">
        <v>27</v>
      </c>
      <c r="J843" s="35">
        <v>615</v>
      </c>
      <c r="K843" s="35" t="s">
        <v>123</v>
      </c>
      <c r="L843" s="35">
        <v>40</v>
      </c>
      <c r="M843" s="37">
        <v>0</v>
      </c>
      <c r="N843" s="38">
        <f t="shared" si="17"/>
        <v>0</v>
      </c>
      <c r="O843" s="37" t="s">
        <v>29</v>
      </c>
      <c r="P843" s="37" t="s">
        <v>30</v>
      </c>
      <c r="Q843" s="36">
        <v>46134</v>
      </c>
      <c r="R843" s="37" t="s">
        <v>31</v>
      </c>
      <c r="S843" s="35"/>
      <c r="T843" s="35"/>
    </row>
    <row r="844" spans="1:20" ht="15.6" x14ac:dyDescent="0.3">
      <c r="A844" s="35" t="s">
        <v>756</v>
      </c>
      <c r="B844" s="35" t="s">
        <v>818</v>
      </c>
      <c r="C844" s="35" t="s">
        <v>819</v>
      </c>
      <c r="D844" s="35" t="s">
        <v>816</v>
      </c>
      <c r="E844" s="35" t="s">
        <v>40</v>
      </c>
      <c r="F844" s="35" t="s">
        <v>36</v>
      </c>
      <c r="G844" s="35" t="s">
        <v>828</v>
      </c>
      <c r="H844" s="35" t="s">
        <v>26</v>
      </c>
      <c r="I844" s="35" t="s">
        <v>27</v>
      </c>
      <c r="J844" s="35">
        <v>615</v>
      </c>
      <c r="K844" s="35" t="s">
        <v>123</v>
      </c>
      <c r="L844" s="35">
        <v>60</v>
      </c>
      <c r="M844" s="37">
        <v>0</v>
      </c>
      <c r="N844" s="38">
        <f t="shared" si="17"/>
        <v>0</v>
      </c>
      <c r="O844" s="37" t="s">
        <v>29</v>
      </c>
      <c r="P844" s="37" t="s">
        <v>30</v>
      </c>
      <c r="Q844" s="36">
        <v>46134</v>
      </c>
      <c r="R844" s="37" t="s">
        <v>31</v>
      </c>
      <c r="S844" s="35"/>
      <c r="T844" s="35"/>
    </row>
    <row r="845" spans="1:20" ht="15.6" x14ac:dyDescent="0.3">
      <c r="A845" s="35" t="s">
        <v>756</v>
      </c>
      <c r="B845" s="35" t="s">
        <v>334</v>
      </c>
      <c r="C845" s="35" t="s">
        <v>335</v>
      </c>
      <c r="D845" s="35" t="s">
        <v>826</v>
      </c>
      <c r="E845" s="35" t="s">
        <v>47</v>
      </c>
      <c r="F845" s="35" t="s">
        <v>58</v>
      </c>
      <c r="G845" s="35" t="s">
        <v>309</v>
      </c>
      <c r="H845" s="35" t="s">
        <v>26</v>
      </c>
      <c r="I845" s="35" t="s">
        <v>27</v>
      </c>
      <c r="J845" s="35">
        <v>616</v>
      </c>
      <c r="K845" s="35" t="s">
        <v>123</v>
      </c>
      <c r="L845" s="35">
        <v>9</v>
      </c>
      <c r="M845" s="37">
        <v>50301</v>
      </c>
      <c r="N845" s="38">
        <f t="shared" si="17"/>
        <v>5589</v>
      </c>
      <c r="O845" s="37" t="s">
        <v>29</v>
      </c>
      <c r="P845" s="37" t="s">
        <v>30</v>
      </c>
      <c r="Q845" s="36">
        <v>46203</v>
      </c>
      <c r="R845" s="37" t="s">
        <v>31</v>
      </c>
      <c r="S845" s="35"/>
      <c r="T845" s="35"/>
    </row>
    <row r="846" spans="1:20" ht="15.6" x14ac:dyDescent="0.3">
      <c r="A846" s="35" t="s">
        <v>756</v>
      </c>
      <c r="B846" s="35" t="s">
        <v>334</v>
      </c>
      <c r="C846" s="35" t="s">
        <v>335</v>
      </c>
      <c r="D846" s="35" t="s">
        <v>826</v>
      </c>
      <c r="E846" s="35" t="s">
        <v>47</v>
      </c>
      <c r="F846" s="35" t="s">
        <v>58</v>
      </c>
      <c r="G846" s="35" t="s">
        <v>308</v>
      </c>
      <c r="H846" s="35" t="s">
        <v>26</v>
      </c>
      <c r="I846" s="35" t="s">
        <v>27</v>
      </c>
      <c r="J846" s="35">
        <v>616</v>
      </c>
      <c r="K846" s="35" t="s">
        <v>123</v>
      </c>
      <c r="L846" s="35">
        <v>10</v>
      </c>
      <c r="M846" s="37">
        <v>41920</v>
      </c>
      <c r="N846" s="38">
        <f t="shared" si="17"/>
        <v>4192</v>
      </c>
      <c r="O846" s="37" t="s">
        <v>29</v>
      </c>
      <c r="P846" s="37" t="s">
        <v>30</v>
      </c>
      <c r="Q846" s="36">
        <v>46203</v>
      </c>
      <c r="R846" s="37" t="s">
        <v>31</v>
      </c>
      <c r="S846" s="35"/>
      <c r="T846" s="35"/>
    </row>
    <row r="847" spans="1:20" ht="15.6" x14ac:dyDescent="0.3">
      <c r="A847" s="35" t="s">
        <v>756</v>
      </c>
      <c r="B847" s="35" t="s">
        <v>334</v>
      </c>
      <c r="C847" s="35" t="s">
        <v>335</v>
      </c>
      <c r="D847" s="35" t="s">
        <v>826</v>
      </c>
      <c r="E847" s="35" t="s">
        <v>47</v>
      </c>
      <c r="F847" s="35" t="s">
        <v>58</v>
      </c>
      <c r="G847" s="35" t="s">
        <v>310</v>
      </c>
      <c r="H847" s="35" t="s">
        <v>26</v>
      </c>
      <c r="I847" s="35" t="s">
        <v>27</v>
      </c>
      <c r="J847" s="35">
        <v>616</v>
      </c>
      <c r="K847" s="35" t="s">
        <v>123</v>
      </c>
      <c r="L847" s="35">
        <v>6</v>
      </c>
      <c r="M847" s="37">
        <v>33534</v>
      </c>
      <c r="N847" s="38">
        <f t="shared" si="17"/>
        <v>5589</v>
      </c>
      <c r="O847" s="37" t="s">
        <v>29</v>
      </c>
      <c r="P847" s="37" t="s">
        <v>30</v>
      </c>
      <c r="Q847" s="36">
        <v>46203</v>
      </c>
      <c r="R847" s="37" t="s">
        <v>31</v>
      </c>
      <c r="S847" s="35"/>
      <c r="T847" s="35"/>
    </row>
    <row r="848" spans="1:20" ht="15.6" x14ac:dyDescent="0.3">
      <c r="A848" s="35" t="s">
        <v>756</v>
      </c>
      <c r="B848" s="35" t="s">
        <v>334</v>
      </c>
      <c r="C848" s="35" t="s">
        <v>335</v>
      </c>
      <c r="D848" s="35" t="s">
        <v>826</v>
      </c>
      <c r="E848" s="35" t="s">
        <v>47</v>
      </c>
      <c r="F848" s="35" t="s">
        <v>58</v>
      </c>
      <c r="G848" s="35" t="s">
        <v>434</v>
      </c>
      <c r="H848" s="35" t="s">
        <v>26</v>
      </c>
      <c r="I848" s="35" t="s">
        <v>27</v>
      </c>
      <c r="J848" s="35">
        <v>616</v>
      </c>
      <c r="K848" s="35" t="s">
        <v>123</v>
      </c>
      <c r="L848" s="35">
        <v>1</v>
      </c>
      <c r="M848" s="37">
        <v>5589</v>
      </c>
      <c r="N848" s="38">
        <f t="shared" si="17"/>
        <v>5589</v>
      </c>
      <c r="O848" s="37" t="s">
        <v>29</v>
      </c>
      <c r="P848" s="37" t="s">
        <v>30</v>
      </c>
      <c r="Q848" s="36">
        <v>46203</v>
      </c>
      <c r="R848" s="37" t="s">
        <v>31</v>
      </c>
      <c r="S848" s="35"/>
      <c r="T848" s="35"/>
    </row>
    <row r="849" spans="1:20" ht="15.6" x14ac:dyDescent="0.3">
      <c r="A849" s="35" t="s">
        <v>756</v>
      </c>
      <c r="B849" s="35" t="s">
        <v>334</v>
      </c>
      <c r="C849" s="35" t="s">
        <v>335</v>
      </c>
      <c r="D849" s="35" t="s">
        <v>826</v>
      </c>
      <c r="E849" s="35" t="s">
        <v>47</v>
      </c>
      <c r="F849" s="35" t="s">
        <v>58</v>
      </c>
      <c r="G849" s="35" t="s">
        <v>435</v>
      </c>
      <c r="H849" s="35" t="s">
        <v>26</v>
      </c>
      <c r="I849" s="35" t="s">
        <v>27</v>
      </c>
      <c r="J849" s="35">
        <v>616</v>
      </c>
      <c r="K849" s="35" t="s">
        <v>123</v>
      </c>
      <c r="L849" s="35">
        <v>15</v>
      </c>
      <c r="M849" s="37">
        <v>62880</v>
      </c>
      <c r="N849" s="38">
        <f t="shared" si="17"/>
        <v>4192</v>
      </c>
      <c r="O849" s="37" t="s">
        <v>29</v>
      </c>
      <c r="P849" s="37" t="s">
        <v>30</v>
      </c>
      <c r="Q849" s="36">
        <v>46203</v>
      </c>
      <c r="R849" s="37" t="s">
        <v>31</v>
      </c>
      <c r="S849" s="35"/>
      <c r="T849" s="35"/>
    </row>
    <row r="850" spans="1:20" ht="15.6" x14ac:dyDescent="0.3">
      <c r="A850" s="35" t="s">
        <v>756</v>
      </c>
      <c r="B850" s="35" t="s">
        <v>334</v>
      </c>
      <c r="C850" s="35" t="s">
        <v>335</v>
      </c>
      <c r="D850" s="35" t="s">
        <v>826</v>
      </c>
      <c r="E850" s="35" t="s">
        <v>47</v>
      </c>
      <c r="F850" s="35" t="s">
        <v>58</v>
      </c>
      <c r="G850" s="35" t="s">
        <v>474</v>
      </c>
      <c r="H850" s="35" t="s">
        <v>26</v>
      </c>
      <c r="I850" s="35" t="s">
        <v>27</v>
      </c>
      <c r="J850" s="35">
        <v>616</v>
      </c>
      <c r="K850" s="35" t="s">
        <v>123</v>
      </c>
      <c r="L850" s="35">
        <v>1</v>
      </c>
      <c r="M850" s="37">
        <v>7453</v>
      </c>
      <c r="N850" s="38">
        <f t="shared" si="17"/>
        <v>7453</v>
      </c>
      <c r="O850" s="37" t="s">
        <v>29</v>
      </c>
      <c r="P850" s="37" t="s">
        <v>30</v>
      </c>
      <c r="Q850" s="36">
        <v>46203</v>
      </c>
      <c r="R850" s="37" t="s">
        <v>31</v>
      </c>
      <c r="S850" s="35"/>
      <c r="T850" s="35"/>
    </row>
    <row r="851" spans="1:20" ht="15.6" x14ac:dyDescent="0.3">
      <c r="A851" s="35" t="s">
        <v>756</v>
      </c>
      <c r="B851" s="35" t="s">
        <v>820</v>
      </c>
      <c r="C851" s="35" t="s">
        <v>821</v>
      </c>
      <c r="D851" s="35" t="s">
        <v>826</v>
      </c>
      <c r="E851" s="35" t="s">
        <v>88</v>
      </c>
      <c r="F851" s="35" t="s">
        <v>24</v>
      </c>
      <c r="G851" s="35" t="s">
        <v>253</v>
      </c>
      <c r="H851" s="35" t="s">
        <v>26</v>
      </c>
      <c r="I851" s="35" t="s">
        <v>27</v>
      </c>
      <c r="J851" s="35">
        <v>617</v>
      </c>
      <c r="K851" s="35" t="s">
        <v>123</v>
      </c>
      <c r="L851" s="35">
        <v>20</v>
      </c>
      <c r="M851" s="37">
        <v>136000</v>
      </c>
      <c r="N851" s="38">
        <f t="shared" si="17"/>
        <v>6800</v>
      </c>
      <c r="O851" s="37" t="s">
        <v>29</v>
      </c>
      <c r="P851" s="37" t="s">
        <v>30</v>
      </c>
      <c r="Q851" s="36">
        <v>46135</v>
      </c>
      <c r="R851" s="37" t="s">
        <v>31</v>
      </c>
      <c r="S851" s="35"/>
      <c r="T851" s="35"/>
    </row>
    <row r="852" spans="1:20" ht="15.6" x14ac:dyDescent="0.3">
      <c r="A852" s="35" t="s">
        <v>756</v>
      </c>
      <c r="B852" s="35" t="s">
        <v>822</v>
      </c>
      <c r="C852" s="35" t="s">
        <v>823</v>
      </c>
      <c r="D852" s="35" t="s">
        <v>827</v>
      </c>
      <c r="E852" s="35" t="s">
        <v>35</v>
      </c>
      <c r="F852" s="35" t="s">
        <v>36</v>
      </c>
      <c r="G852" s="35" t="s">
        <v>721</v>
      </c>
      <c r="H852" s="35" t="s">
        <v>26</v>
      </c>
      <c r="I852" s="35" t="s">
        <v>27</v>
      </c>
      <c r="J852" s="35">
        <v>618</v>
      </c>
      <c r="K852" s="35" t="s">
        <v>276</v>
      </c>
      <c r="L852" s="35">
        <v>8</v>
      </c>
      <c r="M852" s="37">
        <v>256000</v>
      </c>
      <c r="N852" s="38">
        <f t="shared" si="17"/>
        <v>32000</v>
      </c>
      <c r="O852" s="37" t="s">
        <v>29</v>
      </c>
      <c r="P852" s="37" t="s">
        <v>30</v>
      </c>
      <c r="Q852" s="36">
        <v>46136</v>
      </c>
      <c r="R852" s="37" t="s">
        <v>31</v>
      </c>
      <c r="S852" s="35"/>
      <c r="T852" s="35"/>
    </row>
    <row r="853" spans="1:20" ht="15.6" x14ac:dyDescent="0.3">
      <c r="A853" s="35" t="s">
        <v>756</v>
      </c>
      <c r="B853" s="35" t="s">
        <v>97</v>
      </c>
      <c r="C853" s="35" t="s">
        <v>98</v>
      </c>
      <c r="D853" s="35" t="s">
        <v>827</v>
      </c>
      <c r="E853" s="35" t="s">
        <v>47</v>
      </c>
      <c r="F853" s="35" t="s">
        <v>36</v>
      </c>
      <c r="G853" s="35" t="s">
        <v>721</v>
      </c>
      <c r="H853" s="35" t="s">
        <v>26</v>
      </c>
      <c r="I853" s="35" t="s">
        <v>27</v>
      </c>
      <c r="J853" s="35">
        <v>619</v>
      </c>
      <c r="K853" s="35" t="s">
        <v>276</v>
      </c>
      <c r="L853" s="35">
        <v>10</v>
      </c>
      <c r="M853" s="37">
        <v>320000</v>
      </c>
      <c r="N853" s="38">
        <f t="shared" si="17"/>
        <v>32000</v>
      </c>
      <c r="O853" s="37" t="s">
        <v>29</v>
      </c>
      <c r="P853" s="37" t="s">
        <v>30</v>
      </c>
      <c r="Q853" s="36">
        <v>46136</v>
      </c>
      <c r="R853" s="37" t="s">
        <v>31</v>
      </c>
      <c r="S853" s="35"/>
      <c r="T853" s="35"/>
    </row>
    <row r="854" spans="1:20" ht="15.6" x14ac:dyDescent="0.3">
      <c r="A854" s="35" t="s">
        <v>756</v>
      </c>
      <c r="B854" s="35" t="s">
        <v>824</v>
      </c>
      <c r="C854" s="35" t="s">
        <v>825</v>
      </c>
      <c r="D854" s="35" t="s">
        <v>827</v>
      </c>
      <c r="E854" s="35" t="s">
        <v>35</v>
      </c>
      <c r="F854" s="35" t="s">
        <v>36</v>
      </c>
      <c r="G854" s="35" t="s">
        <v>721</v>
      </c>
      <c r="H854" s="35" t="s">
        <v>26</v>
      </c>
      <c r="I854" s="35" t="s">
        <v>27</v>
      </c>
      <c r="J854" s="35">
        <v>620</v>
      </c>
      <c r="K854" s="35" t="s">
        <v>276</v>
      </c>
      <c r="L854" s="35">
        <v>24</v>
      </c>
      <c r="M854" s="37">
        <v>768000</v>
      </c>
      <c r="N854" s="38">
        <f t="shared" si="17"/>
        <v>32000</v>
      </c>
      <c r="O854" s="37" t="s">
        <v>29</v>
      </c>
      <c r="P854" s="37" t="s">
        <v>30</v>
      </c>
      <c r="Q854" s="36">
        <v>46136</v>
      </c>
      <c r="R854" s="37" t="s">
        <v>31</v>
      </c>
      <c r="S854" s="35"/>
      <c r="T854" s="35"/>
    </row>
    <row r="855" spans="1:20" ht="15.6" x14ac:dyDescent="0.3">
      <c r="A855" s="35" t="s">
        <v>756</v>
      </c>
      <c r="B855" s="35" t="s">
        <v>829</v>
      </c>
      <c r="C855" s="35" t="s">
        <v>830</v>
      </c>
      <c r="D855" s="35" t="s">
        <v>835</v>
      </c>
      <c r="E855" s="35"/>
      <c r="F855" s="35" t="s">
        <v>24</v>
      </c>
      <c r="G855" s="35" t="s">
        <v>721</v>
      </c>
      <c r="H855" s="35" t="s">
        <v>26</v>
      </c>
      <c r="I855" s="35" t="s">
        <v>64</v>
      </c>
      <c r="J855" s="35">
        <v>272</v>
      </c>
      <c r="K855" s="35" t="s">
        <v>276</v>
      </c>
      <c r="L855" s="35">
        <v>72</v>
      </c>
      <c r="M855" s="46">
        <v>2196000</v>
      </c>
      <c r="N855" s="38">
        <f t="shared" si="17"/>
        <v>30500</v>
      </c>
      <c r="O855" s="37" t="s">
        <v>29</v>
      </c>
      <c r="P855" s="37" t="s">
        <v>30</v>
      </c>
      <c r="Q855" s="36">
        <v>46310</v>
      </c>
      <c r="R855" s="37" t="s">
        <v>31</v>
      </c>
      <c r="S855" s="35"/>
      <c r="T855" s="35"/>
    </row>
    <row r="856" spans="1:20" ht="15.6" x14ac:dyDescent="0.3">
      <c r="A856" s="35" t="s">
        <v>756</v>
      </c>
      <c r="B856" s="35" t="s">
        <v>72</v>
      </c>
      <c r="C856" s="35" t="s">
        <v>73</v>
      </c>
      <c r="D856" s="35" t="s">
        <v>835</v>
      </c>
      <c r="E856" s="35"/>
      <c r="F856" s="35" t="s">
        <v>58</v>
      </c>
      <c r="G856" s="35" t="s">
        <v>327</v>
      </c>
      <c r="H856" s="35" t="s">
        <v>26</v>
      </c>
      <c r="I856" s="35" t="s">
        <v>64</v>
      </c>
      <c r="J856" s="35">
        <v>273</v>
      </c>
      <c r="K856" s="35" t="s">
        <v>123</v>
      </c>
      <c r="L856" s="35">
        <v>10</v>
      </c>
      <c r="M856" s="46">
        <v>74700</v>
      </c>
      <c r="N856" s="38">
        <f t="shared" si="17"/>
        <v>7470</v>
      </c>
      <c r="O856" s="37" t="s">
        <v>29</v>
      </c>
      <c r="P856" s="37" t="s">
        <v>30</v>
      </c>
      <c r="Q856" s="36">
        <v>46178</v>
      </c>
      <c r="R856" s="37" t="s">
        <v>31</v>
      </c>
      <c r="S856" s="35"/>
      <c r="T856" s="35"/>
    </row>
    <row r="857" spans="1:20" ht="15.6" x14ac:dyDescent="0.3">
      <c r="A857" s="35" t="s">
        <v>756</v>
      </c>
      <c r="B857" s="35" t="s">
        <v>831</v>
      </c>
      <c r="C857" s="35" t="s">
        <v>832</v>
      </c>
      <c r="D857" s="35" t="s">
        <v>835</v>
      </c>
      <c r="E857" s="35"/>
      <c r="F857" s="35" t="s">
        <v>24</v>
      </c>
      <c r="G857" s="35" t="s">
        <v>321</v>
      </c>
      <c r="H857" s="35" t="s">
        <v>26</v>
      </c>
      <c r="I857" s="35" t="s">
        <v>64</v>
      </c>
      <c r="J857" s="35">
        <v>275</v>
      </c>
      <c r="K857" s="35" t="s">
        <v>123</v>
      </c>
      <c r="L857" s="35">
        <v>80</v>
      </c>
      <c r="M857" s="46">
        <v>1000000</v>
      </c>
      <c r="N857" s="38">
        <f t="shared" si="17"/>
        <v>12500</v>
      </c>
      <c r="O857" s="37" t="s">
        <v>29</v>
      </c>
      <c r="P857" s="37" t="s">
        <v>30</v>
      </c>
      <c r="Q857" s="36">
        <v>46208</v>
      </c>
      <c r="R857" s="37" t="s">
        <v>31</v>
      </c>
      <c r="S857" s="35"/>
      <c r="T857" s="35"/>
    </row>
    <row r="858" spans="1:20" ht="15.6" x14ac:dyDescent="0.3">
      <c r="A858" s="35" t="s">
        <v>756</v>
      </c>
      <c r="B858" s="35" t="s">
        <v>831</v>
      </c>
      <c r="C858" s="35" t="s">
        <v>832</v>
      </c>
      <c r="D858" s="35" t="s">
        <v>835</v>
      </c>
      <c r="E858" s="35"/>
      <c r="F858" s="35" t="s">
        <v>24</v>
      </c>
      <c r="G858" s="35" t="s">
        <v>282</v>
      </c>
      <c r="H858" s="35" t="s">
        <v>26</v>
      </c>
      <c r="I858" s="35" t="s">
        <v>64</v>
      </c>
      <c r="J858" s="35">
        <v>275</v>
      </c>
      <c r="K858" s="35" t="s">
        <v>123</v>
      </c>
      <c r="L858" s="35">
        <v>10</v>
      </c>
      <c r="M858" s="46">
        <v>125000</v>
      </c>
      <c r="N858" s="38">
        <f t="shared" si="17"/>
        <v>12500</v>
      </c>
      <c r="O858" s="37" t="s">
        <v>29</v>
      </c>
      <c r="P858" s="37" t="s">
        <v>30</v>
      </c>
      <c r="Q858" s="36">
        <v>46208</v>
      </c>
      <c r="R858" s="37" t="s">
        <v>31</v>
      </c>
      <c r="S858" s="35"/>
      <c r="T858" s="35"/>
    </row>
    <row r="859" spans="1:20" ht="15.6" x14ac:dyDescent="0.3">
      <c r="A859" s="35" t="s">
        <v>756</v>
      </c>
      <c r="B859" s="35" t="s">
        <v>831</v>
      </c>
      <c r="C859" s="35" t="s">
        <v>832</v>
      </c>
      <c r="D859" s="35" t="s">
        <v>835</v>
      </c>
      <c r="E859" s="35"/>
      <c r="F859" s="35" t="s">
        <v>24</v>
      </c>
      <c r="G859" s="35" t="s">
        <v>244</v>
      </c>
      <c r="H859" s="35" t="s">
        <v>26</v>
      </c>
      <c r="I859" s="35" t="s">
        <v>64</v>
      </c>
      <c r="J859" s="35">
        <v>275</v>
      </c>
      <c r="K859" s="35" t="s">
        <v>123</v>
      </c>
      <c r="L859" s="35">
        <v>300</v>
      </c>
      <c r="M859" s="46">
        <v>1620000</v>
      </c>
      <c r="N859" s="38">
        <f t="shared" si="17"/>
        <v>5400</v>
      </c>
      <c r="O859" s="37" t="s">
        <v>29</v>
      </c>
      <c r="P859" s="37" t="s">
        <v>30</v>
      </c>
      <c r="Q859" s="36">
        <v>46208</v>
      </c>
      <c r="R859" s="37" t="s">
        <v>31</v>
      </c>
      <c r="S859" s="35"/>
      <c r="T859" s="35"/>
    </row>
    <row r="860" spans="1:20" ht="15.6" x14ac:dyDescent="0.3">
      <c r="A860" s="35" t="s">
        <v>756</v>
      </c>
      <c r="B860" s="35" t="s">
        <v>670</v>
      </c>
      <c r="C860" s="35" t="s">
        <v>671</v>
      </c>
      <c r="D860" s="35" t="s">
        <v>836</v>
      </c>
      <c r="E860" s="35"/>
      <c r="F860" s="35" t="s">
        <v>24</v>
      </c>
      <c r="G860" s="35" t="s">
        <v>424</v>
      </c>
      <c r="H860" s="35" t="s">
        <v>26</v>
      </c>
      <c r="I860" s="35" t="s">
        <v>64</v>
      </c>
      <c r="J860" s="35">
        <v>276</v>
      </c>
      <c r="K860" s="35" t="s">
        <v>123</v>
      </c>
      <c r="L860" s="35">
        <v>400</v>
      </c>
      <c r="M860" s="46">
        <v>1160000</v>
      </c>
      <c r="N860" s="38">
        <f t="shared" si="17"/>
        <v>2900</v>
      </c>
      <c r="O860" s="37" t="s">
        <v>29</v>
      </c>
      <c r="P860" s="37" t="s">
        <v>30</v>
      </c>
      <c r="Q860" s="36">
        <v>46223</v>
      </c>
      <c r="R860" s="37" t="s">
        <v>31</v>
      </c>
      <c r="S860" s="35"/>
      <c r="T860" s="35"/>
    </row>
    <row r="861" spans="1:20" ht="15.6" x14ac:dyDescent="0.3">
      <c r="A861" s="35" t="s">
        <v>756</v>
      </c>
      <c r="B861" s="35" t="s">
        <v>833</v>
      </c>
      <c r="C861" s="35" t="s">
        <v>834</v>
      </c>
      <c r="D861" s="35" t="s">
        <v>836</v>
      </c>
      <c r="E861" s="35"/>
      <c r="F861" s="35" t="s">
        <v>24</v>
      </c>
      <c r="G861" s="35" t="s">
        <v>282</v>
      </c>
      <c r="H861" s="35" t="s">
        <v>26</v>
      </c>
      <c r="I861" s="35" t="s">
        <v>64</v>
      </c>
      <c r="J861" s="35">
        <v>278</v>
      </c>
      <c r="K861" s="35" t="s">
        <v>123</v>
      </c>
      <c r="L861" s="35">
        <v>10</v>
      </c>
      <c r="M861" s="46">
        <v>142500</v>
      </c>
      <c r="N861" s="38">
        <f t="shared" si="17"/>
        <v>14250</v>
      </c>
      <c r="O861" s="37" t="s">
        <v>29</v>
      </c>
      <c r="P861" s="37" t="s">
        <v>30</v>
      </c>
      <c r="Q861" s="36">
        <v>46178</v>
      </c>
      <c r="R861" s="37" t="s">
        <v>31</v>
      </c>
      <c r="S861" s="35"/>
      <c r="T861" s="35"/>
    </row>
    <row r="862" spans="1:20" ht="15.6" x14ac:dyDescent="0.3">
      <c r="A862" s="35" t="s">
        <v>756</v>
      </c>
      <c r="B862" s="35" t="s">
        <v>833</v>
      </c>
      <c r="C862" s="35" t="s">
        <v>834</v>
      </c>
      <c r="D862" s="35" t="s">
        <v>836</v>
      </c>
      <c r="E862" s="35"/>
      <c r="F862" s="35" t="s">
        <v>24</v>
      </c>
      <c r="G862" s="35" t="s">
        <v>285</v>
      </c>
      <c r="H862" s="35" t="s">
        <v>26</v>
      </c>
      <c r="I862" s="35" t="s">
        <v>64</v>
      </c>
      <c r="J862" s="35">
        <v>278</v>
      </c>
      <c r="K862" s="35" t="s">
        <v>123</v>
      </c>
      <c r="L862" s="35">
        <v>5</v>
      </c>
      <c r="M862" s="46">
        <v>52250</v>
      </c>
      <c r="N862" s="38">
        <f t="shared" si="17"/>
        <v>10450</v>
      </c>
      <c r="O862" s="37" t="s">
        <v>29</v>
      </c>
      <c r="P862" s="37" t="s">
        <v>30</v>
      </c>
      <c r="Q862" s="36">
        <v>46178</v>
      </c>
      <c r="R862" s="37" t="s">
        <v>31</v>
      </c>
      <c r="S862" s="35"/>
      <c r="T862" s="35"/>
    </row>
  </sheetData>
  <autoFilter ref="A2:T779" xr:uid="{00000000-0009-0000-0000-000001000000}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tabSelected="1" zoomScale="80" zoomScaleNormal="80" workbookViewId="0">
      <selection activeCell="G31" sqref="G31"/>
    </sheetView>
  </sheetViews>
  <sheetFormatPr baseColWidth="10" defaultRowHeight="14.4" x14ac:dyDescent="0.3"/>
  <cols>
    <col min="1" max="1" width="18.33203125" customWidth="1"/>
    <col min="2" max="2" width="17.5546875" customWidth="1"/>
    <col min="3" max="3" width="18.5546875" customWidth="1"/>
    <col min="4" max="4" width="20.6640625" customWidth="1"/>
    <col min="5" max="5" width="18.33203125" customWidth="1"/>
    <col min="6" max="6" width="20.109375" customWidth="1"/>
    <col min="7" max="7" width="21.6640625" customWidth="1"/>
    <col min="8" max="8" width="19.109375" customWidth="1"/>
    <col min="9" max="9" width="22.6640625" customWidth="1"/>
    <col min="10" max="10" width="21.44140625" customWidth="1"/>
  </cols>
  <sheetData>
    <row r="1" spans="1:10" x14ac:dyDescent="0.3">
      <c r="A1" s="26" t="s">
        <v>768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3">
      <c r="A2" s="16" t="s">
        <v>5</v>
      </c>
      <c r="B2" s="15" t="s">
        <v>605</v>
      </c>
      <c r="C2" s="15" t="s">
        <v>606</v>
      </c>
      <c r="D2" s="15" t="s">
        <v>577</v>
      </c>
      <c r="E2" s="15" t="s">
        <v>607</v>
      </c>
      <c r="F2" s="15" t="s">
        <v>608</v>
      </c>
      <c r="G2" s="15" t="s">
        <v>609</v>
      </c>
      <c r="H2" s="15" t="s">
        <v>619</v>
      </c>
      <c r="I2" s="15" t="s">
        <v>620</v>
      </c>
      <c r="J2" s="15" t="s">
        <v>621</v>
      </c>
    </row>
    <row r="3" spans="1:10" x14ac:dyDescent="0.3">
      <c r="A3" s="2" t="s">
        <v>596</v>
      </c>
      <c r="B3" s="1">
        <v>14858032</v>
      </c>
      <c r="C3" s="1">
        <v>14491000</v>
      </c>
      <c r="D3" s="14">
        <f>C3*100/B3</f>
        <v>97.529740143243728</v>
      </c>
      <c r="E3" s="1">
        <v>11501950</v>
      </c>
      <c r="F3" s="1">
        <v>9912000</v>
      </c>
      <c r="G3" s="14">
        <f>F3*100/E3</f>
        <v>86.17669177835063</v>
      </c>
      <c r="H3" s="1">
        <v>6500000</v>
      </c>
      <c r="I3" s="1">
        <f>GETPIVOTDATA("Total",RESUMEN!$A$2,"MES","MARZO","Vendedor","FRANCISCO VELASQUEZ")</f>
        <v>5196500</v>
      </c>
      <c r="J3" s="17">
        <f>Tabla4[[#This Row],[Venta Marzo ($)]]*100/Tabla4[[#This Row],[Ppto Marzo ($)]]</f>
        <v>79.946153846153848</v>
      </c>
    </row>
    <row r="4" spans="1:10" x14ac:dyDescent="0.3">
      <c r="A4" s="2" t="s">
        <v>597</v>
      </c>
      <c r="B4" s="1">
        <v>6000000</v>
      </c>
      <c r="C4" s="1">
        <v>6186000</v>
      </c>
      <c r="D4" s="14">
        <f t="shared" ref="D4:D7" si="0">C4*100/B4</f>
        <v>103.1</v>
      </c>
      <c r="E4" s="1">
        <v>6000000</v>
      </c>
      <c r="F4" s="1">
        <v>944000</v>
      </c>
      <c r="G4" s="14">
        <f t="shared" ref="G4:G7" si="1">F4*100/E4</f>
        <v>15.733333333333333</v>
      </c>
      <c r="H4" s="1">
        <v>6000000</v>
      </c>
      <c r="I4" s="1">
        <f>GETPIVOTDATA("Total",RESUMEN!$A$2,"MES","MARZO","Vendedor","IVAN VEVERKA")</f>
        <v>1680000</v>
      </c>
      <c r="J4" s="17">
        <f>Tabla4[[#This Row],[Venta Marzo ($)]]*100/Tabla4[[#This Row],[Ppto Marzo ($)]]</f>
        <v>28</v>
      </c>
    </row>
    <row r="5" spans="1:10" x14ac:dyDescent="0.3">
      <c r="A5" s="2" t="s">
        <v>598</v>
      </c>
      <c r="B5" s="1">
        <v>12500000</v>
      </c>
      <c r="C5" s="1">
        <v>15269491</v>
      </c>
      <c r="D5" s="14">
        <f t="shared" si="0"/>
        <v>122.155928</v>
      </c>
      <c r="E5" s="1">
        <v>6000000</v>
      </c>
      <c r="F5" s="1">
        <v>6389076</v>
      </c>
      <c r="G5" s="14">
        <f t="shared" si="1"/>
        <v>106.4846</v>
      </c>
      <c r="H5" s="1">
        <v>14500000</v>
      </c>
      <c r="I5" s="1">
        <f>GETPIVOTDATA("Total",RESUMEN!$A$2,"MES","MARZO","Vendedor","JORGE CAROCA")</f>
        <v>31913309</v>
      </c>
      <c r="J5" s="17">
        <f>Tabla4[[#This Row],[Venta Marzo ($)]]*100/Tabla4[[#This Row],[Ppto Marzo ($)]]</f>
        <v>220.09178620689656</v>
      </c>
    </row>
    <row r="6" spans="1:10" x14ac:dyDescent="0.3">
      <c r="A6" s="2" t="s">
        <v>599</v>
      </c>
      <c r="B6" s="1">
        <v>36000000</v>
      </c>
      <c r="C6" s="1">
        <v>37027580</v>
      </c>
      <c r="D6" s="14">
        <f>C6*100/B6</f>
        <v>102.85438888888889</v>
      </c>
      <c r="E6" s="1">
        <v>10600000</v>
      </c>
      <c r="F6" s="1">
        <v>10378585</v>
      </c>
      <c r="G6" s="14">
        <f t="shared" si="1"/>
        <v>97.911179245283023</v>
      </c>
      <c r="H6" s="1">
        <v>7500000</v>
      </c>
      <c r="I6" s="1">
        <f>GETPIVOTDATA("Total",RESUMEN!$A$2,"MES","MARZO","Vendedor","PABLO LARATRO")</f>
        <v>5487150</v>
      </c>
      <c r="J6" s="17">
        <f>Tabla4[[#This Row],[Venta Marzo ($)]]*100/Tabla4[[#This Row],[Ppto Marzo ($)]]</f>
        <v>73.162000000000006</v>
      </c>
    </row>
    <row r="7" spans="1:10" x14ac:dyDescent="0.3">
      <c r="A7" s="2" t="s">
        <v>600</v>
      </c>
      <c r="B7" s="1">
        <v>14200000</v>
      </c>
      <c r="C7" s="1">
        <v>13510783</v>
      </c>
      <c r="D7" s="14">
        <f t="shared" si="0"/>
        <v>95.146359154929584</v>
      </c>
      <c r="E7" s="1">
        <v>7500000</v>
      </c>
      <c r="F7" s="1">
        <v>7262717</v>
      </c>
      <c r="G7" s="14">
        <f t="shared" si="1"/>
        <v>96.836226666666661</v>
      </c>
      <c r="H7" s="1">
        <v>7500000</v>
      </c>
      <c r="I7" s="1">
        <f>GETPIVOTDATA("Total",RESUMEN!$A$2,"MES","MARZO","Vendedor","RODRIGO ENCINA")</f>
        <v>6819022</v>
      </c>
      <c r="J7" s="17">
        <f>Tabla4[[#This Row],[Venta Marzo ($)]]*100/Tabla4[[#This Row],[Ppto Marzo ($)]]</f>
        <v>90.920293333333333</v>
      </c>
    </row>
    <row r="8" spans="1:10" x14ac:dyDescent="0.3">
      <c r="A8" s="2" t="s">
        <v>601</v>
      </c>
      <c r="B8" s="1">
        <v>1200000</v>
      </c>
      <c r="C8" s="1">
        <v>2195728</v>
      </c>
      <c r="D8" s="14">
        <f>Tabla4[[#This Row],[Venta Enero ($)]]*100/Tabla4[[#This Row],[Ppto Enero ($)]]</f>
        <v>182.97733333333332</v>
      </c>
      <c r="E8" s="1">
        <v>1200000</v>
      </c>
      <c r="F8" s="1">
        <v>765600</v>
      </c>
      <c r="G8" s="14">
        <f>Tabla4[[#This Row],[Venta Febrero ($)]]*100/Tabla4[[#This Row],[Ppto Febrero ($)]]</f>
        <v>63.8</v>
      </c>
      <c r="H8" s="1">
        <v>1200000</v>
      </c>
      <c r="I8" s="1">
        <f>GETPIVOTDATA("Total",RESUMEN!$A$2,"MES","MARZO","Vendedor","VALENTINA MUÑOZ")</f>
        <v>1274728</v>
      </c>
      <c r="J8" s="17">
        <f>Tabla4[[#This Row],[Venta Marzo ($)]]*100/Tabla4[[#This Row],[Ppto Marzo ($)]]</f>
        <v>106.22733333333333</v>
      </c>
    </row>
    <row r="9" spans="1:10" ht="15" customHeight="1" x14ac:dyDescent="0.3">
      <c r="A9" s="2"/>
      <c r="B9" s="1">
        <f>SUM(B3:B8)</f>
        <v>84758032</v>
      </c>
      <c r="C9" s="1">
        <f>SUM(C3:C8)</f>
        <v>88680582</v>
      </c>
      <c r="D9" s="17">
        <f>Tabla4[[#Totals],[Venta Enero ($)]]*100/Tabla4[[#Totals],[Ppto Enero ($)]]</f>
        <v>104.62793897810181</v>
      </c>
      <c r="E9" s="1">
        <f t="shared" ref="E9:F9" si="2">SUM(E3:E8)</f>
        <v>42801950</v>
      </c>
      <c r="F9" s="1">
        <f t="shared" si="2"/>
        <v>35651978</v>
      </c>
      <c r="G9" s="17">
        <f>Tabla4[[#Totals],[Venta Febrero ($)]]*100/Tabla4[[#Totals],[Ppto Febrero ($)]]</f>
        <v>83.295219026235955</v>
      </c>
      <c r="H9" s="1">
        <f t="shared" ref="H9:I9" si="3">SUM(H3:H8)</f>
        <v>43200000</v>
      </c>
      <c r="I9" s="1">
        <f t="shared" si="3"/>
        <v>52370709</v>
      </c>
      <c r="J9" s="17">
        <f>Tabla4[[#Totals],[Venta Marzo ($)]]*100/Tabla4[[#Totals],[Ppto Marzo ($)]]</f>
        <v>121.22849305555556</v>
      </c>
    </row>
    <row r="10" spans="1:10" ht="15" customHeight="1" x14ac:dyDescent="0.3">
      <c r="A10" s="2"/>
      <c r="B10" s="1"/>
      <c r="C10" s="1"/>
      <c r="D10" s="17"/>
      <c r="E10" s="1"/>
      <c r="F10" s="1"/>
      <c r="G10" s="17"/>
      <c r="H10" s="1"/>
      <c r="I10" s="1"/>
      <c r="J10" s="17"/>
    </row>
    <row r="11" spans="1:10" ht="15" customHeight="1" x14ac:dyDescent="0.3">
      <c r="A11" s="2"/>
      <c r="B11" s="1"/>
      <c r="C11" s="1"/>
      <c r="D11" s="17"/>
      <c r="E11" s="1"/>
      <c r="F11" s="1"/>
      <c r="G11" s="17"/>
      <c r="H11" s="1"/>
      <c r="I11" s="1"/>
      <c r="J11" s="17"/>
    </row>
    <row r="12" spans="1:10" ht="15" customHeight="1" x14ac:dyDescent="0.3">
      <c r="A12" s="26" t="s">
        <v>769</v>
      </c>
      <c r="B12" s="26"/>
      <c r="C12" s="26"/>
      <c r="D12" s="26"/>
      <c r="E12" s="26"/>
      <c r="F12" s="26"/>
      <c r="G12" s="26"/>
      <c r="H12" s="26"/>
      <c r="I12" s="26"/>
      <c r="J12" s="26"/>
    </row>
    <row r="13" spans="1:10" ht="15" customHeight="1" x14ac:dyDescent="0.3">
      <c r="A13" s="16" t="s">
        <v>5</v>
      </c>
      <c r="B13" s="15" t="s">
        <v>747</v>
      </c>
      <c r="C13" s="15" t="s">
        <v>748</v>
      </c>
      <c r="D13" s="15" t="s">
        <v>577</v>
      </c>
      <c r="E13" s="15" t="s">
        <v>749</v>
      </c>
      <c r="F13" s="15" t="s">
        <v>750</v>
      </c>
      <c r="G13" s="15" t="s">
        <v>609</v>
      </c>
      <c r="H13" s="15" t="s">
        <v>751</v>
      </c>
      <c r="I13" s="15" t="s">
        <v>752</v>
      </c>
      <c r="J13" s="15" t="s">
        <v>621</v>
      </c>
    </row>
    <row r="14" spans="1:10" ht="15" customHeight="1" x14ac:dyDescent="0.3">
      <c r="A14" s="2" t="s">
        <v>596</v>
      </c>
      <c r="B14" s="1">
        <v>10000000</v>
      </c>
      <c r="C14" s="1">
        <f>GETPIVOTDATA("Total",RESUMEN!$A$2,"MES","ABRIL","Vendedor","FRANCISCO VELASQUEZ")</f>
        <v>3113000</v>
      </c>
      <c r="D14" s="14">
        <f>C14*100/B14</f>
        <v>31.13</v>
      </c>
      <c r="E14" s="1">
        <v>5000000</v>
      </c>
      <c r="F14" s="1"/>
      <c r="G14" s="14">
        <f>F14*100/E14</f>
        <v>0</v>
      </c>
      <c r="H14" s="1">
        <v>20000000</v>
      </c>
      <c r="I14" s="1"/>
      <c r="J14" s="17">
        <f>Tabla43[[#This Row],[Venta Junio ($)]]*100/Tabla43[[#This Row],[Ppto Junio ($)]]</f>
        <v>0</v>
      </c>
    </row>
    <row r="15" spans="1:10" ht="15" customHeight="1" x14ac:dyDescent="0.3">
      <c r="A15" s="2" t="s">
        <v>597</v>
      </c>
      <c r="B15" s="1">
        <v>6000000</v>
      </c>
      <c r="C15" s="1"/>
      <c r="D15" s="14">
        <f t="shared" ref="D15:D16" si="4">C15*100/B15</f>
        <v>0</v>
      </c>
      <c r="E15" s="1">
        <v>6000000</v>
      </c>
      <c r="F15" s="1"/>
      <c r="G15" s="14">
        <f t="shared" ref="G15:G18" si="5">F15*100/E15</f>
        <v>0</v>
      </c>
      <c r="H15" s="1">
        <v>6000000</v>
      </c>
      <c r="I15" s="1"/>
      <c r="J15" s="17">
        <f>Tabla43[[#This Row],[Venta Junio ($)]]*100/Tabla43[[#This Row],[Ppto Junio ($)]]</f>
        <v>0</v>
      </c>
    </row>
    <row r="16" spans="1:10" ht="15" customHeight="1" x14ac:dyDescent="0.3">
      <c r="A16" s="2" t="s">
        <v>598</v>
      </c>
      <c r="B16" s="1">
        <v>8831368</v>
      </c>
      <c r="C16" s="1">
        <f>GETPIVOTDATA("Total",RESUMEN!$A$2,"MES","ABRIL","Vendedor","JORGE CAROCA")</f>
        <v>10171393</v>
      </c>
      <c r="D16" s="14">
        <f t="shared" si="4"/>
        <v>115.17347029361703</v>
      </c>
      <c r="E16" s="1">
        <v>12500000</v>
      </c>
      <c r="F16" s="1"/>
      <c r="G16" s="14">
        <f t="shared" si="5"/>
        <v>0</v>
      </c>
      <c r="H16" s="1">
        <v>8730000</v>
      </c>
      <c r="I16" s="1"/>
      <c r="J16" s="17">
        <f>Tabla43[[#This Row],[Venta Junio ($)]]*100/Tabla43[[#This Row],[Ppto Junio ($)]]</f>
        <v>0</v>
      </c>
    </row>
    <row r="17" spans="1:10" ht="15" customHeight="1" x14ac:dyDescent="0.3">
      <c r="A17" s="2" t="s">
        <v>599</v>
      </c>
      <c r="B17" s="1">
        <v>16600000</v>
      </c>
      <c r="C17" s="1">
        <f>GETPIVOTDATA("Total",RESUMEN!$A$2,"MES","ABRIL","Vendedor","PABLO LARATRO")</f>
        <v>8304645</v>
      </c>
      <c r="D17" s="14">
        <f>C17*100/B17</f>
        <v>50.02798192771084</v>
      </c>
      <c r="E17" s="1">
        <v>22500000</v>
      </c>
      <c r="F17" s="1"/>
      <c r="G17" s="14">
        <f t="shared" si="5"/>
        <v>0</v>
      </c>
      <c r="H17" s="1">
        <v>7800000</v>
      </c>
      <c r="I17" s="1"/>
      <c r="J17" s="17">
        <f>Tabla43[[#This Row],[Venta Junio ($)]]*100/Tabla43[[#This Row],[Ppto Junio ($)]]</f>
        <v>0</v>
      </c>
    </row>
    <row r="18" spans="1:10" ht="15" customHeight="1" x14ac:dyDescent="0.3">
      <c r="A18" s="2" t="s">
        <v>600</v>
      </c>
      <c r="B18" s="1">
        <v>5000000</v>
      </c>
      <c r="C18" s="1">
        <f>GETPIVOTDATA("Total",RESUMEN!$A$2,"MES","ABRIL","Vendedor","RODRIGO ENCINA")</f>
        <v>1763157</v>
      </c>
      <c r="D18" s="14">
        <f t="shared" ref="D18" si="6">C18*100/B18</f>
        <v>35.26314</v>
      </c>
      <c r="E18" s="1">
        <v>5000000</v>
      </c>
      <c r="F18" s="1"/>
      <c r="G18" s="14">
        <f t="shared" si="5"/>
        <v>0</v>
      </c>
      <c r="H18" s="1">
        <v>5000000</v>
      </c>
      <c r="I18" s="1"/>
      <c r="J18" s="17">
        <f>Tabla43[[#This Row],[Venta Junio ($)]]*100/Tabla43[[#This Row],[Ppto Junio ($)]]</f>
        <v>0</v>
      </c>
    </row>
    <row r="19" spans="1:10" ht="15" customHeight="1" x14ac:dyDescent="0.3">
      <c r="A19" s="2" t="s">
        <v>601</v>
      </c>
      <c r="B19" s="1">
        <v>1200000</v>
      </c>
      <c r="C19" s="1"/>
      <c r="D19" s="14">
        <f>Tabla43[[#This Row],[Venta Abril ($)]]*100/Tabla43[[#This Row],[Ppto Abril ($)]]</f>
        <v>0</v>
      </c>
      <c r="E19" s="1">
        <v>1200000</v>
      </c>
      <c r="F19" s="1"/>
      <c r="G19" s="14">
        <f>Tabla43[[#This Row],[Venta Mayo ($)]]*100/Tabla43[[#This Row],[Ppto Mayo ($)]]</f>
        <v>0</v>
      </c>
      <c r="H19" s="1">
        <v>1200000</v>
      </c>
      <c r="I19" s="1"/>
      <c r="J19" s="17">
        <f>Tabla43[[#This Row],[Venta Junio ($)]]*100/Tabla43[[#This Row],[Ppto Junio ($)]]</f>
        <v>0</v>
      </c>
    </row>
    <row r="20" spans="1:10" ht="15" customHeight="1" x14ac:dyDescent="0.3">
      <c r="A20" s="2"/>
      <c r="B20" s="1">
        <f>SUM(B14:B19)</f>
        <v>47631368</v>
      </c>
      <c r="C20" s="1">
        <f>SUM(C14:C19)</f>
        <v>23352195</v>
      </c>
      <c r="D20" s="17">
        <f>Tabla43[[#Totals],[Venta Abril ($)]]*100/Tabla43[[#Totals],[Ppto Abril ($)]]</f>
        <v>49.026924861784359</v>
      </c>
      <c r="E20" s="1">
        <f t="shared" ref="E20:F20" si="7">SUM(E14:E19)</f>
        <v>52200000</v>
      </c>
      <c r="F20" s="1">
        <f t="shared" si="7"/>
        <v>0</v>
      </c>
      <c r="G20" s="17">
        <f>Tabla43[[#Totals],[Venta Mayo ($)]]*100/Tabla43[[#Totals],[Ppto Mayo ($)]]</f>
        <v>0</v>
      </c>
      <c r="H20" s="1">
        <f t="shared" ref="H20:I20" si="8">SUM(H14:H19)</f>
        <v>48730000</v>
      </c>
      <c r="I20" s="1">
        <f t="shared" si="8"/>
        <v>0</v>
      </c>
      <c r="J20" s="17">
        <f>Tabla43[[#Totals],[Venta Junio ($)]]*100/Tabla43[[#Totals],[Ppto Junio ($)]]</f>
        <v>0</v>
      </c>
    </row>
    <row r="21" spans="1:10" ht="15" customHeight="1" x14ac:dyDescent="0.3">
      <c r="A21" s="2"/>
      <c r="B21" s="1"/>
      <c r="C21" s="1"/>
      <c r="D21" s="17"/>
      <c r="E21" s="1"/>
      <c r="F21" s="1"/>
      <c r="G21" s="17"/>
      <c r="H21" s="1"/>
      <c r="I21" s="1"/>
      <c r="J21" s="17"/>
    </row>
    <row r="22" spans="1:10" ht="15" customHeight="1" x14ac:dyDescent="0.3">
      <c r="A22" s="2"/>
      <c r="B22" s="1"/>
      <c r="C22" s="1"/>
      <c r="D22" s="17"/>
      <c r="E22" s="1"/>
      <c r="F22" s="1"/>
      <c r="G22" s="17"/>
      <c r="H22" s="1"/>
      <c r="I22" s="1"/>
      <c r="J22" s="17"/>
    </row>
    <row r="24" spans="1:10" x14ac:dyDescent="0.3">
      <c r="B24" s="31" t="s">
        <v>746</v>
      </c>
      <c r="C24" s="32"/>
      <c r="D24" s="33"/>
    </row>
    <row r="25" spans="1:10" x14ac:dyDescent="0.3">
      <c r="A25" s="20" t="s">
        <v>5</v>
      </c>
      <c r="B25" s="21" t="s">
        <v>603</v>
      </c>
      <c r="C25" s="21" t="s">
        <v>602</v>
      </c>
      <c r="D25" s="21" t="s">
        <v>595</v>
      </c>
    </row>
    <row r="26" spans="1:10" x14ac:dyDescent="0.3">
      <c r="A26" s="19" t="s">
        <v>596</v>
      </c>
      <c r="B26" s="1">
        <f>B3+E3+H3+B14</f>
        <v>42859982</v>
      </c>
      <c r="C26" s="1">
        <f>C3+F3+I3</f>
        <v>29599500</v>
      </c>
      <c r="D26" s="17">
        <f>C26*100/B26</f>
        <v>69.060924943925542</v>
      </c>
    </row>
    <row r="27" spans="1:10" x14ac:dyDescent="0.3">
      <c r="A27" s="18" t="s">
        <v>597</v>
      </c>
      <c r="B27" s="1">
        <f>B4+E4+H4+B15</f>
        <v>24000000</v>
      </c>
      <c r="C27" s="1">
        <f>C4+F4+I4</f>
        <v>8810000</v>
      </c>
      <c r="D27" s="17">
        <f>C27*100/B27</f>
        <v>36.708333333333336</v>
      </c>
    </row>
    <row r="28" spans="1:10" x14ac:dyDescent="0.3">
      <c r="A28" s="18" t="s">
        <v>598</v>
      </c>
      <c r="B28" s="1">
        <f>B5+E5+H5+B16</f>
        <v>41831368</v>
      </c>
      <c r="C28" s="1">
        <f>C5+F5+I5</f>
        <v>53571876</v>
      </c>
      <c r="D28" s="17">
        <f>C28*100/B28</f>
        <v>128.06627791852276</v>
      </c>
    </row>
    <row r="29" spans="1:10" x14ac:dyDescent="0.3">
      <c r="A29" s="18" t="s">
        <v>599</v>
      </c>
      <c r="B29" s="1">
        <f>B6+E6+H6+B17</f>
        <v>70700000</v>
      </c>
      <c r="C29" s="1">
        <f>C6+F6+I6</f>
        <v>52893315</v>
      </c>
      <c r="D29" s="17">
        <f t="shared" ref="D29:D30" si="9">C29*100/B29</f>
        <v>74.813741159830272</v>
      </c>
    </row>
    <row r="30" spans="1:10" x14ac:dyDescent="0.3">
      <c r="A30" s="18" t="s">
        <v>600</v>
      </c>
      <c r="B30" s="1">
        <f>B7+E7+H7+B18</f>
        <v>34200000</v>
      </c>
      <c r="C30" s="1">
        <f>C7+F7+I7</f>
        <v>27592522</v>
      </c>
      <c r="D30" s="17">
        <f t="shared" si="9"/>
        <v>80.679888888888883</v>
      </c>
    </row>
    <row r="31" spans="1:10" x14ac:dyDescent="0.3">
      <c r="A31" s="18" t="s">
        <v>601</v>
      </c>
      <c r="B31" s="1">
        <v>0</v>
      </c>
      <c r="C31" s="1">
        <f>C8+F8</f>
        <v>2961328</v>
      </c>
      <c r="D31" s="14"/>
    </row>
    <row r="32" spans="1:10" x14ac:dyDescent="0.3">
      <c r="A32" s="18"/>
      <c r="B32" s="1">
        <f>SUM(B26:B31)</f>
        <v>213591350</v>
      </c>
      <c r="C32" s="1">
        <f>SUM(C26:C31)</f>
        <v>175428541</v>
      </c>
      <c r="D32" s="17">
        <f>Tabla5[[#Totals],[Venta]]*100/Tabla5[[#Totals],[Ppto]]</f>
        <v>82.132792830795822</v>
      </c>
      <c r="I32" s="17"/>
    </row>
  </sheetData>
  <mergeCells count="3">
    <mergeCell ref="B24:D24"/>
    <mergeCell ref="A1:J1"/>
    <mergeCell ref="A12:J12"/>
  </mergeCells>
  <pageMargins left="0.7" right="0.7" top="0.75" bottom="0.75" header="0.3" footer="0.3"/>
  <pageSetup paperSize="9" orientation="portrait" r:id="rId1"/>
  <ignoredErrors>
    <ignoredError sqref="I4 C28:C30 C26:C27 I5:I8 C16:C18" calculatedColumn="1"/>
  </ignoredErrors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VENTAS</vt:lpstr>
      <vt:lpstr>ACUMULADO T1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Agroveca Chile</dc:creator>
  <cp:lastModifiedBy>Agroveca Chile</cp:lastModifiedBy>
  <dcterms:created xsi:type="dcterms:W3CDTF">2026-02-23T14:45:34Z</dcterms:created>
  <dcterms:modified xsi:type="dcterms:W3CDTF">2026-04-29T20:50:02Z</dcterms:modified>
</cp:coreProperties>
</file>