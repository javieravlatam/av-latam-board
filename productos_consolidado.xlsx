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Alertas Criticas" sheetId="3" state="visible" r:id="rId3"/>
    <sheet xmlns:r="http://schemas.openxmlformats.org/officeDocument/2006/relationships" name="Top Ventas" sheetId="4" state="visible" r:id="rId4"/>
    <sheet xmlns:r="http://schemas.openxmlformats.org/officeDocument/2006/relationships" name="Oportunidades Precio" sheetId="5" state="visible" r:id="rId5"/>
    <sheet xmlns:r="http://schemas.openxmlformats.org/officeDocument/2006/relationships" name="Ref Ecuador" sheetId="6" state="visible" r:id="rId6"/>
    <sheet xmlns:r="http://schemas.openxmlformats.org/officeDocument/2006/relationships" name="Productos sin costo" sheetId="7" state="visible" r:id="rId7"/>
  </sheets>
  <definedNames>
    <definedName name="_xlnm._FilterDatabase" localSheetId="1" hidden="1">'Consolidado'!$A$1:$T$128</definedName>
    <definedName name="_xlnm._FilterDatabase" localSheetId="2" hidden="1">'Alertas Criticas'!$A$1:$K$75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7AB648"/>
      <sz val="18"/>
    </font>
    <font>
      <name val="Arial"/>
      <i val="1"/>
      <color rgb="008FA892"/>
      <sz val="11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7AB648"/>
      <sz val="10"/>
    </font>
  </fonts>
  <fills count="9">
    <fill>
      <patternFill/>
    </fill>
    <fill>
      <patternFill patternType="gray125"/>
    </fill>
    <fill>
      <patternFill patternType="solid">
        <fgColor rgb="0016211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CD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2A3F2D"/>
      </left>
      <right style="thin">
        <color rgb="002A3F2D"/>
      </right>
      <top style="thin">
        <color rgb="002A3F2D"/>
      </top>
      <bottom style="thin">
        <color rgb="002A3F2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4" fontId="7" fillId="0" borderId="1" pivotButton="0" quotePrefix="0" xfId="0"/>
    <xf numFmtId="3" fontId="7" fillId="0" borderId="1" pivotButton="0" quotePrefix="0" xfId="0"/>
    <xf numFmtId="164" fontId="7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0" borderId="1" applyAlignment="1" pivotButton="0" quotePrefix="0" xfId="0">
      <alignment vertical="center" wrapText="1"/>
    </xf>
    <xf numFmtId="0" fontId="7" fillId="8" borderId="1" pivotButton="0" quotePrefix="0" xfId="0"/>
    <xf numFmtId="0" fontId="7" fillId="4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5" customWidth="1" min="1" max="1"/>
    <col width="75" customWidth="1" min="2" max="2"/>
  </cols>
  <sheetData>
    <row r="1">
      <c r="A1" s="1" t="inlineStr">
        <is>
          <t>AV LATAM · Modulo PRODUCTOS · Consolidado 2026 YTD</t>
        </is>
      </c>
    </row>
    <row r="2">
      <c r="A2" s="2" t="inlineStr">
        <is>
          <t>Fecha de corte: 15.04.2026  ·  Generado: 2026-04-16</t>
        </is>
      </c>
    </row>
    <row r="4">
      <c r="A4" s="3" t="inlineStr">
        <is>
          <t>REGLAS DE CALCULO</t>
        </is>
      </c>
    </row>
    <row r="5">
      <c r="A5" s="4" t="inlineStr">
        <is>
          <t>Precio piso (calculado)</t>
        </is>
      </c>
      <c r="B5" s="5">
        <f> Costo unidad × 1.45   (markup 45%)</f>
        <v/>
      </c>
    </row>
    <row r="6">
      <c r="A6" s="4" t="inlineStr">
        <is>
          <t>Precio piso efectivo</t>
        </is>
      </c>
      <c r="B6" s="5">
        <f> MAX(precio piso calculado ; precio promedio real)</f>
        <v/>
      </c>
    </row>
    <row r="7">
      <c r="A7" s="4" t="inlineStr">
        <is>
          <t>Margen real sobre venta</t>
        </is>
      </c>
      <c r="B7" s="5">
        <f> (precio promedio real − costo unidad) / precio promedio real</f>
        <v/>
      </c>
    </row>
    <row r="8">
      <c r="A8" s="4" t="inlineStr">
        <is>
          <t>Margen objetivo</t>
        </is>
      </c>
      <c r="B8" s="5">
        <f> 31.03% sobre venta  (equivalente a markup 45% sobre costo)</f>
        <v/>
      </c>
    </row>
    <row r="9">
      <c r="A9" s="5" t="inlineStr"/>
      <c r="B9" s="5" t="inlineStr"/>
    </row>
    <row r="10">
      <c r="A10" s="4" t="inlineStr">
        <is>
          <t>Clasificacion umbrales sobre venta:</t>
        </is>
      </c>
      <c r="B10" s="5" t="inlineStr"/>
    </row>
    <row r="11">
      <c r="A11" s="5" t="inlineStr">
        <is>
          <t xml:space="preserve">  ≥ 30%</t>
        </is>
      </c>
      <c r="B11" s="5" t="inlineStr">
        <is>
          <t>EXCELENTE (sobre objetivo)</t>
        </is>
      </c>
    </row>
    <row r="12">
      <c r="A12" s="5" t="inlineStr">
        <is>
          <t xml:space="preserve">  25% a 29.9%</t>
        </is>
      </c>
      <c r="B12" s="5" t="inlineStr">
        <is>
          <t>SANO (en linea con objetivo)</t>
        </is>
      </c>
    </row>
    <row r="13">
      <c r="A13" s="5" t="inlineStr">
        <is>
          <t xml:space="preserve">  20% a 24.9%</t>
        </is>
      </c>
      <c r="B13" s="5" t="inlineStr">
        <is>
          <t>EN ALERTA (requiere ajuste)</t>
        </is>
      </c>
    </row>
    <row r="14">
      <c r="A14" s="5" t="inlineStr">
        <is>
          <t xml:space="preserve">  10% a 19.9%</t>
        </is>
      </c>
      <c r="B14" s="5" t="inlineStr">
        <is>
          <t>CRITICO (destruye rentabilidad)</t>
        </is>
      </c>
    </row>
    <row r="15">
      <c r="A15" s="5" t="inlineStr">
        <is>
          <t xml:space="preserve">  &lt; 10%</t>
        </is>
      </c>
      <c r="B15" s="5" t="inlineStr">
        <is>
          <t>INVIABLE (debe corregirse o eliminarse)</t>
        </is>
      </c>
    </row>
    <row r="16">
      <c r="A16" s="5" t="inlineStr">
        <is>
          <t xml:space="preserve">  margen negativo</t>
        </is>
      </c>
      <c r="B16" s="5" t="inlineStr">
        <is>
          <t>CRITICO INMEDIATO (override)</t>
        </is>
      </c>
    </row>
    <row r="17">
      <c r="A17" s="5" t="inlineStr"/>
      <c r="B17" s="5" t="inlineStr"/>
    </row>
    <row r="18">
      <c r="A18" s="4" t="inlineStr">
        <is>
          <t>Alertas automaticas:</t>
        </is>
      </c>
      <c r="B18" s="5" t="inlineStr"/>
    </row>
    <row r="19">
      <c r="A19" s="5" t="inlineStr">
        <is>
          <t xml:space="preserve">  Precio promedio &lt; precio piso oficial</t>
        </is>
      </c>
      <c r="B19" s="5" t="inlineStr">
        <is>
          <t>ALERTA aunque el margen sea alto</t>
        </is>
      </c>
    </row>
    <row r="20">
      <c r="A20" s="5" t="inlineStr">
        <is>
          <t xml:space="preserve">  Margen negativo</t>
        </is>
      </c>
      <c r="B20" s="5" t="inlineStr">
        <is>
          <t>CRITICO override</t>
        </is>
      </c>
    </row>
    <row r="21">
      <c r="A21" s="5" t="inlineStr"/>
      <c r="B21" s="5" t="inlineStr"/>
    </row>
    <row r="22">
      <c r="A22" s="4" t="inlineStr">
        <is>
          <t>Fuentes:</t>
        </is>
      </c>
      <c r="B22" s="5" t="inlineStr"/>
    </row>
    <row r="23">
      <c r="A23" s="5" t="inlineStr">
        <is>
          <t xml:space="preserve">  Chile ventas</t>
        </is>
      </c>
      <c r="B23" s="5" t="inlineStr">
        <is>
          <t>/inbox/Ventas al 012-04..xlsx :: VENTAS (MES col 'Producto' parseado '- fmt L')</t>
        </is>
      </c>
    </row>
    <row r="24">
      <c r="A24" s="5" t="inlineStr">
        <is>
          <t xml:space="preserve">  Peru ventas</t>
        </is>
      </c>
      <c r="B24" s="5" t="inlineStr">
        <is>
          <t>/inbox/VENTAS FACTURADAS AL 15.04.2026.xlsx :: VENTAS ACUMULADAS 2026 (CONCEPTO parseado 'N LTS PRODUCTO')</t>
        </is>
      </c>
    </row>
    <row r="25">
      <c r="A25" s="5" t="inlineStr">
        <is>
          <t xml:space="preserve">  Pricing Chile</t>
        </is>
      </c>
      <c r="B25" s="5" t="inlineStr">
        <is>
          <t>/inbox/nuevo libro base AV 2026.xlsx :: Pricing Piso Chile</t>
        </is>
      </c>
    </row>
    <row r="26">
      <c r="A26" s="5" t="inlineStr">
        <is>
          <t xml:space="preserve">  Pricing Peru</t>
        </is>
      </c>
      <c r="B26" s="5" t="inlineStr">
        <is>
          <t>/inbox/nuevo libro base AV 2026.xlsx :: Pricing Piso Peru</t>
        </is>
      </c>
    </row>
    <row r="27">
      <c r="A27" s="5" t="inlineStr">
        <is>
          <t xml:space="preserve">  Ecuador (ref)</t>
        </is>
      </c>
      <c r="B27" s="5" t="inlineStr">
        <is>
          <t>/inbox/nuevo libro base AV 2026.xlsx :: ECUADOR (solo propuestas de precio)</t>
        </is>
      </c>
    </row>
    <row r="29">
      <c r="A29" s="3" t="inlineStr">
        <is>
          <t>CONTROL DE CONSISTENCIA</t>
        </is>
      </c>
    </row>
    <row r="30">
      <c r="A30" s="4" t="inlineStr">
        <is>
          <t>Ventas Chile YTD (CLP)</t>
        </is>
      </c>
      <c r="B30" s="6" t="n">
        <v>190819439</v>
      </c>
    </row>
    <row r="31">
      <c r="A31" s="4" t="inlineStr">
        <is>
          <t>Ventas Peru YTD (USD)</t>
        </is>
      </c>
      <c r="B31" s="6" t="n">
        <v>232058.55</v>
      </c>
    </row>
    <row r="32">
      <c r="A32" s="4" t="inlineStr">
        <is>
          <t>Filas consolidadas Chile</t>
        </is>
      </c>
      <c r="B32" s="5" t="n">
        <v>106</v>
      </c>
    </row>
    <row r="33">
      <c r="A33" s="4" t="inlineStr">
        <is>
          <t>Filas consolidadas Peru</t>
        </is>
      </c>
      <c r="B33" s="5" t="n">
        <v>21</v>
      </c>
    </row>
    <row r="34">
      <c r="A34" s="4" t="inlineStr">
        <is>
          <t>Filas referencia Ecuador</t>
        </is>
      </c>
      <c r="B34" s="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22" customWidth="1" min="4" max="4"/>
    <col width="15" customWidth="1" min="5" max="5"/>
    <col width="15" customWidth="1" min="6" max="6"/>
    <col width="15" customWidth="1" min="7" max="7"/>
    <col width="11" customWidth="1" min="8" max="8"/>
    <col width="8" customWidth="1" min="9" max="9"/>
    <col width="14" customWidth="1" min="10" max="10"/>
    <col width="13" customWidth="1" min="11" max="11"/>
    <col width="14" customWidth="1" min="12" max="12"/>
    <col width="14" customWidth="1" min="13" max="13"/>
    <col width="14" customWidth="1" min="14" max="14"/>
    <col width="12" customWidth="1" min="15" max="15"/>
    <col width="12" customWidth="1" min="16" max="16"/>
    <col width="13" customWidth="1" min="17" max="17"/>
    <col width="26" customWidth="1" min="18" max="18"/>
    <col width="11" customWidth="1" min="19" max="19"/>
    <col width="11" customWidth="1" min="20" max="20"/>
  </cols>
  <sheetData>
    <row r="1">
      <c r="A1" s="7" t="inlineStr">
        <is>
          <t>Pais</t>
        </is>
      </c>
      <c r="B1" s="7" t="inlineStr">
        <is>
          <t>Producto</t>
        </is>
      </c>
      <c r="C1" s="7" t="inlineStr">
        <is>
          <t>Formato / Presentacion</t>
        </is>
      </c>
      <c r="D1" s="7" t="inlineStr">
        <is>
          <t>Producto ref. pricing</t>
        </is>
      </c>
      <c r="E1" s="7" t="inlineStr">
        <is>
          <t>Ventas YTD</t>
        </is>
      </c>
      <c r="F1" s="7" t="inlineStr">
        <is>
          <t>Ventas Abril 2026</t>
        </is>
      </c>
      <c r="G1" s="7" t="inlineStr">
        <is>
          <t>Unidades YTD (L o G)</t>
        </is>
      </c>
      <c r="H1" s="7" t="inlineStr">
        <is>
          <t># Transacc.</t>
        </is>
      </c>
      <c r="I1" s="7" t="inlineStr">
        <is>
          <t>Moneda</t>
        </is>
      </c>
      <c r="J1" s="7" t="inlineStr">
        <is>
          <t>Precio prom real</t>
        </is>
      </c>
      <c r="K1" s="7" t="inlineStr">
        <is>
          <t>Costo unidad</t>
        </is>
      </c>
      <c r="L1" s="7" t="inlineStr">
        <is>
          <t>Precio piso calc (x1.45)</t>
        </is>
      </c>
      <c r="M1" s="7" t="inlineStr">
        <is>
          <t>Precio piso oficial</t>
        </is>
      </c>
      <c r="N1" s="7" t="inlineStr">
        <is>
          <t>Precio piso efectivo MAX</t>
        </is>
      </c>
      <c r="O1" s="7" t="inlineStr">
        <is>
          <t>Margen real %</t>
        </is>
      </c>
      <c r="P1" s="7" t="inlineStr">
        <is>
          <t>Margen objetivo %</t>
        </is>
      </c>
      <c r="Q1" s="7" t="inlineStr">
        <is>
          <t>Diff vs objetivo (pp)</t>
        </is>
      </c>
      <c r="R1" s="7" t="inlineStr">
        <is>
          <t>Clasificacion</t>
        </is>
      </c>
      <c r="S1" s="7" t="inlineStr">
        <is>
          <t>Alerta: precio &lt; piso</t>
        </is>
      </c>
      <c r="T1" s="7" t="inlineStr">
        <is>
          <t>Critico: margen neg</t>
        </is>
      </c>
    </row>
    <row r="2">
      <c r="A2" s="8" t="inlineStr">
        <is>
          <t>CHILE</t>
        </is>
      </c>
      <c r="B2" s="8" t="inlineStr">
        <is>
          <t>HUMIC ROOT</t>
        </is>
      </c>
      <c r="C2" s="8" t="inlineStr"/>
      <c r="D2" s="8" t="inlineStr">
        <is>
          <t>AV HUMIC ROOT</t>
        </is>
      </c>
      <c r="E2" s="9" t="n">
        <v>100000</v>
      </c>
      <c r="F2" s="9" t="n">
        <v>0</v>
      </c>
      <c r="G2" s="9" t="n">
        <v>40</v>
      </c>
      <c r="H2" s="10" t="n">
        <v>1</v>
      </c>
      <c r="I2" s="8" t="inlineStr">
        <is>
          <t>CLP</t>
        </is>
      </c>
      <c r="J2" s="9" t="n">
        <v>2500</v>
      </c>
      <c r="K2" s="9" t="n">
        <v>3338</v>
      </c>
      <c r="L2" s="9" t="n">
        <v>4840.1</v>
      </c>
      <c r="M2" s="9" t="n">
        <v>6500</v>
      </c>
      <c r="N2" s="9" t="n">
        <v>4840.1</v>
      </c>
      <c r="O2" s="11" t="n">
        <v>-0.3352000000000001</v>
      </c>
      <c r="P2" s="11" t="n">
        <v>0.3103</v>
      </c>
      <c r="Q2" s="11" t="n">
        <v>-0.6455</v>
      </c>
      <c r="R2" s="12" t="inlineStr">
        <is>
          <t>CRITICO (margen negativo)</t>
        </is>
      </c>
      <c r="S2" s="8" t="inlineStr">
        <is>
          <t>no</t>
        </is>
      </c>
      <c r="T2" s="12" t="inlineStr">
        <is>
          <t>SI</t>
        </is>
      </c>
    </row>
    <row r="3">
      <c r="A3" s="8" t="inlineStr">
        <is>
          <t>CHILE</t>
        </is>
      </c>
      <c r="B3" s="8" t="inlineStr">
        <is>
          <t>PLUS MICRO MIX</t>
        </is>
      </c>
      <c r="C3" s="8" t="inlineStr">
        <is>
          <t>1 L</t>
        </is>
      </c>
      <c r="D3" s="8" t="inlineStr">
        <is>
          <t>AV PLUS MICRO MIX</t>
        </is>
      </c>
      <c r="E3" s="9" t="n">
        <v>49668</v>
      </c>
      <c r="F3" s="9" t="n">
        <v>0</v>
      </c>
      <c r="G3" s="9" t="n">
        <v>13</v>
      </c>
      <c r="H3" s="10" t="n">
        <v>2</v>
      </c>
      <c r="I3" s="8" t="inlineStr">
        <is>
          <t>CLP</t>
        </is>
      </c>
      <c r="J3" s="9" t="n">
        <v>3820.6154</v>
      </c>
      <c r="K3" s="9" t="n">
        <v>4366</v>
      </c>
      <c r="L3" s="9" t="n">
        <v>6330.7</v>
      </c>
      <c r="M3" s="9" t="n">
        <v>8000</v>
      </c>
      <c r="N3" s="9" t="n">
        <v>6330.7</v>
      </c>
      <c r="O3" s="11" t="n">
        <v>-0.1427</v>
      </c>
      <c r="P3" s="11" t="n">
        <v>0.3103</v>
      </c>
      <c r="Q3" s="11" t="n">
        <v>-0.4531</v>
      </c>
      <c r="R3" s="12" t="inlineStr">
        <is>
          <t>CRITICO (margen negativo)</t>
        </is>
      </c>
      <c r="S3" s="8" t="inlineStr">
        <is>
          <t>no</t>
        </is>
      </c>
      <c r="T3" s="12" t="inlineStr">
        <is>
          <t>SI</t>
        </is>
      </c>
    </row>
    <row r="4">
      <c r="A4" s="8" t="inlineStr">
        <is>
          <t>CHILE</t>
        </is>
      </c>
      <c r="B4" s="8" t="inlineStr">
        <is>
          <t>PLUS MICRO MIX</t>
        </is>
      </c>
      <c r="C4" s="8" t="inlineStr"/>
      <c r="D4" s="8" t="inlineStr">
        <is>
          <t>AV PLUS MICRO MIX</t>
        </is>
      </c>
      <c r="E4" s="9" t="n">
        <v>96000</v>
      </c>
      <c r="F4" s="9" t="n">
        <v>0</v>
      </c>
      <c r="G4" s="9" t="n">
        <v>20</v>
      </c>
      <c r="H4" s="10" t="n">
        <v>1</v>
      </c>
      <c r="I4" s="8" t="inlineStr">
        <is>
          <t>CLP</t>
        </is>
      </c>
      <c r="J4" s="9" t="n">
        <v>4800</v>
      </c>
      <c r="K4" s="9" t="n">
        <v>4366</v>
      </c>
      <c r="L4" s="9" t="n">
        <v>6330.7</v>
      </c>
      <c r="M4" s="9" t="n">
        <v>8000</v>
      </c>
      <c r="N4" s="9" t="n">
        <v>6330.7</v>
      </c>
      <c r="O4" s="11" t="n">
        <v>0.09039999999999999</v>
      </c>
      <c r="P4" s="11" t="n">
        <v>0.3103</v>
      </c>
      <c r="Q4" s="11" t="n">
        <v>-0.2199</v>
      </c>
      <c r="R4" s="12" t="inlineStr">
        <is>
          <t>INVIABLE</t>
        </is>
      </c>
      <c r="S4" s="13" t="inlineStr">
        <is>
          <t>SI</t>
        </is>
      </c>
      <c r="T4" s="8" t="inlineStr">
        <is>
          <t>no</t>
        </is>
      </c>
    </row>
    <row r="5">
      <c r="A5" s="8" t="inlineStr">
        <is>
          <t>CHILE</t>
        </is>
      </c>
      <c r="B5" s="8" t="inlineStr">
        <is>
          <t>PLUS ZINC</t>
        </is>
      </c>
      <c r="C5" s="8" t="inlineStr"/>
      <c r="D5" s="8" t="inlineStr">
        <is>
          <t>AV PLUS ZINC</t>
        </is>
      </c>
      <c r="E5" s="9" t="n">
        <v>20365</v>
      </c>
      <c r="F5" s="9" t="n">
        <v>0</v>
      </c>
      <c r="G5" s="9" t="n">
        <v>5</v>
      </c>
      <c r="H5" s="10" t="n">
        <v>1</v>
      </c>
      <c r="I5" s="8" t="inlineStr">
        <is>
          <t>CLP</t>
        </is>
      </c>
      <c r="J5" s="9" t="n">
        <v>4073</v>
      </c>
      <c r="K5" s="9" t="n">
        <v>3946</v>
      </c>
      <c r="L5" s="9" t="n">
        <v>5721.7</v>
      </c>
      <c r="M5" s="9" t="n">
        <v>7200</v>
      </c>
      <c r="N5" s="9" t="n">
        <v>5721.7</v>
      </c>
      <c r="O5" s="11" t="n">
        <v>0.0312</v>
      </c>
      <c r="P5" s="11" t="n">
        <v>0.3103</v>
      </c>
      <c r="Q5" s="11" t="n">
        <v>-0.2792</v>
      </c>
      <c r="R5" s="12" t="inlineStr">
        <is>
          <t>INVIABLE</t>
        </is>
      </c>
      <c r="S5" s="13" t="inlineStr">
        <is>
          <t>SI</t>
        </is>
      </c>
      <c r="T5" s="8" t="inlineStr">
        <is>
          <t>no</t>
        </is>
      </c>
    </row>
    <row r="6">
      <c r="A6" s="8" t="inlineStr">
        <is>
          <t>CHILE</t>
        </is>
      </c>
      <c r="B6" s="8" t="inlineStr">
        <is>
          <t>PLUS ZINC MANGANESO</t>
        </is>
      </c>
      <c r="C6" s="8" t="inlineStr">
        <is>
          <t>1 L</t>
        </is>
      </c>
      <c r="D6" s="8" t="inlineStr">
        <is>
          <t>AV PLUS ZINC MANGANESO</t>
        </is>
      </c>
      <c r="E6" s="9" t="n">
        <v>3902</v>
      </c>
      <c r="F6" s="9" t="n">
        <v>0</v>
      </c>
      <c r="G6" s="9" t="n">
        <v>1</v>
      </c>
      <c r="H6" s="10" t="n">
        <v>1</v>
      </c>
      <c r="I6" s="8" t="inlineStr">
        <is>
          <t>CLP</t>
        </is>
      </c>
      <c r="J6" s="9" t="n">
        <v>3902</v>
      </c>
      <c r="K6" s="9" t="n">
        <v>3671</v>
      </c>
      <c r="L6" s="9" t="n">
        <v>5322.95</v>
      </c>
      <c r="M6" s="9" t="n">
        <v>7000</v>
      </c>
      <c r="N6" s="9" t="n">
        <v>5322.95</v>
      </c>
      <c r="O6" s="11" t="n">
        <v>0.0592</v>
      </c>
      <c r="P6" s="11" t="n">
        <v>0.3103</v>
      </c>
      <c r="Q6" s="11" t="n">
        <v>-0.2511</v>
      </c>
      <c r="R6" s="12" t="inlineStr">
        <is>
          <t>INVIABLE</t>
        </is>
      </c>
      <c r="S6" s="13" t="inlineStr">
        <is>
          <t>SI</t>
        </is>
      </c>
      <c r="T6" s="8" t="inlineStr">
        <is>
          <t>no</t>
        </is>
      </c>
    </row>
    <row r="7">
      <c r="A7" s="8" t="inlineStr">
        <is>
          <t>CHILE</t>
        </is>
      </c>
      <c r="B7" s="8" t="inlineStr">
        <is>
          <t>AMIN SUGAR</t>
        </is>
      </c>
      <c r="C7" s="8" t="inlineStr">
        <is>
          <t>1 L</t>
        </is>
      </c>
      <c r="D7" s="8" t="inlineStr">
        <is>
          <t>AV AMIN SUGAR</t>
        </is>
      </c>
      <c r="E7" s="9" t="n">
        <v>16757</v>
      </c>
      <c r="F7" s="9" t="n">
        <v>0</v>
      </c>
      <c r="G7" s="9" t="n">
        <v>4</v>
      </c>
      <c r="H7" s="10" t="n">
        <v>2</v>
      </c>
      <c r="I7" s="8" t="inlineStr">
        <is>
          <t>CLP</t>
        </is>
      </c>
      <c r="J7" s="9" t="n">
        <v>4189.25</v>
      </c>
      <c r="K7" s="9" t="n">
        <v>3589</v>
      </c>
      <c r="L7" s="9" t="n">
        <v>5204.05</v>
      </c>
      <c r="M7" s="9" t="n">
        <v>7800</v>
      </c>
      <c r="N7" s="9" t="n">
        <v>5204.05</v>
      </c>
      <c r="O7" s="11" t="n">
        <v>0.1433</v>
      </c>
      <c r="P7" s="11" t="n">
        <v>0.3103</v>
      </c>
      <c r="Q7" s="11" t="n">
        <v>-0.1671</v>
      </c>
      <c r="R7" s="13" t="inlineStr">
        <is>
          <t>CRITICO</t>
        </is>
      </c>
      <c r="S7" s="13" t="inlineStr">
        <is>
          <t>SI</t>
        </is>
      </c>
      <c r="T7" s="8" t="inlineStr">
        <is>
          <t>no</t>
        </is>
      </c>
    </row>
    <row r="8">
      <c r="A8" s="8" t="inlineStr">
        <is>
          <t>CHILE</t>
        </is>
      </c>
      <c r="B8" s="8" t="inlineStr">
        <is>
          <t>PLUS POTASIO</t>
        </is>
      </c>
      <c r="C8" s="8" t="inlineStr"/>
      <c r="D8" s="8" t="inlineStr">
        <is>
          <t>AV PLUS POTASIO</t>
        </is>
      </c>
      <c r="E8" s="9" t="n">
        <v>1013190</v>
      </c>
      <c r="F8" s="9" t="n">
        <v>0</v>
      </c>
      <c r="G8" s="9" t="n">
        <v>216</v>
      </c>
      <c r="H8" s="10" t="n">
        <v>6</v>
      </c>
      <c r="I8" s="8" t="inlineStr">
        <is>
          <t>CLP</t>
        </is>
      </c>
      <c r="J8" s="9" t="n">
        <v>4690.6944</v>
      </c>
      <c r="K8" s="9" t="n">
        <v>3705</v>
      </c>
      <c r="L8" s="9" t="n">
        <v>5372.25</v>
      </c>
      <c r="M8" s="9" t="n">
        <v>6800</v>
      </c>
      <c r="N8" s="9" t="n">
        <v>5372.25</v>
      </c>
      <c r="O8" s="11" t="n">
        <v>0.2101</v>
      </c>
      <c r="P8" s="11" t="n">
        <v>0.3103</v>
      </c>
      <c r="Q8" s="11" t="n">
        <v>-0.1002</v>
      </c>
      <c r="R8" s="13" t="inlineStr">
        <is>
          <t>EN ALERTA</t>
        </is>
      </c>
      <c r="S8" s="13" t="inlineStr">
        <is>
          <t>SI</t>
        </is>
      </c>
      <c r="T8" s="8" t="inlineStr">
        <is>
          <t>no</t>
        </is>
      </c>
    </row>
    <row r="9">
      <c r="A9" s="8" t="inlineStr">
        <is>
          <t>CHILE</t>
        </is>
      </c>
      <c r="B9" s="8" t="inlineStr">
        <is>
          <t>PLUS ZINC</t>
        </is>
      </c>
      <c r="C9" s="8" t="inlineStr">
        <is>
          <t>5 L</t>
        </is>
      </c>
      <c r="D9" s="8" t="inlineStr">
        <is>
          <t>AV PLUS ZINC</t>
        </is>
      </c>
      <c r="E9" s="9" t="n">
        <v>77450</v>
      </c>
      <c r="F9" s="9" t="n">
        <v>0</v>
      </c>
      <c r="G9" s="9" t="n">
        <v>20</v>
      </c>
      <c r="H9" s="10" t="n">
        <v>4</v>
      </c>
      <c r="I9" s="8" t="inlineStr">
        <is>
          <t>CLP</t>
        </is>
      </c>
      <c r="J9" s="9" t="n">
        <v>3872.5</v>
      </c>
      <c r="K9" s="9" t="n">
        <v>2830</v>
      </c>
      <c r="L9" s="9" t="n">
        <v>4103.5</v>
      </c>
      <c r="M9" s="9" t="n">
        <v>6800</v>
      </c>
      <c r="N9" s="9" t="n">
        <v>4103.5</v>
      </c>
      <c r="O9" s="11" t="n">
        <v>0.2692</v>
      </c>
      <c r="P9" s="11" t="n">
        <v>0.3103</v>
      </c>
      <c r="Q9" s="11" t="n">
        <v>-0.0411</v>
      </c>
      <c r="R9" s="14" t="inlineStr">
        <is>
          <t>SANO</t>
        </is>
      </c>
      <c r="S9" s="13" t="inlineStr">
        <is>
          <t>SI</t>
        </is>
      </c>
      <c r="T9" s="8" t="inlineStr">
        <is>
          <t>no</t>
        </is>
      </c>
    </row>
    <row r="10">
      <c r="A10" s="8" t="inlineStr">
        <is>
          <t>CHILE</t>
        </is>
      </c>
      <c r="B10" s="8" t="inlineStr">
        <is>
          <t>MOVE</t>
        </is>
      </c>
      <c r="C10" s="8" t="inlineStr">
        <is>
          <t>20 L</t>
        </is>
      </c>
      <c r="D10" s="8" t="inlineStr">
        <is>
          <t>AV MOVE</t>
        </is>
      </c>
      <c r="E10" s="9" t="n">
        <v>23747558</v>
      </c>
      <c r="F10" s="9" t="n">
        <v>161340</v>
      </c>
      <c r="G10" s="9" t="n">
        <v>3120</v>
      </c>
      <c r="H10" s="10" t="n">
        <v>29</v>
      </c>
      <c r="I10" s="8" t="inlineStr">
        <is>
          <t>CLP</t>
        </is>
      </c>
      <c r="J10" s="9" t="n">
        <v>7611.3968</v>
      </c>
      <c r="K10" s="9" t="n">
        <v>2797.75</v>
      </c>
      <c r="L10" s="9" t="n">
        <v>4056.7375</v>
      </c>
      <c r="M10" s="9" t="n">
        <v>7500</v>
      </c>
      <c r="N10" s="9" t="n">
        <v>7611.3968</v>
      </c>
      <c r="O10" s="11" t="n">
        <v>0.6324000000000001</v>
      </c>
      <c r="P10" s="11" t="n">
        <v>0.3103</v>
      </c>
      <c r="Q10" s="11" t="n">
        <v>0.3221</v>
      </c>
      <c r="R10" s="15" t="inlineStr">
        <is>
          <t>EXCELENTE</t>
        </is>
      </c>
      <c r="S10" s="8" t="inlineStr">
        <is>
          <t>no</t>
        </is>
      </c>
      <c r="T10" s="8" t="inlineStr">
        <is>
          <t>no</t>
        </is>
      </c>
    </row>
    <row r="11">
      <c r="A11" s="8" t="inlineStr">
        <is>
          <t>CHILE</t>
        </is>
      </c>
      <c r="B11" s="8" t="inlineStr">
        <is>
          <t>BIOVECA PRADERAS</t>
        </is>
      </c>
      <c r="C11" s="8" t="inlineStr">
        <is>
          <t>250 G</t>
        </is>
      </c>
      <c r="D11" s="8" t="inlineStr">
        <is>
          <t>BIOVECA PRADERAS</t>
        </is>
      </c>
      <c r="E11" s="9" t="n">
        <v>13806908</v>
      </c>
      <c r="F11" s="9" t="n">
        <v>130408</v>
      </c>
      <c r="G11" s="9" t="n">
        <v>714</v>
      </c>
      <c r="H11" s="10" t="n">
        <v>8</v>
      </c>
      <c r="I11" s="8" t="inlineStr">
        <is>
          <t>CLP</t>
        </is>
      </c>
      <c r="J11" s="9" t="n">
        <v>19337.4062</v>
      </c>
      <c r="K11" s="9" t="n">
        <v>10500</v>
      </c>
      <c r="L11" s="9" t="n">
        <v>15225</v>
      </c>
      <c r="M11" s="9" t="n">
        <v>31000</v>
      </c>
      <c r="N11" s="9" t="n">
        <v>19337.4062</v>
      </c>
      <c r="O11" s="11" t="n">
        <v>0.457</v>
      </c>
      <c r="P11" s="11" t="n">
        <v>0.3103</v>
      </c>
      <c r="Q11" s="11" t="n">
        <v>0.1467</v>
      </c>
      <c r="R11" s="15" t="inlineStr">
        <is>
          <t>EXCELENTE</t>
        </is>
      </c>
      <c r="S11" s="13" t="inlineStr">
        <is>
          <t>SI</t>
        </is>
      </c>
      <c r="T11" s="8" t="inlineStr">
        <is>
          <t>no</t>
        </is>
      </c>
    </row>
    <row r="12">
      <c r="A12" s="8" t="inlineStr">
        <is>
          <t>CHILE</t>
        </is>
      </c>
      <c r="B12" s="8" t="inlineStr">
        <is>
          <t>SILFORTE</t>
        </is>
      </c>
      <c r="C12" s="8" t="inlineStr">
        <is>
          <t>20 L</t>
        </is>
      </c>
      <c r="D12" s="8" t="inlineStr">
        <is>
          <t>AV SILFORTE</t>
        </is>
      </c>
      <c r="E12" s="9" t="n">
        <v>9930120</v>
      </c>
      <c r="F12" s="9" t="n">
        <v>0</v>
      </c>
      <c r="G12" s="9" t="n">
        <v>960</v>
      </c>
      <c r="H12" s="10" t="n">
        <v>13</v>
      </c>
      <c r="I12" s="8" t="inlineStr">
        <is>
          <t>CLP</t>
        </is>
      </c>
      <c r="J12" s="9" t="n">
        <v>10343.875</v>
      </c>
      <c r="K12" s="9" t="n">
        <v>2319.7</v>
      </c>
      <c r="L12" s="9" t="n">
        <v>3363.565</v>
      </c>
      <c r="M12" s="9" t="n">
        <v>10000</v>
      </c>
      <c r="N12" s="9" t="n">
        <v>10343.875</v>
      </c>
      <c r="O12" s="11" t="n">
        <v>0.7756999999999999</v>
      </c>
      <c r="P12" s="11" t="n">
        <v>0.3103</v>
      </c>
      <c r="Q12" s="11" t="n">
        <v>0.4654</v>
      </c>
      <c r="R12" s="15" t="inlineStr">
        <is>
          <t>EXCELENTE</t>
        </is>
      </c>
      <c r="S12" s="8" t="inlineStr">
        <is>
          <t>no</t>
        </is>
      </c>
      <c r="T12" s="8" t="inlineStr">
        <is>
          <t>no</t>
        </is>
      </c>
    </row>
    <row r="13">
      <c r="A13" s="8" t="inlineStr">
        <is>
          <t>CHILE</t>
        </is>
      </c>
      <c r="B13" s="8" t="inlineStr">
        <is>
          <t>BIOVECA INVERNAL</t>
        </is>
      </c>
      <c r="C13" s="8" t="inlineStr">
        <is>
          <t>250 G</t>
        </is>
      </c>
      <c r="D13" s="8" t="inlineStr">
        <is>
          <t>BIOVECA INVERNAL</t>
        </is>
      </c>
      <c r="E13" s="9" t="n">
        <v>9446560</v>
      </c>
      <c r="F13" s="9" t="n">
        <v>7985000</v>
      </c>
      <c r="G13" s="9" t="n">
        <v>348</v>
      </c>
      <c r="H13" s="10" t="n">
        <v>9</v>
      </c>
      <c r="I13" s="8" t="inlineStr">
        <is>
          <t>CLP</t>
        </is>
      </c>
      <c r="J13" s="9" t="n">
        <v>27145.2874</v>
      </c>
      <c r="K13" s="9" t="n">
        <v>8500</v>
      </c>
      <c r="L13" s="9" t="n">
        <v>12325</v>
      </c>
      <c r="M13" s="9" t="n">
        <v>34800</v>
      </c>
      <c r="N13" s="9" t="n">
        <v>27145.2874</v>
      </c>
      <c r="O13" s="11" t="n">
        <v>0.6869</v>
      </c>
      <c r="P13" s="11" t="n">
        <v>0.3103</v>
      </c>
      <c r="Q13" s="11" t="n">
        <v>0.3765</v>
      </c>
      <c r="R13" s="15" t="inlineStr">
        <is>
          <t>EXCELENTE</t>
        </is>
      </c>
      <c r="S13" s="13" t="inlineStr">
        <is>
          <t>SI</t>
        </is>
      </c>
      <c r="T13" s="8" t="inlineStr">
        <is>
          <t>no</t>
        </is>
      </c>
    </row>
    <row r="14">
      <c r="A14" s="8" t="inlineStr">
        <is>
          <t>CHILE</t>
        </is>
      </c>
      <c r="B14" s="8" t="inlineStr">
        <is>
          <t>AMIN SUGAR</t>
        </is>
      </c>
      <c r="C14" s="8" t="inlineStr">
        <is>
          <t>20 L</t>
        </is>
      </c>
      <c r="D14" s="8" t="inlineStr">
        <is>
          <t>AV AMIN SUGAR</t>
        </is>
      </c>
      <c r="E14" s="9" t="n">
        <v>8166599</v>
      </c>
      <c r="F14" s="9" t="n">
        <v>467160</v>
      </c>
      <c r="G14" s="9" t="n">
        <v>1800</v>
      </c>
      <c r="H14" s="10" t="n">
        <v>13</v>
      </c>
      <c r="I14" s="8" t="inlineStr">
        <is>
          <t>CLP</t>
        </is>
      </c>
      <c r="J14" s="9" t="n">
        <v>4536.9994</v>
      </c>
      <c r="K14" s="9" t="n">
        <v>1756.45</v>
      </c>
      <c r="L14" s="9" t="n">
        <v>2546.8525</v>
      </c>
      <c r="M14" s="9" t="n">
        <v>5000</v>
      </c>
      <c r="N14" s="9" t="n">
        <v>4536.9994</v>
      </c>
      <c r="O14" s="11" t="n">
        <v>0.6129</v>
      </c>
      <c r="P14" s="11" t="n">
        <v>0.3103</v>
      </c>
      <c r="Q14" s="11" t="n">
        <v>0.3025</v>
      </c>
      <c r="R14" s="15" t="inlineStr">
        <is>
          <t>EXCELENTE</t>
        </is>
      </c>
      <c r="S14" s="13" t="inlineStr">
        <is>
          <t>SI</t>
        </is>
      </c>
      <c r="T14" s="8" t="inlineStr">
        <is>
          <t>no</t>
        </is>
      </c>
    </row>
    <row r="15">
      <c r="A15" s="8" t="inlineStr">
        <is>
          <t>CHILE</t>
        </is>
      </c>
      <c r="B15" s="8" t="inlineStr">
        <is>
          <t>ROOT MAX</t>
        </is>
      </c>
      <c r="C15" s="8" t="inlineStr">
        <is>
          <t>20 L</t>
        </is>
      </c>
      <c r="D15" s="8" t="inlineStr">
        <is>
          <t>AV ROOT MAX</t>
        </is>
      </c>
      <c r="E15" s="9" t="n">
        <v>7006942</v>
      </c>
      <c r="F15" s="9" t="n">
        <v>178400</v>
      </c>
      <c r="G15" s="9" t="n">
        <v>780</v>
      </c>
      <c r="H15" s="10" t="n">
        <v>16</v>
      </c>
      <c r="I15" s="8" t="inlineStr">
        <is>
          <t>CLP</t>
        </is>
      </c>
      <c r="J15" s="9" t="n">
        <v>8983.259</v>
      </c>
      <c r="K15" s="9" t="n">
        <v>1320.6</v>
      </c>
      <c r="L15" s="9" t="n">
        <v>1914.87</v>
      </c>
      <c r="M15" s="9" t="n">
        <v>8500</v>
      </c>
      <c r="N15" s="9" t="n">
        <v>8983.259</v>
      </c>
      <c r="O15" s="11" t="n">
        <v>0.853</v>
      </c>
      <c r="P15" s="11" t="n">
        <v>0.3103</v>
      </c>
      <c r="Q15" s="11" t="n">
        <v>0.5426</v>
      </c>
      <c r="R15" s="15" t="inlineStr">
        <is>
          <t>EXCELENTE</t>
        </is>
      </c>
      <c r="S15" s="8" t="inlineStr">
        <is>
          <t>no</t>
        </is>
      </c>
      <c r="T15" s="8" t="inlineStr">
        <is>
          <t>no</t>
        </is>
      </c>
    </row>
    <row r="16">
      <c r="A16" s="8" t="inlineStr">
        <is>
          <t>CHILE</t>
        </is>
      </c>
      <c r="B16" s="8" t="inlineStr">
        <is>
          <t>HUMIC ROOT</t>
        </is>
      </c>
      <c r="C16" s="8" t="inlineStr">
        <is>
          <t>1000 L</t>
        </is>
      </c>
      <c r="D16" s="8" t="inlineStr">
        <is>
          <t>AV HUMIC ROOT</t>
        </is>
      </c>
      <c r="E16" s="9" t="n">
        <v>7000000</v>
      </c>
      <c r="F16" s="9" t="n">
        <v>0</v>
      </c>
      <c r="G16" s="9" t="n">
        <v>3000</v>
      </c>
      <c r="H16" s="10" t="n">
        <v>3</v>
      </c>
      <c r="I16" s="8" t="inlineStr">
        <is>
          <t>CLP</t>
        </is>
      </c>
      <c r="J16" s="9" t="n">
        <v>2333.3333</v>
      </c>
      <c r="K16" s="9" t="n">
        <v>1159.92</v>
      </c>
      <c r="L16" s="9" t="n">
        <v>1681.884</v>
      </c>
      <c r="M16" s="9" t="n">
        <v>2800</v>
      </c>
      <c r="N16" s="9" t="n">
        <v>2333.3333</v>
      </c>
      <c r="O16" s="11" t="n">
        <v>0.5029</v>
      </c>
      <c r="P16" s="11" t="n">
        <v>0.3103</v>
      </c>
      <c r="Q16" s="11" t="n">
        <v>0.1925</v>
      </c>
      <c r="R16" s="15" t="inlineStr">
        <is>
          <t>EXCELENTE</t>
        </is>
      </c>
      <c r="S16" s="13" t="inlineStr">
        <is>
          <t>SI</t>
        </is>
      </c>
      <c r="T16" s="8" t="inlineStr">
        <is>
          <t>no</t>
        </is>
      </c>
    </row>
    <row r="17">
      <c r="A17" s="8" t="inlineStr">
        <is>
          <t>CHILE</t>
        </is>
      </c>
      <c r="B17" s="8" t="inlineStr">
        <is>
          <t>BIOVECA FOLIAR</t>
        </is>
      </c>
      <c r="C17" s="8" t="inlineStr">
        <is>
          <t>250 G</t>
        </is>
      </c>
      <c r="D17" s="8" t="inlineStr">
        <is>
          <t>BIOVECA FOLIAR</t>
        </is>
      </c>
      <c r="E17" s="9" t="n">
        <v>6027000</v>
      </c>
      <c r="F17" s="9" t="n">
        <v>28000</v>
      </c>
      <c r="G17" s="9" t="n">
        <v>173</v>
      </c>
      <c r="H17" s="10" t="n">
        <v>9</v>
      </c>
      <c r="I17" s="8" t="inlineStr">
        <is>
          <t>CLP</t>
        </is>
      </c>
      <c r="J17" s="9" t="n">
        <v>34838.1503</v>
      </c>
      <c r="K17" s="9" t="n">
        <v>8500</v>
      </c>
      <c r="L17" s="9" t="n">
        <v>12325</v>
      </c>
      <c r="M17" s="9" t="n">
        <v>33500</v>
      </c>
      <c r="N17" s="9" t="n">
        <v>34838.1503</v>
      </c>
      <c r="O17" s="11" t="n">
        <v>0.7559999999999999</v>
      </c>
      <c r="P17" s="11" t="n">
        <v>0.3103</v>
      </c>
      <c r="Q17" s="11" t="n">
        <v>0.4457</v>
      </c>
      <c r="R17" s="15" t="inlineStr">
        <is>
          <t>EXCELENTE</t>
        </is>
      </c>
      <c r="S17" s="8" t="inlineStr">
        <is>
          <t>no</t>
        </is>
      </c>
      <c r="T17" s="8" t="inlineStr">
        <is>
          <t>no</t>
        </is>
      </c>
    </row>
    <row r="18">
      <c r="A18" s="8" t="inlineStr">
        <is>
          <t>CHILE</t>
        </is>
      </c>
      <c r="B18" s="8" t="inlineStr">
        <is>
          <t>HUMIC ROOT</t>
        </is>
      </c>
      <c r="C18" s="8" t="inlineStr">
        <is>
          <t>200 L</t>
        </is>
      </c>
      <c r="D18" s="8" t="inlineStr">
        <is>
          <t>AV HUMIC ROOT</t>
        </is>
      </c>
      <c r="E18" s="9" t="n">
        <v>5050000</v>
      </c>
      <c r="F18" s="9" t="n">
        <v>0</v>
      </c>
      <c r="G18" s="9" t="n">
        <v>2100</v>
      </c>
      <c r="H18" s="10" t="n">
        <v>4</v>
      </c>
      <c r="I18" s="8" t="inlineStr">
        <is>
          <t>CLP</t>
        </is>
      </c>
      <c r="J18" s="9" t="n">
        <v>2404.7619</v>
      </c>
      <c r="K18" s="9" t="n">
        <v>1223.05</v>
      </c>
      <c r="L18" s="9" t="n">
        <v>1773.4225</v>
      </c>
      <c r="M18" s="9" t="n">
        <v>3200</v>
      </c>
      <c r="N18" s="9" t="n">
        <v>2404.7619</v>
      </c>
      <c r="O18" s="11" t="n">
        <v>0.4914</v>
      </c>
      <c r="P18" s="11" t="n">
        <v>0.3103</v>
      </c>
      <c r="Q18" s="11" t="n">
        <v>0.1811</v>
      </c>
      <c r="R18" s="15" t="inlineStr">
        <is>
          <t>EXCELENTE</t>
        </is>
      </c>
      <c r="S18" s="13" t="inlineStr">
        <is>
          <t>SI</t>
        </is>
      </c>
      <c r="T18" s="8" t="inlineStr">
        <is>
          <t>no</t>
        </is>
      </c>
    </row>
    <row r="19">
      <c r="A19" s="8" t="inlineStr">
        <is>
          <t>CHILE</t>
        </is>
      </c>
      <c r="B19" s="8" t="inlineStr">
        <is>
          <t>MAX FULVIC 45%</t>
        </is>
      </c>
      <c r="C19" s="8" t="inlineStr">
        <is>
          <t>20 L</t>
        </is>
      </c>
      <c r="D19" s="8" t="inlineStr">
        <is>
          <t>AV MAX FULVIC 45%</t>
        </is>
      </c>
      <c r="E19" s="9" t="n">
        <v>4532457</v>
      </c>
      <c r="F19" s="9" t="n">
        <v>354100</v>
      </c>
      <c r="G19" s="9" t="n">
        <v>1520</v>
      </c>
      <c r="H19" s="10" t="n">
        <v>10</v>
      </c>
      <c r="I19" s="8" t="inlineStr">
        <is>
          <t>CLP</t>
        </is>
      </c>
      <c r="J19" s="9" t="n">
        <v>2981.8796</v>
      </c>
      <c r="K19" s="9" t="n">
        <v>1503.6</v>
      </c>
      <c r="L19" s="9" t="n">
        <v>2180.22</v>
      </c>
      <c r="M19" s="9" t="n">
        <v>4000</v>
      </c>
      <c r="N19" s="9" t="n">
        <v>2981.8796</v>
      </c>
      <c r="O19" s="11" t="n">
        <v>0.4958</v>
      </c>
      <c r="P19" s="11" t="n">
        <v>0.3103</v>
      </c>
      <c r="Q19" s="11" t="n">
        <v>0.1854</v>
      </c>
      <c r="R19" s="15" t="inlineStr">
        <is>
          <t>EXCELENTE</t>
        </is>
      </c>
      <c r="S19" s="13" t="inlineStr">
        <is>
          <t>SI</t>
        </is>
      </c>
      <c r="T19" s="8" t="inlineStr">
        <is>
          <t>no</t>
        </is>
      </c>
    </row>
    <row r="20">
      <c r="A20" s="8" t="inlineStr">
        <is>
          <t>CHILE</t>
        </is>
      </c>
      <c r="B20" s="8" t="inlineStr">
        <is>
          <t>PLUS POTASIO</t>
        </is>
      </c>
      <c r="C20" s="8" t="inlineStr">
        <is>
          <t>20 L</t>
        </is>
      </c>
      <c r="D20" s="8" t="inlineStr">
        <is>
          <t>AV PLUS POTASIO</t>
        </is>
      </c>
      <c r="E20" s="9" t="n">
        <v>4407660</v>
      </c>
      <c r="F20" s="9" t="n">
        <v>247320</v>
      </c>
      <c r="G20" s="9" t="n">
        <v>1320</v>
      </c>
      <c r="H20" s="10" t="n">
        <v>19</v>
      </c>
      <c r="I20" s="8" t="inlineStr">
        <is>
          <t>CLP</t>
        </is>
      </c>
      <c r="J20" s="9" t="n">
        <v>3339.1364</v>
      </c>
      <c r="K20" s="9" t="n">
        <v>1871.75</v>
      </c>
      <c r="L20" s="9" t="n">
        <v>2714.0375</v>
      </c>
      <c r="M20" s="9" t="n">
        <v>3800</v>
      </c>
      <c r="N20" s="9" t="n">
        <v>3339.1364</v>
      </c>
      <c r="O20" s="11" t="n">
        <v>0.4395</v>
      </c>
      <c r="P20" s="11" t="n">
        <v>0.3103</v>
      </c>
      <c r="Q20" s="11" t="n">
        <v>0.1291</v>
      </c>
      <c r="R20" s="15" t="inlineStr">
        <is>
          <t>EXCELENTE</t>
        </is>
      </c>
      <c r="S20" s="13" t="inlineStr">
        <is>
          <t>SI</t>
        </is>
      </c>
      <c r="T20" s="8" t="inlineStr">
        <is>
          <t>no</t>
        </is>
      </c>
    </row>
    <row r="21">
      <c r="A21" s="8" t="inlineStr">
        <is>
          <t>CHILE</t>
        </is>
      </c>
      <c r="B21" s="8" t="inlineStr">
        <is>
          <t>AV15 40-20</t>
        </is>
      </c>
      <c r="C21" s="8" t="inlineStr">
        <is>
          <t>20 L</t>
        </is>
      </c>
      <c r="D21" s="8" t="inlineStr">
        <is>
          <t>AV15 40-20</t>
        </is>
      </c>
      <c r="E21" s="9" t="n">
        <v>4228040</v>
      </c>
      <c r="F21" s="9" t="n">
        <v>1000000</v>
      </c>
      <c r="G21" s="9" t="n">
        <v>880</v>
      </c>
      <c r="H21" s="10" t="n">
        <v>10</v>
      </c>
      <c r="I21" s="8" t="inlineStr">
        <is>
          <t>CLP</t>
        </is>
      </c>
      <c r="J21" s="9" t="n">
        <v>4804.5909</v>
      </c>
      <c r="K21" s="9" t="n">
        <v>1873.2</v>
      </c>
      <c r="L21" s="9" t="n">
        <v>2716.14</v>
      </c>
      <c r="M21" s="9" t="n">
        <v>5500</v>
      </c>
      <c r="N21" s="9" t="n">
        <v>4804.5909</v>
      </c>
      <c r="O21" s="11" t="n">
        <v>0.6101</v>
      </c>
      <c r="P21" s="11" t="n">
        <v>0.3103</v>
      </c>
      <c r="Q21" s="11" t="n">
        <v>0.2998</v>
      </c>
      <c r="R21" s="15" t="inlineStr">
        <is>
          <t>EXCELENTE</t>
        </is>
      </c>
      <c r="S21" s="13" t="inlineStr">
        <is>
          <t>SI</t>
        </is>
      </c>
      <c r="T21" s="8" t="inlineStr">
        <is>
          <t>no</t>
        </is>
      </c>
    </row>
    <row r="22">
      <c r="A22" s="8" t="inlineStr">
        <is>
          <t>CHILE</t>
        </is>
      </c>
      <c r="B22" s="8" t="inlineStr">
        <is>
          <t>BALANCE</t>
        </is>
      </c>
      <c r="C22" s="8" t="inlineStr">
        <is>
          <t>20 L</t>
        </is>
      </c>
      <c r="D22" s="8" t="inlineStr">
        <is>
          <t>AV BALANCE</t>
        </is>
      </c>
      <c r="E22" s="9" t="n">
        <v>3970360</v>
      </c>
      <c r="F22" s="9" t="n">
        <v>0</v>
      </c>
      <c r="G22" s="9" t="n">
        <v>300</v>
      </c>
      <c r="H22" s="10" t="n">
        <v>6</v>
      </c>
      <c r="I22" s="8" t="inlineStr">
        <is>
          <t>CLP</t>
        </is>
      </c>
      <c r="J22" s="9" t="n">
        <v>13234.5333</v>
      </c>
      <c r="K22" s="9" t="n">
        <v>2797.75</v>
      </c>
      <c r="L22" s="9" t="n">
        <v>4056.7375</v>
      </c>
      <c r="M22" s="9" t="n">
        <v>13500</v>
      </c>
      <c r="N22" s="9" t="n">
        <v>13234.5333</v>
      </c>
      <c r="O22" s="11" t="n">
        <v>0.7886</v>
      </c>
      <c r="P22" s="11" t="n">
        <v>0.3103</v>
      </c>
      <c r="Q22" s="11" t="n">
        <v>0.4783</v>
      </c>
      <c r="R22" s="15" t="inlineStr">
        <is>
          <t>EXCELENTE</t>
        </is>
      </c>
      <c r="S22" s="13" t="inlineStr">
        <is>
          <t>SI</t>
        </is>
      </c>
      <c r="T22" s="8" t="inlineStr">
        <is>
          <t>no</t>
        </is>
      </c>
    </row>
    <row r="23">
      <c r="A23" s="8" t="inlineStr">
        <is>
          <t>CHILE</t>
        </is>
      </c>
      <c r="B23" s="8" t="inlineStr">
        <is>
          <t>HUMIC ROOT</t>
        </is>
      </c>
      <c r="C23" s="8" t="inlineStr">
        <is>
          <t>20 L</t>
        </is>
      </c>
      <c r="D23" s="8" t="inlineStr">
        <is>
          <t>AV HUMIC ROOT</t>
        </is>
      </c>
      <c r="E23" s="9" t="n">
        <v>3865520</v>
      </c>
      <c r="F23" s="9" t="n">
        <v>0</v>
      </c>
      <c r="G23" s="9" t="n">
        <v>1240</v>
      </c>
      <c r="H23" s="10" t="n">
        <v>10</v>
      </c>
      <c r="I23" s="8" t="inlineStr">
        <is>
          <t>CLP</t>
        </is>
      </c>
      <c r="J23" s="9" t="n">
        <v>3117.3548</v>
      </c>
      <c r="K23" s="9" t="n">
        <v>1503.6</v>
      </c>
      <c r="L23" s="9" t="n">
        <v>2180.22</v>
      </c>
      <c r="M23" s="9" t="n">
        <v>4000</v>
      </c>
      <c r="N23" s="9" t="n">
        <v>3117.3548</v>
      </c>
      <c r="O23" s="11" t="n">
        <v>0.5177</v>
      </c>
      <c r="P23" s="11" t="n">
        <v>0.3103</v>
      </c>
      <c r="Q23" s="11" t="n">
        <v>0.2073</v>
      </c>
      <c r="R23" s="15" t="inlineStr">
        <is>
          <t>EXCELENTE</t>
        </is>
      </c>
      <c r="S23" s="13" t="inlineStr">
        <is>
          <t>SI</t>
        </is>
      </c>
      <c r="T23" s="8" t="inlineStr">
        <is>
          <t>no</t>
        </is>
      </c>
    </row>
    <row r="24">
      <c r="A24" s="8" t="inlineStr">
        <is>
          <t>CHILE</t>
        </is>
      </c>
      <c r="B24" s="8" t="inlineStr">
        <is>
          <t>BIOVECA RAIZ</t>
        </is>
      </c>
      <c r="C24" s="8" t="inlineStr">
        <is>
          <t>500 G</t>
        </is>
      </c>
      <c r="D24" s="8" t="inlineStr">
        <is>
          <t>BIOVECA RAIZ</t>
        </is>
      </c>
      <c r="E24" s="9" t="n">
        <v>3153708</v>
      </c>
      <c r="F24" s="9" t="n">
        <v>944340</v>
      </c>
      <c r="G24" s="9" t="n">
        <v>102</v>
      </c>
      <c r="H24" s="10" t="n">
        <v>11</v>
      </c>
      <c r="I24" s="8" t="inlineStr">
        <is>
          <t>CLP</t>
        </is>
      </c>
      <c r="J24" s="9" t="n">
        <v>30918.7059</v>
      </c>
      <c r="K24" s="9" t="n">
        <v>10500</v>
      </c>
      <c r="L24" s="9" t="n">
        <v>15225</v>
      </c>
      <c r="M24" s="9" t="n">
        <v>36500</v>
      </c>
      <c r="N24" s="9" t="n">
        <v>30918.7059</v>
      </c>
      <c r="O24" s="11" t="n">
        <v>0.6604000000000001</v>
      </c>
      <c r="P24" s="11" t="n">
        <v>0.3103</v>
      </c>
      <c r="Q24" s="11" t="n">
        <v>0.3501</v>
      </c>
      <c r="R24" s="15" t="inlineStr">
        <is>
          <t>EXCELENTE</t>
        </is>
      </c>
      <c r="S24" s="13" t="inlineStr">
        <is>
          <t>SI</t>
        </is>
      </c>
      <c r="T24" s="8" t="inlineStr">
        <is>
          <t>no</t>
        </is>
      </c>
    </row>
    <row r="25">
      <c r="A25" s="8" t="inlineStr">
        <is>
          <t>CHILE</t>
        </is>
      </c>
      <c r="B25" s="8" t="inlineStr">
        <is>
          <t>ROOT MAX</t>
        </is>
      </c>
      <c r="C25" s="8" t="inlineStr"/>
      <c r="D25" s="8" t="inlineStr">
        <is>
          <t>AV ROOT MAX</t>
        </is>
      </c>
      <c r="E25" s="9" t="n">
        <v>3059684</v>
      </c>
      <c r="F25" s="9" t="n">
        <v>0</v>
      </c>
      <c r="G25" s="9" t="n">
        <v>344</v>
      </c>
      <c r="H25" s="10" t="n">
        <v>4</v>
      </c>
      <c r="I25" s="8" t="inlineStr">
        <is>
          <t>CLP</t>
        </is>
      </c>
      <c r="J25" s="9" t="n">
        <v>8894.430200000001</v>
      </c>
      <c r="K25" s="9" t="n">
        <v>4474</v>
      </c>
      <c r="L25" s="9" t="n">
        <v>6487.3</v>
      </c>
      <c r="M25" s="9" t="n">
        <v>10000</v>
      </c>
      <c r="N25" s="9" t="n">
        <v>8894.430200000001</v>
      </c>
      <c r="O25" s="11" t="n">
        <v>0.4970000000000001</v>
      </c>
      <c r="P25" s="11" t="n">
        <v>0.3103</v>
      </c>
      <c r="Q25" s="11" t="n">
        <v>0.1866</v>
      </c>
      <c r="R25" s="15" t="inlineStr">
        <is>
          <t>EXCELENTE</t>
        </is>
      </c>
      <c r="S25" s="13" t="inlineStr">
        <is>
          <t>SI</t>
        </is>
      </c>
      <c r="T25" s="8" t="inlineStr">
        <is>
          <t>no</t>
        </is>
      </c>
    </row>
    <row r="26">
      <c r="A26" s="8" t="inlineStr">
        <is>
          <t>CHILE</t>
        </is>
      </c>
      <c r="B26" s="8" t="inlineStr">
        <is>
          <t>PLUS MICRO MIX</t>
        </is>
      </c>
      <c r="C26" s="8" t="inlineStr">
        <is>
          <t>20 L</t>
        </is>
      </c>
      <c r="D26" s="8" t="inlineStr">
        <is>
          <t>AV PLUS MICRO MIX</t>
        </is>
      </c>
      <c r="E26" s="9" t="n">
        <v>2884470</v>
      </c>
      <c r="F26" s="9" t="n">
        <v>0</v>
      </c>
      <c r="G26" s="9" t="n">
        <v>720</v>
      </c>
      <c r="H26" s="10" t="n">
        <v>8</v>
      </c>
      <c r="I26" s="8" t="inlineStr">
        <is>
          <t>CLP</t>
        </is>
      </c>
      <c r="J26" s="9" t="n">
        <v>4006.2083</v>
      </c>
      <c r="K26" s="9" t="n">
        <v>2532.8</v>
      </c>
      <c r="L26" s="9" t="n">
        <v>3672.56</v>
      </c>
      <c r="M26" s="9" t="n">
        <v>5500</v>
      </c>
      <c r="N26" s="9" t="n">
        <v>4006.2083</v>
      </c>
      <c r="O26" s="11" t="n">
        <v>0.3678</v>
      </c>
      <c r="P26" s="11" t="n">
        <v>0.3103</v>
      </c>
      <c r="Q26" s="11" t="n">
        <v>0.0574</v>
      </c>
      <c r="R26" s="15" t="inlineStr">
        <is>
          <t>EXCELENTE</t>
        </is>
      </c>
      <c r="S26" s="13" t="inlineStr">
        <is>
          <t>SI</t>
        </is>
      </c>
      <c r="T26" s="8" t="inlineStr">
        <is>
          <t>no</t>
        </is>
      </c>
    </row>
    <row r="27">
      <c r="A27" s="8" t="inlineStr">
        <is>
          <t>CHILE</t>
        </is>
      </c>
      <c r="B27" s="8" t="inlineStr">
        <is>
          <t>ROOT MAX</t>
        </is>
      </c>
      <c r="C27" s="8" t="inlineStr">
        <is>
          <t>200 L</t>
        </is>
      </c>
      <c r="D27" s="8" t="inlineStr">
        <is>
          <t>AV ROOT MAX</t>
        </is>
      </c>
      <c r="E27" s="9" t="n">
        <v>2516000</v>
      </c>
      <c r="F27" s="9" t="n">
        <v>0</v>
      </c>
      <c r="G27" s="9" t="n">
        <v>370</v>
      </c>
      <c r="H27" s="10" t="n">
        <v>2</v>
      </c>
      <c r="I27" s="8" t="inlineStr">
        <is>
          <t>CLP</t>
        </is>
      </c>
      <c r="J27" s="9" t="n">
        <v>6800</v>
      </c>
      <c r="K27" s="9" t="n">
        <v>1179.845</v>
      </c>
      <c r="L27" s="9" t="n">
        <v>1710.7752</v>
      </c>
      <c r="M27" s="9" t="n">
        <v>7000</v>
      </c>
      <c r="N27" s="9" t="n">
        <v>6800</v>
      </c>
      <c r="O27" s="11" t="n">
        <v>0.8265</v>
      </c>
      <c r="P27" s="11" t="n">
        <v>0.3103</v>
      </c>
      <c r="Q27" s="11" t="n">
        <v>0.5161</v>
      </c>
      <c r="R27" s="15" t="inlineStr">
        <is>
          <t>EXCELENTE</t>
        </is>
      </c>
      <c r="S27" s="13" t="inlineStr">
        <is>
          <t>SI</t>
        </is>
      </c>
      <c r="T27" s="8" t="inlineStr">
        <is>
          <t>no</t>
        </is>
      </c>
    </row>
    <row r="28">
      <c r="A28" s="8" t="inlineStr">
        <is>
          <t>CHILE</t>
        </is>
      </c>
      <c r="B28" s="8" t="inlineStr">
        <is>
          <t>BALANCE</t>
        </is>
      </c>
      <c r="C28" s="8" t="inlineStr">
        <is>
          <t>5 L</t>
        </is>
      </c>
      <c r="D28" s="8" t="inlineStr">
        <is>
          <t>AV BALANCE</t>
        </is>
      </c>
      <c r="E28" s="9" t="n">
        <v>2481785</v>
      </c>
      <c r="F28" s="9" t="n">
        <v>0</v>
      </c>
      <c r="G28" s="9" t="n">
        <v>180</v>
      </c>
      <c r="H28" s="10" t="n">
        <v>9</v>
      </c>
      <c r="I28" s="8" t="inlineStr">
        <is>
          <t>CLP</t>
        </is>
      </c>
      <c r="J28" s="9" t="n">
        <v>13787.6944</v>
      </c>
      <c r="K28" s="9" t="n">
        <v>3514.8</v>
      </c>
      <c r="L28" s="9" t="n">
        <v>5096.46</v>
      </c>
      <c r="M28" s="9" t="n">
        <v>14000</v>
      </c>
      <c r="N28" s="9" t="n">
        <v>13787.6944</v>
      </c>
      <c r="O28" s="11" t="n">
        <v>0.7451000000000001</v>
      </c>
      <c r="P28" s="11" t="n">
        <v>0.3103</v>
      </c>
      <c r="Q28" s="11" t="n">
        <v>0.4347</v>
      </c>
      <c r="R28" s="15" t="inlineStr">
        <is>
          <t>EXCELENTE</t>
        </is>
      </c>
      <c r="S28" s="13" t="inlineStr">
        <is>
          <t>SI</t>
        </is>
      </c>
      <c r="T28" s="8" t="inlineStr">
        <is>
          <t>no</t>
        </is>
      </c>
    </row>
    <row r="29">
      <c r="A29" s="8" t="inlineStr">
        <is>
          <t>CHILE</t>
        </is>
      </c>
      <c r="B29" s="8" t="inlineStr">
        <is>
          <t>PLUS MAGNESIO</t>
        </is>
      </c>
      <c r="C29" s="8" t="inlineStr">
        <is>
          <t>20 L</t>
        </is>
      </c>
      <c r="D29" s="8" t="inlineStr">
        <is>
          <t>AV PLUS MAGNESIO</t>
        </is>
      </c>
      <c r="E29" s="9" t="n">
        <v>2200569</v>
      </c>
      <c r="F29" s="9" t="n">
        <v>0</v>
      </c>
      <c r="G29" s="9" t="n">
        <v>700</v>
      </c>
      <c r="H29" s="10" t="n">
        <v>7</v>
      </c>
      <c r="I29" s="8" t="inlineStr">
        <is>
          <t>CLP</t>
        </is>
      </c>
      <c r="J29" s="9" t="n">
        <v>3143.67</v>
      </c>
      <c r="K29" s="9" t="n">
        <v>1444.7</v>
      </c>
      <c r="L29" s="9" t="n">
        <v>2094.815</v>
      </c>
      <c r="M29" s="9" t="n">
        <v>3200</v>
      </c>
      <c r="N29" s="9" t="n">
        <v>3143.67</v>
      </c>
      <c r="O29" s="11" t="n">
        <v>0.5404</v>
      </c>
      <c r="P29" s="11" t="n">
        <v>0.3103</v>
      </c>
      <c r="Q29" s="11" t="n">
        <v>0.2301</v>
      </c>
      <c r="R29" s="15" t="inlineStr">
        <is>
          <t>EXCELENTE</t>
        </is>
      </c>
      <c r="S29" s="13" t="inlineStr">
        <is>
          <t>SI</t>
        </is>
      </c>
      <c r="T29" s="8" t="inlineStr">
        <is>
          <t>no</t>
        </is>
      </c>
    </row>
    <row r="30">
      <c r="A30" s="8" t="inlineStr">
        <is>
          <t>CHILE</t>
        </is>
      </c>
      <c r="B30" s="8" t="inlineStr">
        <is>
          <t>CYTO PRIME</t>
        </is>
      </c>
      <c r="C30" s="8" t="inlineStr">
        <is>
          <t>20 L</t>
        </is>
      </c>
      <c r="D30" s="8" t="inlineStr">
        <is>
          <t>AV CYTO PRIME</t>
        </is>
      </c>
      <c r="E30" s="9" t="n">
        <v>2016000</v>
      </c>
      <c r="F30" s="9" t="n">
        <v>320000</v>
      </c>
      <c r="G30" s="9" t="n">
        <v>120</v>
      </c>
      <c r="H30" s="10" t="n">
        <v>4</v>
      </c>
      <c r="I30" s="8" t="inlineStr">
        <is>
          <t>CLP</t>
        </is>
      </c>
      <c r="J30" s="9" t="n">
        <v>16800</v>
      </c>
      <c r="K30" s="9" t="n">
        <v>2667</v>
      </c>
      <c r="L30" s="9" t="n">
        <v>3867.15</v>
      </c>
      <c r="M30" s="9" t="n">
        <v>15800</v>
      </c>
      <c r="N30" s="9" t="n">
        <v>16800</v>
      </c>
      <c r="O30" s="11" t="n">
        <v>0.8412000000000001</v>
      </c>
      <c r="P30" s="11" t="n">
        <v>0.3103</v>
      </c>
      <c r="Q30" s="11" t="n">
        <v>0.5309</v>
      </c>
      <c r="R30" s="15" t="inlineStr">
        <is>
          <t>EXCELENTE</t>
        </is>
      </c>
      <c r="S30" s="8" t="inlineStr">
        <is>
          <t>no</t>
        </is>
      </c>
      <c r="T30" s="8" t="inlineStr">
        <is>
          <t>no</t>
        </is>
      </c>
    </row>
    <row r="31">
      <c r="A31" s="8" t="inlineStr">
        <is>
          <t>CHILE</t>
        </is>
      </c>
      <c r="B31" s="8" t="inlineStr">
        <is>
          <t>MOVE</t>
        </is>
      </c>
      <c r="C31" s="8" t="inlineStr"/>
      <c r="D31" s="8" t="inlineStr">
        <is>
          <t>AV MOVE</t>
        </is>
      </c>
      <c r="E31" s="9" t="n">
        <v>2003760</v>
      </c>
      <c r="F31" s="9" t="n">
        <v>0</v>
      </c>
      <c r="G31" s="9" t="n">
        <v>266</v>
      </c>
      <c r="H31" s="10" t="n">
        <v>5</v>
      </c>
      <c r="I31" s="8" t="inlineStr">
        <is>
          <t>CLP</t>
        </is>
      </c>
      <c r="J31" s="9" t="n">
        <v>7532.9323</v>
      </c>
      <c r="K31" s="9" t="n">
        <v>4631</v>
      </c>
      <c r="L31" s="9" t="n">
        <v>6714.95</v>
      </c>
      <c r="M31" s="9" t="n">
        <v>8800</v>
      </c>
      <c r="N31" s="9" t="n">
        <v>7532.9323</v>
      </c>
      <c r="O31" s="11" t="n">
        <v>0.3852</v>
      </c>
      <c r="P31" s="11" t="n">
        <v>0.3103</v>
      </c>
      <c r="Q31" s="11" t="n">
        <v>0.07490000000000001</v>
      </c>
      <c r="R31" s="15" t="inlineStr">
        <is>
          <t>EXCELENTE</t>
        </is>
      </c>
      <c r="S31" s="13" t="inlineStr">
        <is>
          <t>SI</t>
        </is>
      </c>
      <c r="T31" s="8" t="inlineStr">
        <is>
          <t>no</t>
        </is>
      </c>
    </row>
    <row r="32">
      <c r="A32" s="8" t="inlineStr">
        <is>
          <t>CHILE</t>
        </is>
      </c>
      <c r="B32" s="8" t="inlineStr">
        <is>
          <t>ALGAP 30</t>
        </is>
      </c>
      <c r="C32" s="8" t="inlineStr">
        <is>
          <t>20 L</t>
        </is>
      </c>
      <c r="D32" s="8" t="inlineStr">
        <is>
          <t>AV ALGAP 30</t>
        </is>
      </c>
      <c r="E32" s="9" t="n">
        <v>1767855</v>
      </c>
      <c r="F32" s="9" t="n">
        <v>200000</v>
      </c>
      <c r="G32" s="9" t="n">
        <v>360</v>
      </c>
      <c r="H32" s="10" t="n">
        <v>7</v>
      </c>
      <c r="I32" s="8" t="inlineStr">
        <is>
          <t>CLP</t>
        </is>
      </c>
      <c r="J32" s="9" t="n">
        <v>4910.7083</v>
      </c>
      <c r="K32" s="9" t="n">
        <v>1882.2</v>
      </c>
      <c r="L32" s="9" t="n">
        <v>2729.19</v>
      </c>
      <c r="M32" s="9" t="n">
        <v>4000</v>
      </c>
      <c r="N32" s="9" t="n">
        <v>4910.7083</v>
      </c>
      <c r="O32" s="11" t="n">
        <v>0.6167</v>
      </c>
      <c r="P32" s="11" t="n">
        <v>0.3103</v>
      </c>
      <c r="Q32" s="11" t="n">
        <v>0.3064</v>
      </c>
      <c r="R32" s="15" t="inlineStr">
        <is>
          <t>EXCELENTE</t>
        </is>
      </c>
      <c r="S32" s="8" t="inlineStr">
        <is>
          <t>no</t>
        </is>
      </c>
      <c r="T32" s="8" t="inlineStr">
        <is>
          <t>no</t>
        </is>
      </c>
    </row>
    <row r="33">
      <c r="A33" s="8" t="inlineStr">
        <is>
          <t>CHILE</t>
        </is>
      </c>
      <c r="B33" s="8" t="inlineStr">
        <is>
          <t>SILFORTE</t>
        </is>
      </c>
      <c r="C33" s="8" t="inlineStr">
        <is>
          <t>200 L</t>
        </is>
      </c>
      <c r="D33" s="8" t="inlineStr">
        <is>
          <t>AV SILFORTE</t>
        </is>
      </c>
      <c r="E33" s="9" t="n">
        <v>1515000</v>
      </c>
      <c r="F33" s="9" t="n">
        <v>0</v>
      </c>
      <c r="G33" s="9" t="n">
        <v>200</v>
      </c>
      <c r="H33" s="10" t="n">
        <v>1</v>
      </c>
      <c r="I33" s="8" t="inlineStr">
        <is>
          <t>CLP</t>
        </is>
      </c>
      <c r="J33" s="9" t="n">
        <v>7575</v>
      </c>
      <c r="K33" s="9" t="n">
        <v>2038.15</v>
      </c>
      <c r="L33" s="9" t="n">
        <v>2955.3175</v>
      </c>
      <c r="M33" s="9" t="n">
        <v>8800</v>
      </c>
      <c r="N33" s="9" t="n">
        <v>7575</v>
      </c>
      <c r="O33" s="11" t="n">
        <v>0.7309</v>
      </c>
      <c r="P33" s="11" t="n">
        <v>0.3103</v>
      </c>
      <c r="Q33" s="11" t="n">
        <v>0.4206</v>
      </c>
      <c r="R33" s="15" t="inlineStr">
        <is>
          <t>EXCELENTE</t>
        </is>
      </c>
      <c r="S33" s="13" t="inlineStr">
        <is>
          <t>SI</t>
        </is>
      </c>
      <c r="T33" s="8" t="inlineStr">
        <is>
          <t>no</t>
        </is>
      </c>
    </row>
    <row r="34">
      <c r="A34" s="8" t="inlineStr">
        <is>
          <t>CHILE</t>
        </is>
      </c>
      <c r="B34" s="8" t="inlineStr">
        <is>
          <t>MOVE</t>
        </is>
      </c>
      <c r="C34" s="8" t="inlineStr">
        <is>
          <t>5 L</t>
        </is>
      </c>
      <c r="D34" s="8" t="inlineStr">
        <is>
          <t>AV MOVE</t>
        </is>
      </c>
      <c r="E34" s="9" t="n">
        <v>1487337</v>
      </c>
      <c r="F34" s="9" t="n">
        <v>312650</v>
      </c>
      <c r="G34" s="9" t="n">
        <v>180</v>
      </c>
      <c r="H34" s="10" t="n">
        <v>19</v>
      </c>
      <c r="I34" s="8" t="inlineStr">
        <is>
          <t>CLP</t>
        </is>
      </c>
      <c r="J34" s="9" t="n">
        <v>8262.9833</v>
      </c>
      <c r="K34" s="9" t="n">
        <v>3514.8</v>
      </c>
      <c r="L34" s="9" t="n">
        <v>5096.46</v>
      </c>
      <c r="M34" s="9" t="n">
        <v>7800</v>
      </c>
      <c r="N34" s="9" t="n">
        <v>8262.9833</v>
      </c>
      <c r="O34" s="11" t="n">
        <v>0.5746</v>
      </c>
      <c r="P34" s="11" t="n">
        <v>0.3103</v>
      </c>
      <c r="Q34" s="11" t="n">
        <v>0.2643</v>
      </c>
      <c r="R34" s="15" t="inlineStr">
        <is>
          <t>EXCELENTE</t>
        </is>
      </c>
      <c r="S34" s="8" t="inlineStr">
        <is>
          <t>no</t>
        </is>
      </c>
      <c r="T34" s="8" t="inlineStr">
        <is>
          <t>no</t>
        </is>
      </c>
    </row>
    <row r="35">
      <c r="A35" s="8" t="inlineStr">
        <is>
          <t>CHILE</t>
        </is>
      </c>
      <c r="B35" s="8" t="inlineStr">
        <is>
          <t>ALGAP 30</t>
        </is>
      </c>
      <c r="C35" s="8" t="inlineStr"/>
      <c r="D35" s="8" t="inlineStr">
        <is>
          <t>AV ALGAP 30</t>
        </is>
      </c>
      <c r="E35" s="9" t="n">
        <v>1314000</v>
      </c>
      <c r="F35" s="9" t="n">
        <v>0</v>
      </c>
      <c r="G35" s="9" t="n">
        <v>180</v>
      </c>
      <c r="H35" s="10" t="n">
        <v>3</v>
      </c>
      <c r="I35" s="8" t="inlineStr">
        <is>
          <t>CLP</t>
        </is>
      </c>
      <c r="J35" s="9" t="n">
        <v>7300</v>
      </c>
      <c r="K35" s="9" t="n">
        <v>3715</v>
      </c>
      <c r="L35" s="9" t="n">
        <v>5386.75</v>
      </c>
      <c r="M35" s="9" t="n">
        <v>6800</v>
      </c>
      <c r="N35" s="9" t="n">
        <v>7300</v>
      </c>
      <c r="O35" s="11" t="n">
        <v>0.4911</v>
      </c>
      <c r="P35" s="11" t="n">
        <v>0.3103</v>
      </c>
      <c r="Q35" s="11" t="n">
        <v>0.1808</v>
      </c>
      <c r="R35" s="15" t="inlineStr">
        <is>
          <t>EXCELENTE</t>
        </is>
      </c>
      <c r="S35" s="8" t="inlineStr">
        <is>
          <t>no</t>
        </is>
      </c>
      <c r="T35" s="8" t="inlineStr">
        <is>
          <t>no</t>
        </is>
      </c>
    </row>
    <row r="36">
      <c r="A36" s="8" t="inlineStr">
        <is>
          <t>CHILE</t>
        </is>
      </c>
      <c r="B36" s="8" t="inlineStr">
        <is>
          <t>PLUS ZINC MANGANESO</t>
        </is>
      </c>
      <c r="C36" s="8" t="inlineStr">
        <is>
          <t>20 L</t>
        </is>
      </c>
      <c r="D36" s="8" t="inlineStr">
        <is>
          <t>AV PLUS ZINC MANGANESO</t>
        </is>
      </c>
      <c r="E36" s="9" t="n">
        <v>1112085</v>
      </c>
      <c r="F36" s="9" t="n">
        <v>675160</v>
      </c>
      <c r="G36" s="9" t="n">
        <v>340</v>
      </c>
      <c r="H36" s="10" t="n">
        <v>6</v>
      </c>
      <c r="I36" s="8" t="inlineStr">
        <is>
          <t>CLP</t>
        </is>
      </c>
      <c r="J36" s="9" t="n">
        <v>3270.8382</v>
      </c>
      <c r="K36" s="9" t="n">
        <v>1838.4</v>
      </c>
      <c r="L36" s="9" t="n">
        <v>2665.68</v>
      </c>
      <c r="M36" s="9" t="n">
        <v>4500</v>
      </c>
      <c r="N36" s="9" t="n">
        <v>3270.8382</v>
      </c>
      <c r="O36" s="11" t="n">
        <v>0.4379</v>
      </c>
      <c r="P36" s="11" t="n">
        <v>0.3103</v>
      </c>
      <c r="Q36" s="11" t="n">
        <v>0.1276</v>
      </c>
      <c r="R36" s="15" t="inlineStr">
        <is>
          <t>EXCELENTE</t>
        </is>
      </c>
      <c r="S36" s="13" t="inlineStr">
        <is>
          <t>SI</t>
        </is>
      </c>
      <c r="T36" s="8" t="inlineStr">
        <is>
          <t>no</t>
        </is>
      </c>
    </row>
    <row r="37">
      <c r="A37" s="8" t="inlineStr">
        <is>
          <t>CHILE</t>
        </is>
      </c>
      <c r="B37" s="8" t="inlineStr">
        <is>
          <t>MAX FULVIC 45%</t>
        </is>
      </c>
      <c r="C37" s="8" t="inlineStr">
        <is>
          <t>200 L</t>
        </is>
      </c>
      <c r="D37" s="8" t="inlineStr">
        <is>
          <t>AV MAX FULVIC 45%</t>
        </is>
      </c>
      <c r="E37" s="9" t="n">
        <v>1102000</v>
      </c>
      <c r="F37" s="9" t="n">
        <v>0</v>
      </c>
      <c r="G37" s="9" t="n">
        <v>380</v>
      </c>
      <c r="H37" s="10" t="n">
        <v>1</v>
      </c>
      <c r="I37" s="8" t="inlineStr">
        <is>
          <t>CLP</t>
        </is>
      </c>
      <c r="J37" s="9" t="n">
        <v>2900</v>
      </c>
      <c r="K37" s="9" t="n">
        <v>1223.05</v>
      </c>
      <c r="L37" s="9" t="n">
        <v>1773.4225</v>
      </c>
      <c r="M37" s="9" t="n">
        <v>3200</v>
      </c>
      <c r="N37" s="9" t="n">
        <v>2900</v>
      </c>
      <c r="O37" s="11" t="n">
        <v>0.5783</v>
      </c>
      <c r="P37" s="11" t="n">
        <v>0.3103</v>
      </c>
      <c r="Q37" s="11" t="n">
        <v>0.2679</v>
      </c>
      <c r="R37" s="15" t="inlineStr">
        <is>
          <t>EXCELENTE</t>
        </is>
      </c>
      <c r="S37" s="13" t="inlineStr">
        <is>
          <t>SI</t>
        </is>
      </c>
      <c r="T37" s="8" t="inlineStr">
        <is>
          <t>no</t>
        </is>
      </c>
    </row>
    <row r="38">
      <c r="A38" s="8" t="inlineStr">
        <is>
          <t>CHILE</t>
        </is>
      </c>
      <c r="B38" s="8" t="inlineStr">
        <is>
          <t>PLUS POTASIO</t>
        </is>
      </c>
      <c r="C38" s="8" t="inlineStr">
        <is>
          <t>5 L</t>
        </is>
      </c>
      <c r="D38" s="8" t="inlineStr">
        <is>
          <t>AV PLUS POTASIO</t>
        </is>
      </c>
      <c r="E38" s="9" t="n">
        <v>1088401</v>
      </c>
      <c r="F38" s="9" t="n">
        <v>46000</v>
      </c>
      <c r="G38" s="9" t="n">
        <v>255</v>
      </c>
      <c r="H38" s="10" t="n">
        <v>11</v>
      </c>
      <c r="I38" s="8" t="inlineStr">
        <is>
          <t>CLP</t>
        </is>
      </c>
      <c r="J38" s="9" t="n">
        <v>4268.2392</v>
      </c>
      <c r="K38" s="9" t="n">
        <v>2588.8</v>
      </c>
      <c r="L38" s="9" t="n">
        <v>3753.76</v>
      </c>
      <c r="M38" s="9" t="n">
        <v>5000</v>
      </c>
      <c r="N38" s="9" t="n">
        <v>4268.2392</v>
      </c>
      <c r="O38" s="11" t="n">
        <v>0.3935</v>
      </c>
      <c r="P38" s="11" t="n">
        <v>0.3103</v>
      </c>
      <c r="Q38" s="11" t="n">
        <v>0.08310000000000001</v>
      </c>
      <c r="R38" s="15" t="inlineStr">
        <is>
          <t>EXCELENTE</t>
        </is>
      </c>
      <c r="S38" s="13" t="inlineStr">
        <is>
          <t>SI</t>
        </is>
      </c>
      <c r="T38" s="8" t="inlineStr">
        <is>
          <t>no</t>
        </is>
      </c>
    </row>
    <row r="39">
      <c r="A39" s="8" t="inlineStr">
        <is>
          <t>CHILE</t>
        </is>
      </c>
      <c r="B39" s="8" t="inlineStr">
        <is>
          <t>PLUS POTASIO</t>
        </is>
      </c>
      <c r="C39" s="8" t="inlineStr">
        <is>
          <t>1 L</t>
        </is>
      </c>
      <c r="D39" s="8" t="inlineStr">
        <is>
          <t>AV PLUS POTASIO</t>
        </is>
      </c>
      <c r="E39" s="9" t="n">
        <v>1065096</v>
      </c>
      <c r="F39" s="9" t="n">
        <v>0</v>
      </c>
      <c r="G39" s="9" t="n">
        <v>184</v>
      </c>
      <c r="H39" s="10" t="n">
        <v>15</v>
      </c>
      <c r="I39" s="8" t="inlineStr">
        <is>
          <t>CLP</t>
        </is>
      </c>
      <c r="J39" s="9" t="n">
        <v>5788.5652</v>
      </c>
      <c r="K39" s="9" t="n">
        <v>3705</v>
      </c>
      <c r="L39" s="9" t="n">
        <v>5372.25</v>
      </c>
      <c r="M39" s="9" t="n">
        <v>6800</v>
      </c>
      <c r="N39" s="9" t="n">
        <v>5788.5652</v>
      </c>
      <c r="O39" s="11" t="n">
        <v>0.3599</v>
      </c>
      <c r="P39" s="11" t="n">
        <v>0.3103</v>
      </c>
      <c r="Q39" s="11" t="n">
        <v>0.0496</v>
      </c>
      <c r="R39" s="15" t="inlineStr">
        <is>
          <t>EXCELENTE</t>
        </is>
      </c>
      <c r="S39" s="13" t="inlineStr">
        <is>
          <t>SI</t>
        </is>
      </c>
      <c r="T39" s="8" t="inlineStr">
        <is>
          <t>no</t>
        </is>
      </c>
    </row>
    <row r="40">
      <c r="A40" s="8" t="inlineStr">
        <is>
          <t>CHILE</t>
        </is>
      </c>
      <c r="B40" s="8" t="inlineStr">
        <is>
          <t>AMIN</t>
        </is>
      </c>
      <c r="C40" s="8" t="inlineStr"/>
      <c r="D40" s="8" t="inlineStr">
        <is>
          <t>AV AMIN</t>
        </is>
      </c>
      <c r="E40" s="9" t="n">
        <v>984150</v>
      </c>
      <c r="F40" s="9" t="n">
        <v>0</v>
      </c>
      <c r="G40" s="9" t="n">
        <v>186</v>
      </c>
      <c r="H40" s="10" t="n">
        <v>4</v>
      </c>
      <c r="I40" s="8" t="inlineStr">
        <is>
          <t>CLP</t>
        </is>
      </c>
      <c r="J40" s="9" t="n">
        <v>5291.129</v>
      </c>
      <c r="K40" s="9" t="n">
        <v>3669</v>
      </c>
      <c r="L40" s="9" t="n">
        <v>5320.05</v>
      </c>
      <c r="M40" s="9" t="n">
        <v>7800</v>
      </c>
      <c r="N40" s="9" t="n">
        <v>5320.05</v>
      </c>
      <c r="O40" s="11" t="n">
        <v>0.3066</v>
      </c>
      <c r="P40" s="11" t="n">
        <v>0.3103</v>
      </c>
      <c r="Q40" s="11" t="n">
        <v>-0.0038</v>
      </c>
      <c r="R40" s="15" t="inlineStr">
        <is>
          <t>EXCELENTE</t>
        </is>
      </c>
      <c r="S40" s="13" t="inlineStr">
        <is>
          <t>SI</t>
        </is>
      </c>
      <c r="T40" s="8" t="inlineStr">
        <is>
          <t>no</t>
        </is>
      </c>
    </row>
    <row r="41">
      <c r="A41" s="8" t="inlineStr">
        <is>
          <t>CHILE</t>
        </is>
      </c>
      <c r="B41" s="8" t="inlineStr">
        <is>
          <t>AMIN SUGAR</t>
        </is>
      </c>
      <c r="C41" s="8" t="inlineStr">
        <is>
          <t>200 L</t>
        </is>
      </c>
      <c r="D41" s="8" t="inlineStr">
        <is>
          <t>AV AMIN SUGAR</t>
        </is>
      </c>
      <c r="E41" s="9" t="n">
        <v>900000</v>
      </c>
      <c r="F41" s="9" t="n">
        <v>0</v>
      </c>
      <c r="G41" s="9" t="n">
        <v>200</v>
      </c>
      <c r="H41" s="10" t="n">
        <v>1</v>
      </c>
      <c r="I41" s="8" t="inlineStr">
        <is>
          <t>CLP</t>
        </is>
      </c>
      <c r="J41" s="9" t="n">
        <v>4500</v>
      </c>
      <c r="K41" s="9" t="n">
        <v>1192.455</v>
      </c>
      <c r="L41" s="9" t="n">
        <v>1729.0597</v>
      </c>
      <c r="M41" s="9" t="n">
        <v>4000</v>
      </c>
      <c r="N41" s="9" t="n">
        <v>4500</v>
      </c>
      <c r="O41" s="11" t="n">
        <v>0.735</v>
      </c>
      <c r="P41" s="11" t="n">
        <v>0.3103</v>
      </c>
      <c r="Q41" s="11" t="n">
        <v>0.4247</v>
      </c>
      <c r="R41" s="15" t="inlineStr">
        <is>
          <t>EXCELENTE</t>
        </is>
      </c>
      <c r="S41" s="8" t="inlineStr">
        <is>
          <t>no</t>
        </is>
      </c>
      <c r="T41" s="8" t="inlineStr">
        <is>
          <t>no</t>
        </is>
      </c>
    </row>
    <row r="42">
      <c r="A42" s="8" t="inlineStr">
        <is>
          <t>CHILE</t>
        </is>
      </c>
      <c r="B42" s="8" t="inlineStr">
        <is>
          <t>PLUS MICRO MIX</t>
        </is>
      </c>
      <c r="C42" s="8" t="inlineStr">
        <is>
          <t>200 L</t>
        </is>
      </c>
      <c r="D42" s="8" t="inlineStr">
        <is>
          <t>AV PLUS MICRO MIX</t>
        </is>
      </c>
      <c r="E42" s="9" t="n">
        <v>900000</v>
      </c>
      <c r="F42" s="9" t="n">
        <v>0</v>
      </c>
      <c r="G42" s="9" t="n">
        <v>200</v>
      </c>
      <c r="H42" s="10" t="n">
        <v>1</v>
      </c>
      <c r="I42" s="8" t="inlineStr">
        <is>
          <t>CLP</t>
        </is>
      </c>
      <c r="J42" s="9" t="n">
        <v>4500</v>
      </c>
      <c r="K42" s="9" t="n">
        <v>2251.27</v>
      </c>
      <c r="L42" s="9" t="n">
        <v>3264.3415</v>
      </c>
      <c r="M42" s="9" t="n">
        <v>4500</v>
      </c>
      <c r="N42" s="9" t="n">
        <v>4500</v>
      </c>
      <c r="O42" s="11" t="n">
        <v>0.4997</v>
      </c>
      <c r="P42" s="11" t="n">
        <v>0.3103</v>
      </c>
      <c r="Q42" s="11" t="n">
        <v>0.1894</v>
      </c>
      <c r="R42" s="15" t="inlineStr">
        <is>
          <t>EXCELENTE</t>
        </is>
      </c>
      <c r="S42" s="8" t="inlineStr">
        <is>
          <t>no</t>
        </is>
      </c>
      <c r="T42" s="8" t="inlineStr">
        <is>
          <t>no</t>
        </is>
      </c>
    </row>
    <row r="43">
      <c r="A43" s="8" t="inlineStr">
        <is>
          <t>CHILE</t>
        </is>
      </c>
      <c r="B43" s="8" t="inlineStr">
        <is>
          <t>ALGAP 30</t>
        </is>
      </c>
      <c r="C43" s="8" t="inlineStr">
        <is>
          <t>200 L</t>
        </is>
      </c>
      <c r="D43" s="8" t="inlineStr">
        <is>
          <t>AV ALGAP 30</t>
        </is>
      </c>
      <c r="E43" s="9" t="n">
        <v>800000</v>
      </c>
      <c r="F43" s="9" t="n">
        <v>0</v>
      </c>
      <c r="G43" s="9" t="n">
        <v>200</v>
      </c>
      <c r="H43" s="10" t="n">
        <v>1</v>
      </c>
      <c r="I43" s="8" t="inlineStr">
        <is>
          <t>CLP</t>
        </is>
      </c>
      <c r="J43" s="9" t="n">
        <v>4000</v>
      </c>
      <c r="K43" s="9" t="n">
        <v>1600.65</v>
      </c>
      <c r="L43" s="9" t="n">
        <v>2320.9425</v>
      </c>
      <c r="M43" s="9" t="n">
        <v>3500</v>
      </c>
      <c r="N43" s="9" t="n">
        <v>4000</v>
      </c>
      <c r="O43" s="11" t="n">
        <v>0.5998</v>
      </c>
      <c r="P43" s="11" t="n">
        <v>0.3103</v>
      </c>
      <c r="Q43" s="11" t="n">
        <v>0.2895</v>
      </c>
      <c r="R43" s="15" t="inlineStr">
        <is>
          <t>EXCELENTE</t>
        </is>
      </c>
      <c r="S43" s="8" t="inlineStr">
        <is>
          <t>no</t>
        </is>
      </c>
      <c r="T43" s="8" t="inlineStr">
        <is>
          <t>no</t>
        </is>
      </c>
    </row>
    <row r="44">
      <c r="A44" s="8" t="inlineStr">
        <is>
          <t>CHILE</t>
        </is>
      </c>
      <c r="B44" s="8" t="inlineStr">
        <is>
          <t>BIOSOLARIS</t>
        </is>
      </c>
      <c r="C44" s="8" t="inlineStr">
        <is>
          <t>20 L</t>
        </is>
      </c>
      <c r="D44" s="8" t="inlineStr">
        <is>
          <t>AV BIOSOLARIS</t>
        </is>
      </c>
      <c r="E44" s="9" t="n">
        <v>772000</v>
      </c>
      <c r="F44" s="9" t="n">
        <v>0</v>
      </c>
      <c r="G44" s="9" t="n">
        <v>60</v>
      </c>
      <c r="H44" s="10" t="n">
        <v>2</v>
      </c>
      <c r="I44" s="8" t="inlineStr">
        <is>
          <t>CLP</t>
        </is>
      </c>
      <c r="J44" s="9" t="n">
        <v>12866.6667</v>
      </c>
      <c r="K44" s="9" t="n">
        <v>2309.75</v>
      </c>
      <c r="L44" s="9" t="n">
        <v>3349.1375</v>
      </c>
      <c r="M44" s="9" t="n">
        <v>14000</v>
      </c>
      <c r="N44" s="9" t="n">
        <v>12866.6667</v>
      </c>
      <c r="O44" s="11" t="n">
        <v>0.8205</v>
      </c>
      <c r="P44" s="11" t="n">
        <v>0.3103</v>
      </c>
      <c r="Q44" s="11" t="n">
        <v>0.5101</v>
      </c>
      <c r="R44" s="15" t="inlineStr">
        <is>
          <t>EXCELENTE</t>
        </is>
      </c>
      <c r="S44" s="13" t="inlineStr">
        <is>
          <t>SI</t>
        </is>
      </c>
      <c r="T44" s="8" t="inlineStr">
        <is>
          <t>no</t>
        </is>
      </c>
    </row>
    <row r="45">
      <c r="A45" s="8" t="inlineStr">
        <is>
          <t>CHILE</t>
        </is>
      </c>
      <c r="B45" s="8" t="inlineStr">
        <is>
          <t>BIOVECA NEMA OFF</t>
        </is>
      </c>
      <c r="C45" s="8" t="inlineStr">
        <is>
          <t>500 G</t>
        </is>
      </c>
      <c r="D45" s="8" t="inlineStr">
        <is>
          <t>BIOVECA NEMA OFF</t>
        </is>
      </c>
      <c r="E45" s="9" t="n">
        <v>711250</v>
      </c>
      <c r="F45" s="9" t="n">
        <v>415170</v>
      </c>
      <c r="G45" s="9" t="n">
        <v>18</v>
      </c>
      <c r="H45" s="10" t="n">
        <v>4</v>
      </c>
      <c r="I45" s="8" t="inlineStr">
        <is>
          <t>CLP</t>
        </is>
      </c>
      <c r="J45" s="9" t="n">
        <v>39513.8889</v>
      </c>
      <c r="K45" s="9" t="n">
        <v>10500</v>
      </c>
      <c r="L45" s="9" t="n">
        <v>15225</v>
      </c>
      <c r="M45" s="9" t="n">
        <v>35000</v>
      </c>
      <c r="N45" s="9" t="n">
        <v>39513.8889</v>
      </c>
      <c r="O45" s="11" t="n">
        <v>0.7343000000000001</v>
      </c>
      <c r="P45" s="11" t="n">
        <v>0.3103</v>
      </c>
      <c r="Q45" s="11" t="n">
        <v>0.4239</v>
      </c>
      <c r="R45" s="15" t="inlineStr">
        <is>
          <t>EXCELENTE</t>
        </is>
      </c>
      <c r="S45" s="8" t="inlineStr">
        <is>
          <t>no</t>
        </is>
      </c>
      <c r="T45" s="8" t="inlineStr">
        <is>
          <t>no</t>
        </is>
      </c>
    </row>
    <row r="46">
      <c r="A46" s="8" t="inlineStr">
        <is>
          <t>CHILE</t>
        </is>
      </c>
      <c r="B46" s="8" t="inlineStr">
        <is>
          <t>BLOOM</t>
        </is>
      </c>
      <c r="C46" s="8" t="inlineStr">
        <is>
          <t>5 L</t>
        </is>
      </c>
      <c r="D46" s="8" t="inlineStr">
        <is>
          <t>AV BLOOM</t>
        </is>
      </c>
      <c r="E46" s="9" t="n">
        <v>666402</v>
      </c>
      <c r="F46" s="9" t="n">
        <v>0</v>
      </c>
      <c r="G46" s="9" t="n">
        <v>80</v>
      </c>
      <c r="H46" s="10" t="n">
        <v>6</v>
      </c>
      <c r="I46" s="8" t="inlineStr">
        <is>
          <t>CLP</t>
        </is>
      </c>
      <c r="J46" s="9" t="n">
        <v>8330.025</v>
      </c>
      <c r="K46" s="9" t="n">
        <v>2980.2</v>
      </c>
      <c r="L46" s="9" t="n">
        <v>4321.29</v>
      </c>
      <c r="M46" s="9" t="n">
        <v>9500</v>
      </c>
      <c r="N46" s="9" t="n">
        <v>8330.025</v>
      </c>
      <c r="O46" s="11" t="n">
        <v>0.6422</v>
      </c>
      <c r="P46" s="11" t="n">
        <v>0.3103</v>
      </c>
      <c r="Q46" s="11" t="n">
        <v>0.3319</v>
      </c>
      <c r="R46" s="15" t="inlineStr">
        <is>
          <t>EXCELENTE</t>
        </is>
      </c>
      <c r="S46" s="13" t="inlineStr">
        <is>
          <t>SI</t>
        </is>
      </c>
      <c r="T46" s="8" t="inlineStr">
        <is>
          <t>no</t>
        </is>
      </c>
    </row>
    <row r="47">
      <c r="A47" s="8" t="inlineStr">
        <is>
          <t>CHILE</t>
        </is>
      </c>
      <c r="B47" s="8" t="inlineStr">
        <is>
          <t>BALANCE</t>
        </is>
      </c>
      <c r="C47" s="8" t="inlineStr">
        <is>
          <t>1 L</t>
        </is>
      </c>
      <c r="D47" s="8" t="inlineStr">
        <is>
          <t>AV BALANCE</t>
        </is>
      </c>
      <c r="E47" s="9" t="n">
        <v>652758</v>
      </c>
      <c r="F47" s="9" t="n">
        <v>0</v>
      </c>
      <c r="G47" s="9" t="n">
        <v>45</v>
      </c>
      <c r="H47" s="10" t="n">
        <v>8</v>
      </c>
      <c r="I47" s="8" t="inlineStr">
        <is>
          <t>CLP</t>
        </is>
      </c>
      <c r="J47" s="9" t="n">
        <v>14505.7333</v>
      </c>
      <c r="K47" s="9" t="n">
        <v>4631</v>
      </c>
      <c r="L47" s="9" t="n">
        <v>6714.95</v>
      </c>
      <c r="M47" s="9" t="n">
        <v>15000</v>
      </c>
      <c r="N47" s="9" t="n">
        <v>14505.7333</v>
      </c>
      <c r="O47" s="11" t="n">
        <v>0.6807</v>
      </c>
      <c r="P47" s="11" t="n">
        <v>0.3103</v>
      </c>
      <c r="Q47" s="11" t="n">
        <v>0.3704</v>
      </c>
      <c r="R47" s="15" t="inlineStr">
        <is>
          <t>EXCELENTE</t>
        </is>
      </c>
      <c r="S47" s="13" t="inlineStr">
        <is>
          <t>SI</t>
        </is>
      </c>
      <c r="T47" s="8" t="inlineStr">
        <is>
          <t>no</t>
        </is>
      </c>
    </row>
    <row r="48">
      <c r="A48" s="8" t="inlineStr">
        <is>
          <t>CHILE</t>
        </is>
      </c>
      <c r="B48" s="8" t="inlineStr">
        <is>
          <t>BIOVECA FOLIAR</t>
        </is>
      </c>
      <c r="C48" s="8" t="inlineStr"/>
      <c r="D48" s="8" t="inlineStr">
        <is>
          <t>BIOVECA FOLIAR</t>
        </is>
      </c>
      <c r="E48" s="9" t="n">
        <v>648707</v>
      </c>
      <c r="F48" s="9" t="n">
        <v>0</v>
      </c>
      <c r="G48" s="9" t="n">
        <v>23</v>
      </c>
      <c r="H48" s="10" t="n">
        <v>3</v>
      </c>
      <c r="I48" s="8" t="inlineStr">
        <is>
          <t>CLP</t>
        </is>
      </c>
      <c r="J48" s="9" t="n">
        <v>28204.6522</v>
      </c>
      <c r="K48" s="9" t="n">
        <v>8500</v>
      </c>
      <c r="L48" s="9" t="n">
        <v>12325</v>
      </c>
      <c r="M48" s="9" t="n">
        <v>33500</v>
      </c>
      <c r="N48" s="9" t="n">
        <v>28204.6522</v>
      </c>
      <c r="O48" s="11" t="n">
        <v>0.6986</v>
      </c>
      <c r="P48" s="11" t="n">
        <v>0.3103</v>
      </c>
      <c r="Q48" s="11" t="n">
        <v>0.3883</v>
      </c>
      <c r="R48" s="15" t="inlineStr">
        <is>
          <t>EXCELENTE</t>
        </is>
      </c>
      <c r="S48" s="13" t="inlineStr">
        <is>
          <t>SI</t>
        </is>
      </c>
      <c r="T48" s="8" t="inlineStr">
        <is>
          <t>no</t>
        </is>
      </c>
    </row>
    <row r="49">
      <c r="A49" s="8" t="inlineStr">
        <is>
          <t>CHILE</t>
        </is>
      </c>
      <c r="B49" s="8" t="inlineStr">
        <is>
          <t>PLUS CALCIO BORO</t>
        </is>
      </c>
      <c r="C49" s="8" t="inlineStr">
        <is>
          <t>20 L</t>
        </is>
      </c>
      <c r="D49" s="8" t="inlineStr">
        <is>
          <t>AV PLUS CALCIO BORO</t>
        </is>
      </c>
      <c r="E49" s="9" t="n">
        <v>591315</v>
      </c>
      <c r="F49" s="9" t="n">
        <v>0</v>
      </c>
      <c r="G49" s="9" t="n">
        <v>140</v>
      </c>
      <c r="H49" s="10" t="n">
        <v>4</v>
      </c>
      <c r="I49" s="8" t="inlineStr">
        <is>
          <t>CLP</t>
        </is>
      </c>
      <c r="J49" s="9" t="n">
        <v>4223.6786</v>
      </c>
      <c r="K49" s="9" t="n">
        <v>1360.55</v>
      </c>
      <c r="L49" s="9" t="n">
        <v>1972.7975</v>
      </c>
      <c r="M49" s="9" t="n">
        <v>5000</v>
      </c>
      <c r="N49" s="9" t="n">
        <v>4223.6786</v>
      </c>
      <c r="O49" s="11" t="n">
        <v>0.6779000000000001</v>
      </c>
      <c r="P49" s="11" t="n">
        <v>0.3103</v>
      </c>
      <c r="Q49" s="11" t="n">
        <v>0.3675</v>
      </c>
      <c r="R49" s="15" t="inlineStr">
        <is>
          <t>EXCELENTE</t>
        </is>
      </c>
      <c r="S49" s="13" t="inlineStr">
        <is>
          <t>SI</t>
        </is>
      </c>
      <c r="T49" s="8" t="inlineStr">
        <is>
          <t>no</t>
        </is>
      </c>
    </row>
    <row r="50">
      <c r="A50" s="8" t="inlineStr">
        <is>
          <t>CHILE</t>
        </is>
      </c>
      <c r="B50" s="8" t="inlineStr">
        <is>
          <t>AMIN SUGAR</t>
        </is>
      </c>
      <c r="C50" s="8" t="inlineStr">
        <is>
          <t>5 L</t>
        </is>
      </c>
      <c r="D50" s="8" t="inlineStr">
        <is>
          <t>AV AMIN SUGAR</t>
        </is>
      </c>
      <c r="E50" s="9" t="n">
        <v>506707</v>
      </c>
      <c r="F50" s="9" t="n">
        <v>336725</v>
      </c>
      <c r="G50" s="9" t="n">
        <v>60</v>
      </c>
      <c r="H50" s="10" t="n">
        <v>5</v>
      </c>
      <c r="I50" s="8" t="inlineStr">
        <is>
          <t>CLP</t>
        </is>
      </c>
      <c r="J50" s="9" t="n">
        <v>8445.1167</v>
      </c>
      <c r="K50" s="9" t="n">
        <v>2473.4</v>
      </c>
      <c r="L50" s="9" t="n">
        <v>3586.43</v>
      </c>
      <c r="M50" s="9" t="n">
        <v>5800</v>
      </c>
      <c r="N50" s="9" t="n">
        <v>8445.1167</v>
      </c>
      <c r="O50" s="11" t="n">
        <v>0.7071</v>
      </c>
      <c r="P50" s="11" t="n">
        <v>0.3103</v>
      </c>
      <c r="Q50" s="11" t="n">
        <v>0.3968</v>
      </c>
      <c r="R50" s="15" t="inlineStr">
        <is>
          <t>EXCELENTE</t>
        </is>
      </c>
      <c r="S50" s="8" t="inlineStr">
        <is>
          <t>no</t>
        </is>
      </c>
      <c r="T50" s="8" t="inlineStr">
        <is>
          <t>no</t>
        </is>
      </c>
    </row>
    <row r="51">
      <c r="A51" s="8" t="inlineStr">
        <is>
          <t>CHILE</t>
        </is>
      </c>
      <c r="B51" s="8" t="inlineStr">
        <is>
          <t>PLUS CALCIO BORO</t>
        </is>
      </c>
      <c r="C51" s="8" t="inlineStr">
        <is>
          <t>1 L</t>
        </is>
      </c>
      <c r="D51" s="8" t="inlineStr">
        <is>
          <t>AV PLUS CALCIO BORO</t>
        </is>
      </c>
      <c r="E51" s="9" t="n">
        <v>503800</v>
      </c>
      <c r="F51" s="9" t="n">
        <v>0</v>
      </c>
      <c r="G51" s="9" t="n">
        <v>76</v>
      </c>
      <c r="H51" s="10" t="n">
        <v>7</v>
      </c>
      <c r="I51" s="8" t="inlineStr">
        <is>
          <t>CLP</t>
        </is>
      </c>
      <c r="J51" s="9" t="n">
        <v>6628.9474</v>
      </c>
      <c r="K51" s="9" t="n">
        <v>3194</v>
      </c>
      <c r="L51" s="9" t="n">
        <v>4631.3</v>
      </c>
      <c r="M51" s="9" t="n">
        <v>7500</v>
      </c>
      <c r="N51" s="9" t="n">
        <v>6628.9474</v>
      </c>
      <c r="O51" s="11" t="n">
        <v>0.5182</v>
      </c>
      <c r="P51" s="11" t="n">
        <v>0.3103</v>
      </c>
      <c r="Q51" s="11" t="n">
        <v>0.2078</v>
      </c>
      <c r="R51" s="15" t="inlineStr">
        <is>
          <t>EXCELENTE</t>
        </is>
      </c>
      <c r="S51" s="13" t="inlineStr">
        <is>
          <t>SI</t>
        </is>
      </c>
      <c r="T51" s="8" t="inlineStr">
        <is>
          <t>no</t>
        </is>
      </c>
    </row>
    <row r="52">
      <c r="A52" s="8" t="inlineStr">
        <is>
          <t>CHILE</t>
        </is>
      </c>
      <c r="B52" s="8" t="inlineStr">
        <is>
          <t>PLUS NUTRI MIX</t>
        </is>
      </c>
      <c r="C52" s="8" t="inlineStr">
        <is>
          <t>20 L</t>
        </is>
      </c>
      <c r="D52" s="8" t="inlineStr">
        <is>
          <t>AV PLUS NUTRI MIX</t>
        </is>
      </c>
      <c r="E52" s="9" t="n">
        <v>500000</v>
      </c>
      <c r="F52" s="9" t="n">
        <v>0</v>
      </c>
      <c r="G52" s="9" t="n">
        <v>100</v>
      </c>
      <c r="H52" s="10" t="n">
        <v>1</v>
      </c>
      <c r="I52" s="8" t="inlineStr">
        <is>
          <t>CLP</t>
        </is>
      </c>
      <c r="J52" s="9" t="n">
        <v>5000</v>
      </c>
      <c r="K52" s="9" t="n">
        <v>2214.35</v>
      </c>
      <c r="L52" s="9" t="n">
        <v>3210.8075</v>
      </c>
      <c r="M52" s="9" t="n">
        <v>6800</v>
      </c>
      <c r="N52" s="9" t="n">
        <v>5000</v>
      </c>
      <c r="O52" s="11" t="n">
        <v>0.5571</v>
      </c>
      <c r="P52" s="11" t="n">
        <v>0.3103</v>
      </c>
      <c r="Q52" s="11" t="n">
        <v>0.2468</v>
      </c>
      <c r="R52" s="15" t="inlineStr">
        <is>
          <t>EXCELENTE</t>
        </is>
      </c>
      <c r="S52" s="13" t="inlineStr">
        <is>
          <t>SI</t>
        </is>
      </c>
      <c r="T52" s="8" t="inlineStr">
        <is>
          <t>no</t>
        </is>
      </c>
    </row>
    <row r="53">
      <c r="A53" s="8" t="inlineStr">
        <is>
          <t>CHILE</t>
        </is>
      </c>
      <c r="B53" s="8" t="inlineStr">
        <is>
          <t>AMIN</t>
        </is>
      </c>
      <c r="C53" s="8" t="inlineStr">
        <is>
          <t>1 L</t>
        </is>
      </c>
      <c r="D53" s="8" t="inlineStr">
        <is>
          <t>AV AMIN</t>
        </is>
      </c>
      <c r="E53" s="9" t="n">
        <v>490674</v>
      </c>
      <c r="F53" s="9" t="n">
        <v>0</v>
      </c>
      <c r="G53" s="9" t="n">
        <v>63</v>
      </c>
      <c r="H53" s="10" t="n">
        <v>4</v>
      </c>
      <c r="I53" s="8" t="inlineStr">
        <is>
          <t>CLP</t>
        </is>
      </c>
      <c r="J53" s="9" t="n">
        <v>7788.4762</v>
      </c>
      <c r="K53" s="9" t="n">
        <v>3669</v>
      </c>
      <c r="L53" s="9" t="n">
        <v>5320.05</v>
      </c>
      <c r="M53" s="9" t="n">
        <v>7800</v>
      </c>
      <c r="N53" s="9" t="n">
        <v>7788.4762</v>
      </c>
      <c r="O53" s="11" t="n">
        <v>0.5289</v>
      </c>
      <c r="P53" s="11" t="n">
        <v>0.3103</v>
      </c>
      <c r="Q53" s="11" t="n">
        <v>0.2186</v>
      </c>
      <c r="R53" s="15" t="inlineStr">
        <is>
          <t>EXCELENTE</t>
        </is>
      </c>
      <c r="S53" s="13" t="inlineStr">
        <is>
          <t>SI</t>
        </is>
      </c>
      <c r="T53" s="8" t="inlineStr">
        <is>
          <t>no</t>
        </is>
      </c>
    </row>
    <row r="54">
      <c r="A54" s="8" t="inlineStr">
        <is>
          <t>CHILE</t>
        </is>
      </c>
      <c r="B54" s="8" t="inlineStr">
        <is>
          <t>PLUS CALCIO</t>
        </is>
      </c>
      <c r="C54" s="8" t="inlineStr">
        <is>
          <t>5 L</t>
        </is>
      </c>
      <c r="D54" s="8" t="inlineStr">
        <is>
          <t>AV PLUS CALCIO</t>
        </is>
      </c>
      <c r="E54" s="9" t="n">
        <v>476962</v>
      </c>
      <c r="F54" s="9" t="n">
        <v>0</v>
      </c>
      <c r="G54" s="9" t="n">
        <v>110</v>
      </c>
      <c r="H54" s="10" t="n">
        <v>7</v>
      </c>
      <c r="I54" s="8" t="inlineStr">
        <is>
          <t>CLP</t>
        </is>
      </c>
      <c r="J54" s="9" t="n">
        <v>4336.0182</v>
      </c>
      <c r="K54" s="9" t="n">
        <v>1994.2</v>
      </c>
      <c r="L54" s="9" t="n">
        <v>2891.59</v>
      </c>
      <c r="M54" s="9" t="n">
        <v>5000</v>
      </c>
      <c r="N54" s="9" t="n">
        <v>4336.0182</v>
      </c>
      <c r="O54" s="11" t="n">
        <v>0.5401</v>
      </c>
      <c r="P54" s="11" t="n">
        <v>0.3103</v>
      </c>
      <c r="Q54" s="11" t="n">
        <v>0.2297</v>
      </c>
      <c r="R54" s="15" t="inlineStr">
        <is>
          <t>EXCELENTE</t>
        </is>
      </c>
      <c r="S54" s="13" t="inlineStr">
        <is>
          <t>SI</t>
        </is>
      </c>
      <c r="T54" s="8" t="inlineStr">
        <is>
          <t>no</t>
        </is>
      </c>
    </row>
    <row r="55">
      <c r="A55" s="8" t="inlineStr">
        <is>
          <t>CHILE</t>
        </is>
      </c>
      <c r="B55" s="8" t="inlineStr">
        <is>
          <t>SILFORTE</t>
        </is>
      </c>
      <c r="C55" s="8" t="inlineStr">
        <is>
          <t>5 L</t>
        </is>
      </c>
      <c r="D55" s="8" t="inlineStr">
        <is>
          <t>AV SILFORTE</t>
        </is>
      </c>
      <c r="E55" s="9" t="n">
        <v>474250</v>
      </c>
      <c r="F55" s="9" t="n">
        <v>0</v>
      </c>
      <c r="G55" s="9" t="n">
        <v>45</v>
      </c>
      <c r="H55" s="10" t="n">
        <v>6</v>
      </c>
      <c r="I55" s="8" t="inlineStr">
        <is>
          <t>CLP</t>
        </is>
      </c>
      <c r="J55" s="9" t="n">
        <v>10538.8889</v>
      </c>
      <c r="K55" s="9" t="n">
        <v>3036.8</v>
      </c>
      <c r="L55" s="9" t="n">
        <v>4403.36</v>
      </c>
      <c r="M55" s="9" t="n">
        <v>10800</v>
      </c>
      <c r="N55" s="9" t="n">
        <v>10538.8889</v>
      </c>
      <c r="O55" s="11" t="n">
        <v>0.7118000000000001</v>
      </c>
      <c r="P55" s="11" t="n">
        <v>0.3103</v>
      </c>
      <c r="Q55" s="11" t="n">
        <v>0.4015</v>
      </c>
      <c r="R55" s="15" t="inlineStr">
        <is>
          <t>EXCELENTE</t>
        </is>
      </c>
      <c r="S55" s="13" t="inlineStr">
        <is>
          <t>SI</t>
        </is>
      </c>
      <c r="T55" s="8" t="inlineStr">
        <is>
          <t>no</t>
        </is>
      </c>
    </row>
    <row r="56">
      <c r="A56" s="8" t="inlineStr">
        <is>
          <t>CHILE</t>
        </is>
      </c>
      <c r="B56" s="8" t="inlineStr">
        <is>
          <t>AV15 40-20</t>
        </is>
      </c>
      <c r="C56" s="8" t="inlineStr">
        <is>
          <t>5 L</t>
        </is>
      </c>
      <c r="D56" s="8" t="inlineStr">
        <is>
          <t>AV15 40-20</t>
        </is>
      </c>
      <c r="E56" s="9" t="n">
        <v>467353</v>
      </c>
      <c r="F56" s="9" t="n">
        <v>0</v>
      </c>
      <c r="G56" s="9" t="n">
        <v>85</v>
      </c>
      <c r="H56" s="10" t="n">
        <v>7</v>
      </c>
      <c r="I56" s="8" t="inlineStr">
        <is>
          <t>CLP</t>
        </is>
      </c>
      <c r="J56" s="9" t="n">
        <v>5498.2706</v>
      </c>
      <c r="K56" s="9" t="n">
        <v>2590.2</v>
      </c>
      <c r="L56" s="9" t="n">
        <v>3755.79</v>
      </c>
      <c r="M56" s="9" t="n">
        <v>6500</v>
      </c>
      <c r="N56" s="9" t="n">
        <v>5498.2706</v>
      </c>
      <c r="O56" s="11" t="n">
        <v>0.5289</v>
      </c>
      <c r="P56" s="11" t="n">
        <v>0.3103</v>
      </c>
      <c r="Q56" s="11" t="n">
        <v>0.2186</v>
      </c>
      <c r="R56" s="15" t="inlineStr">
        <is>
          <t>EXCELENTE</t>
        </is>
      </c>
      <c r="S56" s="13" t="inlineStr">
        <is>
          <t>SI</t>
        </is>
      </c>
      <c r="T56" s="8" t="inlineStr">
        <is>
          <t>no</t>
        </is>
      </c>
    </row>
    <row r="57">
      <c r="A57" s="8" t="inlineStr">
        <is>
          <t>CHILE</t>
        </is>
      </c>
      <c r="B57" s="8" t="inlineStr">
        <is>
          <t>PLUS MICRO MIX</t>
        </is>
      </c>
      <c r="C57" s="8" t="inlineStr">
        <is>
          <t>5 L</t>
        </is>
      </c>
      <c r="D57" s="8" t="inlineStr">
        <is>
          <t>AV PLUS MICRO MIX</t>
        </is>
      </c>
      <c r="E57" s="9" t="n">
        <v>425900</v>
      </c>
      <c r="F57" s="9" t="n">
        <v>0</v>
      </c>
      <c r="G57" s="9" t="n">
        <v>75</v>
      </c>
      <c r="H57" s="10" t="n">
        <v>8</v>
      </c>
      <c r="I57" s="8" t="inlineStr">
        <is>
          <t>CLP</t>
        </is>
      </c>
      <c r="J57" s="9" t="n">
        <v>5678.6667</v>
      </c>
      <c r="K57" s="9" t="n">
        <v>3249.8</v>
      </c>
      <c r="L57" s="9" t="n">
        <v>4712.21</v>
      </c>
      <c r="M57" s="9" t="n">
        <v>6500</v>
      </c>
      <c r="N57" s="9" t="n">
        <v>5678.6667</v>
      </c>
      <c r="O57" s="11" t="n">
        <v>0.4277</v>
      </c>
      <c r="P57" s="11" t="n">
        <v>0.3103</v>
      </c>
      <c r="Q57" s="11" t="n">
        <v>0.1174</v>
      </c>
      <c r="R57" s="15" t="inlineStr">
        <is>
          <t>EXCELENTE</t>
        </is>
      </c>
      <c r="S57" s="13" t="inlineStr">
        <is>
          <t>SI</t>
        </is>
      </c>
      <c r="T57" s="8" t="inlineStr">
        <is>
          <t>no</t>
        </is>
      </c>
    </row>
    <row r="58">
      <c r="A58" s="8" t="inlineStr">
        <is>
          <t>CHILE</t>
        </is>
      </c>
      <c r="B58" s="8" t="inlineStr">
        <is>
          <t>CYTO PRIME</t>
        </is>
      </c>
      <c r="C58" s="8" t="inlineStr">
        <is>
          <t>5 L</t>
        </is>
      </c>
      <c r="D58" s="8" t="inlineStr">
        <is>
          <t>AV CYTO PRIME</t>
        </is>
      </c>
      <c r="E58" s="9" t="n">
        <v>413167</v>
      </c>
      <c r="F58" s="9" t="n">
        <v>170000</v>
      </c>
      <c r="G58" s="9" t="n">
        <v>25</v>
      </c>
      <c r="H58" s="10" t="n">
        <v>3</v>
      </c>
      <c r="I58" s="8" t="inlineStr">
        <is>
          <t>CLP</t>
        </is>
      </c>
      <c r="J58" s="9" t="n">
        <v>16526.68</v>
      </c>
      <c r="K58" s="9" t="n">
        <v>3384</v>
      </c>
      <c r="L58" s="9" t="n">
        <v>4906.8</v>
      </c>
      <c r="M58" s="9" t="n">
        <v>17000</v>
      </c>
      <c r="N58" s="9" t="n">
        <v>16526.68</v>
      </c>
      <c r="O58" s="11" t="n">
        <v>0.7951999999999999</v>
      </c>
      <c r="P58" s="11" t="n">
        <v>0.3103</v>
      </c>
      <c r="Q58" s="11" t="n">
        <v>0.4849</v>
      </c>
      <c r="R58" s="15" t="inlineStr">
        <is>
          <t>EXCELENTE</t>
        </is>
      </c>
      <c r="S58" s="13" t="inlineStr">
        <is>
          <t>SI</t>
        </is>
      </c>
      <c r="T58" s="8" t="inlineStr">
        <is>
          <t>no</t>
        </is>
      </c>
    </row>
    <row r="59">
      <c r="A59" s="8" t="inlineStr">
        <is>
          <t>CHILE</t>
        </is>
      </c>
      <c r="B59" s="8" t="inlineStr">
        <is>
          <t>BALANCE</t>
        </is>
      </c>
      <c r="C59" s="8" t="inlineStr"/>
      <c r="D59" s="8" t="inlineStr">
        <is>
          <t>AV BALANCE</t>
        </is>
      </c>
      <c r="E59" s="9" t="n">
        <v>396900</v>
      </c>
      <c r="F59" s="9" t="n">
        <v>0</v>
      </c>
      <c r="G59" s="9" t="n">
        <v>30</v>
      </c>
      <c r="H59" s="10" t="n">
        <v>1</v>
      </c>
      <c r="I59" s="8" t="inlineStr">
        <is>
          <t>CLP</t>
        </is>
      </c>
      <c r="J59" s="9" t="n">
        <v>13230</v>
      </c>
      <c r="K59" s="9" t="n">
        <v>4631</v>
      </c>
      <c r="L59" s="9" t="n">
        <v>6714.95</v>
      </c>
      <c r="M59" s="9" t="n">
        <v>15000</v>
      </c>
      <c r="N59" s="9" t="n">
        <v>13230</v>
      </c>
      <c r="O59" s="11" t="n">
        <v>0.65</v>
      </c>
      <c r="P59" s="11" t="n">
        <v>0.3103</v>
      </c>
      <c r="Q59" s="11" t="n">
        <v>0.3396</v>
      </c>
      <c r="R59" s="15" t="inlineStr">
        <is>
          <t>EXCELENTE</t>
        </is>
      </c>
      <c r="S59" s="13" t="inlineStr">
        <is>
          <t>SI</t>
        </is>
      </c>
      <c r="T59" s="8" t="inlineStr">
        <is>
          <t>no</t>
        </is>
      </c>
    </row>
    <row r="60">
      <c r="A60" s="8" t="inlineStr">
        <is>
          <t>CHILE</t>
        </is>
      </c>
      <c r="B60" s="8" t="inlineStr">
        <is>
          <t>PLUS NUTRI MIX</t>
        </is>
      </c>
      <c r="C60" s="8" t="inlineStr">
        <is>
          <t>1 L</t>
        </is>
      </c>
      <c r="D60" s="8" t="inlineStr">
        <is>
          <t>AV PLUS NUTRI MIX</t>
        </is>
      </c>
      <c r="E60" s="9" t="n">
        <v>395340</v>
      </c>
      <c r="F60" s="9" t="n">
        <v>0</v>
      </c>
      <c r="G60" s="9" t="n">
        <v>68</v>
      </c>
      <c r="H60" s="10" t="n">
        <v>4</v>
      </c>
      <c r="I60" s="8" t="inlineStr">
        <is>
          <t>CLP</t>
        </is>
      </c>
      <c r="J60" s="9" t="n">
        <v>5813.8235</v>
      </c>
      <c r="K60" s="9" t="n">
        <v>4047</v>
      </c>
      <c r="L60" s="9" t="n">
        <v>5868.15</v>
      </c>
      <c r="M60" s="9" t="n">
        <v>8000</v>
      </c>
      <c r="N60" s="9" t="n">
        <v>5868.15</v>
      </c>
      <c r="O60" s="11" t="n">
        <v>0.3039</v>
      </c>
      <c r="P60" s="11" t="n">
        <v>0.3103</v>
      </c>
      <c r="Q60" s="11" t="n">
        <v>-0.0064</v>
      </c>
      <c r="R60" s="15" t="inlineStr">
        <is>
          <t>EXCELENTE</t>
        </is>
      </c>
      <c r="S60" s="13" t="inlineStr">
        <is>
          <t>SI</t>
        </is>
      </c>
      <c r="T60" s="8" t="inlineStr">
        <is>
          <t>no</t>
        </is>
      </c>
    </row>
    <row r="61">
      <c r="A61" s="8" t="inlineStr">
        <is>
          <t>CHILE</t>
        </is>
      </c>
      <c r="B61" s="8" t="inlineStr">
        <is>
          <t>BLOOM</t>
        </is>
      </c>
      <c r="C61" s="8" t="inlineStr">
        <is>
          <t>20 L</t>
        </is>
      </c>
      <c r="D61" s="8" t="inlineStr">
        <is>
          <t>AV BLOOM</t>
        </is>
      </c>
      <c r="E61" s="9" t="n">
        <v>390000</v>
      </c>
      <c r="F61" s="9" t="n">
        <v>200000</v>
      </c>
      <c r="G61" s="9" t="n">
        <v>40</v>
      </c>
      <c r="H61" s="10" t="n">
        <v>2</v>
      </c>
      <c r="I61" s="8" t="inlineStr">
        <is>
          <t>CLP</t>
        </is>
      </c>
      <c r="J61" s="9" t="n">
        <v>9750</v>
      </c>
      <c r="K61" s="9" t="n">
        <v>2263.3</v>
      </c>
      <c r="L61" s="9" t="n">
        <v>3281.785</v>
      </c>
      <c r="M61" s="9" t="n">
        <v>9000</v>
      </c>
      <c r="N61" s="9" t="n">
        <v>9750</v>
      </c>
      <c r="O61" s="11" t="n">
        <v>0.7679</v>
      </c>
      <c r="P61" s="11" t="n">
        <v>0.3103</v>
      </c>
      <c r="Q61" s="11" t="n">
        <v>0.4575</v>
      </c>
      <c r="R61" s="15" t="inlineStr">
        <is>
          <t>EXCELENTE</t>
        </is>
      </c>
      <c r="S61" s="8" t="inlineStr">
        <is>
          <t>no</t>
        </is>
      </c>
      <c r="T61" s="8" t="inlineStr">
        <is>
          <t>no</t>
        </is>
      </c>
    </row>
    <row r="62">
      <c r="A62" s="8" t="inlineStr">
        <is>
          <t>CHILE</t>
        </is>
      </c>
      <c r="B62" s="8" t="inlineStr">
        <is>
          <t>AMIN</t>
        </is>
      </c>
      <c r="C62" s="8" t="inlineStr">
        <is>
          <t>5 L</t>
        </is>
      </c>
      <c r="D62" s="8" t="inlineStr">
        <is>
          <t>AV AMIN</t>
        </is>
      </c>
      <c r="E62" s="9" t="n">
        <v>334241</v>
      </c>
      <c r="F62" s="9" t="n">
        <v>0</v>
      </c>
      <c r="G62" s="9" t="n">
        <v>45</v>
      </c>
      <c r="H62" s="10" t="n">
        <v>5</v>
      </c>
      <c r="I62" s="8" t="inlineStr">
        <is>
          <t>CLP</t>
        </is>
      </c>
      <c r="J62" s="9" t="n">
        <v>7427.5778</v>
      </c>
      <c r="K62" s="9" t="n">
        <v>2553</v>
      </c>
      <c r="L62" s="9" t="n">
        <v>3701.85</v>
      </c>
      <c r="M62" s="9" t="n">
        <v>7000</v>
      </c>
      <c r="N62" s="9" t="n">
        <v>7427.5778</v>
      </c>
      <c r="O62" s="11" t="n">
        <v>0.6563</v>
      </c>
      <c r="P62" s="11" t="n">
        <v>0.3103</v>
      </c>
      <c r="Q62" s="11" t="n">
        <v>0.3459</v>
      </c>
      <c r="R62" s="15" t="inlineStr">
        <is>
          <t>EXCELENTE</t>
        </is>
      </c>
      <c r="S62" s="8" t="inlineStr">
        <is>
          <t>no</t>
        </is>
      </c>
      <c r="T62" s="8" t="inlineStr">
        <is>
          <t>no</t>
        </is>
      </c>
    </row>
    <row r="63">
      <c r="A63" s="8" t="inlineStr">
        <is>
          <t>CHILE</t>
        </is>
      </c>
      <c r="B63" s="8" t="inlineStr">
        <is>
          <t>PLUS CALCIO</t>
        </is>
      </c>
      <c r="C63" s="8" t="inlineStr">
        <is>
          <t>1 L</t>
        </is>
      </c>
      <c r="D63" s="8" t="inlineStr">
        <is>
          <t>AV PLUS CALCIO</t>
        </is>
      </c>
      <c r="E63" s="9" t="n">
        <v>318397</v>
      </c>
      <c r="F63" s="9" t="n">
        <v>0</v>
      </c>
      <c r="G63" s="9" t="n">
        <v>55</v>
      </c>
      <c r="H63" s="10" t="n">
        <v>8</v>
      </c>
      <c r="I63" s="8" t="inlineStr">
        <is>
          <t>CLP</t>
        </is>
      </c>
      <c r="J63" s="9" t="n">
        <v>5789.0364</v>
      </c>
      <c r="K63" s="9" t="n">
        <v>3110</v>
      </c>
      <c r="L63" s="9" t="n">
        <v>4509.5</v>
      </c>
      <c r="M63" s="9" t="n">
        <v>6000</v>
      </c>
      <c r="N63" s="9" t="n">
        <v>5789.0364</v>
      </c>
      <c r="O63" s="11" t="n">
        <v>0.4628</v>
      </c>
      <c r="P63" s="11" t="n">
        <v>0.3103</v>
      </c>
      <c r="Q63" s="11" t="n">
        <v>0.1524</v>
      </c>
      <c r="R63" s="15" t="inlineStr">
        <is>
          <t>EXCELENTE</t>
        </is>
      </c>
      <c r="S63" s="13" t="inlineStr">
        <is>
          <t>SI</t>
        </is>
      </c>
      <c r="T63" s="8" t="inlineStr">
        <is>
          <t>no</t>
        </is>
      </c>
    </row>
    <row r="64">
      <c r="A64" s="8" t="inlineStr">
        <is>
          <t>CHILE</t>
        </is>
      </c>
      <c r="B64" s="8" t="inlineStr">
        <is>
          <t>AMIN</t>
        </is>
      </c>
      <c r="C64" s="8" t="inlineStr">
        <is>
          <t>20 L</t>
        </is>
      </c>
      <c r="D64" s="8" t="inlineStr">
        <is>
          <t>AV AMIN</t>
        </is>
      </c>
      <c r="E64" s="9" t="n">
        <v>313600</v>
      </c>
      <c r="F64" s="9" t="n">
        <v>104800</v>
      </c>
      <c r="G64" s="9" t="n">
        <v>60</v>
      </c>
      <c r="H64" s="10" t="n">
        <v>3</v>
      </c>
      <c r="I64" s="8" t="inlineStr">
        <is>
          <t>CLP</t>
        </is>
      </c>
      <c r="J64" s="9" t="n">
        <v>5226.6667</v>
      </c>
      <c r="K64" s="9" t="n">
        <v>1835.9</v>
      </c>
      <c r="L64" s="9" t="n">
        <v>2662.055</v>
      </c>
      <c r="M64" s="9" t="n">
        <v>5500</v>
      </c>
      <c r="N64" s="9" t="n">
        <v>5226.6667</v>
      </c>
      <c r="O64" s="11" t="n">
        <v>0.6487000000000001</v>
      </c>
      <c r="P64" s="11" t="n">
        <v>0.3103</v>
      </c>
      <c r="Q64" s="11" t="n">
        <v>0.3384</v>
      </c>
      <c r="R64" s="15" t="inlineStr">
        <is>
          <t>EXCELENTE</t>
        </is>
      </c>
      <c r="S64" s="13" t="inlineStr">
        <is>
          <t>SI</t>
        </is>
      </c>
      <c r="T64" s="8" t="inlineStr">
        <is>
          <t>no</t>
        </is>
      </c>
    </row>
    <row r="65">
      <c r="A65" s="8" t="inlineStr">
        <is>
          <t>CHILE</t>
        </is>
      </c>
      <c r="B65" s="8" t="inlineStr">
        <is>
          <t>PLUS MAGNESIO</t>
        </is>
      </c>
      <c r="C65" s="8" t="inlineStr">
        <is>
          <t>5 L</t>
        </is>
      </c>
      <c r="D65" s="8" t="inlineStr">
        <is>
          <t>AV PLUS MAGNESIO</t>
        </is>
      </c>
      <c r="E65" s="9" t="n">
        <v>296825</v>
      </c>
      <c r="F65" s="9" t="n">
        <v>0</v>
      </c>
      <c r="G65" s="9" t="n">
        <v>75</v>
      </c>
      <c r="H65" s="10" t="n">
        <v>10</v>
      </c>
      <c r="I65" s="8" t="inlineStr">
        <is>
          <t>CLP</t>
        </is>
      </c>
      <c r="J65" s="9" t="n">
        <v>3957.6667</v>
      </c>
      <c r="K65" s="9" t="n">
        <v>2161.8</v>
      </c>
      <c r="L65" s="9" t="n">
        <v>3134.61</v>
      </c>
      <c r="M65" s="9" t="n">
        <v>4000</v>
      </c>
      <c r="N65" s="9" t="n">
        <v>3957.6667</v>
      </c>
      <c r="O65" s="11" t="n">
        <v>0.4538</v>
      </c>
      <c r="P65" s="11" t="n">
        <v>0.3103</v>
      </c>
      <c r="Q65" s="11" t="n">
        <v>0.1434</v>
      </c>
      <c r="R65" s="15" t="inlineStr">
        <is>
          <t>EXCELENTE</t>
        </is>
      </c>
      <c r="S65" s="13" t="inlineStr">
        <is>
          <t>SI</t>
        </is>
      </c>
      <c r="T65" s="8" t="inlineStr">
        <is>
          <t>no</t>
        </is>
      </c>
    </row>
    <row r="66">
      <c r="A66" s="8" t="inlineStr">
        <is>
          <t>CHILE</t>
        </is>
      </c>
      <c r="B66" s="8" t="inlineStr">
        <is>
          <t>BLOOM</t>
        </is>
      </c>
      <c r="C66" s="8" t="inlineStr">
        <is>
          <t>1 L</t>
        </is>
      </c>
      <c r="D66" s="8" t="inlineStr">
        <is>
          <t>AV BLOOM</t>
        </is>
      </c>
      <c r="E66" s="9" t="n">
        <v>285338</v>
      </c>
      <c r="F66" s="9" t="n">
        <v>0</v>
      </c>
      <c r="G66" s="9" t="n">
        <v>32</v>
      </c>
      <c r="H66" s="10" t="n">
        <v>4</v>
      </c>
      <c r="I66" s="8" t="inlineStr">
        <is>
          <t>CLP</t>
        </is>
      </c>
      <c r="J66" s="9" t="n">
        <v>8916.8125</v>
      </c>
      <c r="K66" s="9" t="n">
        <v>4096</v>
      </c>
      <c r="L66" s="9" t="n">
        <v>5939.2</v>
      </c>
      <c r="M66" s="9" t="n">
        <v>11000</v>
      </c>
      <c r="N66" s="9" t="n">
        <v>8916.8125</v>
      </c>
      <c r="O66" s="11" t="n">
        <v>0.5406</v>
      </c>
      <c r="P66" s="11" t="n">
        <v>0.3103</v>
      </c>
      <c r="Q66" s="11" t="n">
        <v>0.2303</v>
      </c>
      <c r="R66" s="15" t="inlineStr">
        <is>
          <t>EXCELENTE</t>
        </is>
      </c>
      <c r="S66" s="13" t="inlineStr">
        <is>
          <t>SI</t>
        </is>
      </c>
      <c r="T66" s="8" t="inlineStr">
        <is>
          <t>no</t>
        </is>
      </c>
    </row>
    <row r="67">
      <c r="A67" s="8" t="inlineStr">
        <is>
          <t>CHILE</t>
        </is>
      </c>
      <c r="B67" s="8" t="inlineStr">
        <is>
          <t>PLUS MAGNESIO</t>
        </is>
      </c>
      <c r="C67" s="8" t="inlineStr"/>
      <c r="D67" s="8" t="inlineStr">
        <is>
          <t>AV PLUS MAGNESIO</t>
        </is>
      </c>
      <c r="E67" s="9" t="n">
        <v>272375</v>
      </c>
      <c r="F67" s="9" t="n">
        <v>0</v>
      </c>
      <c r="G67" s="9" t="n">
        <v>57</v>
      </c>
      <c r="H67" s="10" t="n">
        <v>5</v>
      </c>
      <c r="I67" s="8" t="inlineStr">
        <is>
          <t>CLP</t>
        </is>
      </c>
      <c r="J67" s="9" t="n">
        <v>4778.5088</v>
      </c>
      <c r="K67" s="9" t="n">
        <v>3278</v>
      </c>
      <c r="L67" s="9" t="n">
        <v>4753.1</v>
      </c>
      <c r="M67" s="9" t="n">
        <v>6000</v>
      </c>
      <c r="N67" s="9" t="n">
        <v>4778.5088</v>
      </c>
      <c r="O67" s="11" t="n">
        <v>0.314</v>
      </c>
      <c r="P67" s="11" t="n">
        <v>0.3103</v>
      </c>
      <c r="Q67" s="11" t="n">
        <v>0.0037</v>
      </c>
      <c r="R67" s="15" t="inlineStr">
        <is>
          <t>EXCELENTE</t>
        </is>
      </c>
      <c r="S67" s="13" t="inlineStr">
        <is>
          <t>SI</t>
        </is>
      </c>
      <c r="T67" s="8" t="inlineStr">
        <is>
          <t>no</t>
        </is>
      </c>
    </row>
    <row r="68">
      <c r="A68" s="8" t="inlineStr">
        <is>
          <t>CHILE</t>
        </is>
      </c>
      <c r="B68" s="8" t="inlineStr">
        <is>
          <t>PLUS CALCIO</t>
        </is>
      </c>
      <c r="C68" s="8" t="inlineStr">
        <is>
          <t>20 L</t>
        </is>
      </c>
      <c r="D68" s="8" t="inlineStr">
        <is>
          <t>AV PLUS CALCIO</t>
        </is>
      </c>
      <c r="E68" s="9" t="n">
        <v>256760</v>
      </c>
      <c r="F68" s="9" t="n">
        <v>0</v>
      </c>
      <c r="G68" s="9" t="n">
        <v>60</v>
      </c>
      <c r="H68" s="10" t="n">
        <v>3</v>
      </c>
      <c r="I68" s="8" t="inlineStr">
        <is>
          <t>CLP</t>
        </is>
      </c>
      <c r="J68" s="9" t="n">
        <v>4279.3333</v>
      </c>
      <c r="K68" s="9" t="n">
        <v>1277.15</v>
      </c>
      <c r="L68" s="9" t="n">
        <v>1851.8675</v>
      </c>
      <c r="M68" s="9" t="n">
        <v>4000</v>
      </c>
      <c r="N68" s="9" t="n">
        <v>4279.3333</v>
      </c>
      <c r="O68" s="11" t="n">
        <v>0.7016</v>
      </c>
      <c r="P68" s="11" t="n">
        <v>0.3103</v>
      </c>
      <c r="Q68" s="11" t="n">
        <v>0.3912</v>
      </c>
      <c r="R68" s="15" t="inlineStr">
        <is>
          <t>EXCELENTE</t>
        </is>
      </c>
      <c r="S68" s="8" t="inlineStr">
        <is>
          <t>no</t>
        </is>
      </c>
      <c r="T68" s="8" t="inlineStr">
        <is>
          <t>no</t>
        </is>
      </c>
    </row>
    <row r="69">
      <c r="A69" s="8" t="inlineStr">
        <is>
          <t>CHILE</t>
        </is>
      </c>
      <c r="B69" s="8" t="inlineStr">
        <is>
          <t>ROOT MAX</t>
        </is>
      </c>
      <c r="C69" s="8" t="inlineStr">
        <is>
          <t>1 L</t>
        </is>
      </c>
      <c r="D69" s="8" t="inlineStr">
        <is>
          <t>AV ROOT MAX</t>
        </is>
      </c>
      <c r="E69" s="9" t="n">
        <v>255595</v>
      </c>
      <c r="F69" s="9" t="n">
        <v>0</v>
      </c>
      <c r="G69" s="9" t="n">
        <v>22</v>
      </c>
      <c r="H69" s="10" t="n">
        <v>3</v>
      </c>
      <c r="I69" s="8" t="inlineStr">
        <is>
          <t>CLP</t>
        </is>
      </c>
      <c r="J69" s="9" t="n">
        <v>11617.9545</v>
      </c>
      <c r="K69" s="9" t="n">
        <v>4474</v>
      </c>
      <c r="L69" s="9" t="n">
        <v>6487.3</v>
      </c>
      <c r="M69" s="9" t="n">
        <v>10000</v>
      </c>
      <c r="N69" s="9" t="n">
        <v>11617.9545</v>
      </c>
      <c r="O69" s="11" t="n">
        <v>0.6149</v>
      </c>
      <c r="P69" s="11" t="n">
        <v>0.3103</v>
      </c>
      <c r="Q69" s="11" t="n">
        <v>0.3046</v>
      </c>
      <c r="R69" s="15" t="inlineStr">
        <is>
          <t>EXCELENTE</t>
        </is>
      </c>
      <c r="S69" s="8" t="inlineStr">
        <is>
          <t>no</t>
        </is>
      </c>
      <c r="T69" s="8" t="inlineStr">
        <is>
          <t>no</t>
        </is>
      </c>
    </row>
    <row r="70">
      <c r="A70" s="8" t="inlineStr">
        <is>
          <t>CHILE</t>
        </is>
      </c>
      <c r="B70" s="8" t="inlineStr">
        <is>
          <t>PLUS MAGNESIO</t>
        </is>
      </c>
      <c r="C70" s="8" t="inlineStr">
        <is>
          <t>1 L</t>
        </is>
      </c>
      <c r="D70" s="8" t="inlineStr">
        <is>
          <t>AV PLUS MAGNESIO</t>
        </is>
      </c>
      <c r="E70" s="9" t="n">
        <v>250100</v>
      </c>
      <c r="F70" s="9" t="n">
        <v>0</v>
      </c>
      <c r="G70" s="9" t="n">
        <v>46</v>
      </c>
      <c r="H70" s="10" t="n">
        <v>9</v>
      </c>
      <c r="I70" s="8" t="inlineStr">
        <is>
          <t>CLP</t>
        </is>
      </c>
      <c r="J70" s="9" t="n">
        <v>5436.9565</v>
      </c>
      <c r="K70" s="9" t="n">
        <v>3278</v>
      </c>
      <c r="L70" s="9" t="n">
        <v>4753.1</v>
      </c>
      <c r="M70" s="9" t="n">
        <v>6000</v>
      </c>
      <c r="N70" s="9" t="n">
        <v>5436.9565</v>
      </c>
      <c r="O70" s="11" t="n">
        <v>0.3971</v>
      </c>
      <c r="P70" s="11" t="n">
        <v>0.3103</v>
      </c>
      <c r="Q70" s="11" t="n">
        <v>0.0867</v>
      </c>
      <c r="R70" s="15" t="inlineStr">
        <is>
          <t>EXCELENTE</t>
        </is>
      </c>
      <c r="S70" s="13" t="inlineStr">
        <is>
          <t>SI</t>
        </is>
      </c>
      <c r="T70" s="8" t="inlineStr">
        <is>
          <t>no</t>
        </is>
      </c>
    </row>
    <row r="71">
      <c r="A71" s="8" t="inlineStr">
        <is>
          <t>CHILE</t>
        </is>
      </c>
      <c r="B71" s="8" t="inlineStr">
        <is>
          <t>AV15 40-20</t>
        </is>
      </c>
      <c r="C71" s="8" t="inlineStr">
        <is>
          <t>1 L</t>
        </is>
      </c>
      <c r="D71" s="8" t="inlineStr">
        <is>
          <t>AV15 40-20</t>
        </is>
      </c>
      <c r="E71" s="9" t="n">
        <v>247692</v>
      </c>
      <c r="F71" s="9" t="n">
        <v>0</v>
      </c>
      <c r="G71" s="9" t="n">
        <v>33</v>
      </c>
      <c r="H71" s="10" t="n">
        <v>6</v>
      </c>
      <c r="I71" s="8" t="inlineStr">
        <is>
          <t>CLP</t>
        </is>
      </c>
      <c r="J71" s="9" t="n">
        <v>7505.8182</v>
      </c>
      <c r="K71" s="9" t="n">
        <v>3706</v>
      </c>
      <c r="L71" s="9" t="n">
        <v>5373.7</v>
      </c>
      <c r="M71" s="9" t="n">
        <v>9000</v>
      </c>
      <c r="N71" s="9" t="n">
        <v>7505.8182</v>
      </c>
      <c r="O71" s="11" t="n">
        <v>0.5062</v>
      </c>
      <c r="P71" s="11" t="n">
        <v>0.3103</v>
      </c>
      <c r="Q71" s="11" t="n">
        <v>0.1959</v>
      </c>
      <c r="R71" s="15" t="inlineStr">
        <is>
          <t>EXCELENTE</t>
        </is>
      </c>
      <c r="S71" s="13" t="inlineStr">
        <is>
          <t>SI</t>
        </is>
      </c>
      <c r="T71" s="8" t="inlineStr">
        <is>
          <t>no</t>
        </is>
      </c>
    </row>
    <row r="72">
      <c r="A72" s="8" t="inlineStr">
        <is>
          <t>CHILE</t>
        </is>
      </c>
      <c r="B72" s="8" t="inlineStr">
        <is>
          <t>ALGAP 30</t>
        </is>
      </c>
      <c r="C72" s="8" t="inlineStr">
        <is>
          <t>1 L</t>
        </is>
      </c>
      <c r="D72" s="8" t="inlineStr">
        <is>
          <t>AV ALGAP 30</t>
        </is>
      </c>
      <c r="E72" s="9" t="n">
        <v>238530</v>
      </c>
      <c r="F72" s="9" t="n">
        <v>0</v>
      </c>
      <c r="G72" s="9" t="n">
        <v>26</v>
      </c>
      <c r="H72" s="10" t="n">
        <v>5</v>
      </c>
      <c r="I72" s="8" t="inlineStr">
        <is>
          <t>CLP</t>
        </is>
      </c>
      <c r="J72" s="9" t="n">
        <v>9174.230799999999</v>
      </c>
      <c r="K72" s="9" t="n">
        <v>3715</v>
      </c>
      <c r="L72" s="9" t="n">
        <v>5386.75</v>
      </c>
      <c r="M72" s="9" t="n">
        <v>6800</v>
      </c>
      <c r="N72" s="9" t="n">
        <v>9174.230799999999</v>
      </c>
      <c r="O72" s="11" t="n">
        <v>0.5951</v>
      </c>
      <c r="P72" s="11" t="n">
        <v>0.3103</v>
      </c>
      <c r="Q72" s="11" t="n">
        <v>0.2847</v>
      </c>
      <c r="R72" s="15" t="inlineStr">
        <is>
          <t>EXCELENTE</t>
        </is>
      </c>
      <c r="S72" s="8" t="inlineStr">
        <is>
          <t>no</t>
        </is>
      </c>
      <c r="T72" s="8" t="inlineStr">
        <is>
          <t>no</t>
        </is>
      </c>
    </row>
    <row r="73">
      <c r="A73" s="8" t="inlineStr">
        <is>
          <t>CHILE</t>
        </is>
      </c>
      <c r="B73" s="8" t="inlineStr">
        <is>
          <t>PLUS CALCIO BORO</t>
        </is>
      </c>
      <c r="C73" s="8" t="inlineStr">
        <is>
          <t>5 L</t>
        </is>
      </c>
      <c r="D73" s="8" t="inlineStr">
        <is>
          <t>AV PLUS CALCIO BORO</t>
        </is>
      </c>
      <c r="E73" s="9" t="n">
        <v>238093</v>
      </c>
      <c r="F73" s="9" t="n">
        <v>28895</v>
      </c>
      <c r="G73" s="9" t="n">
        <v>45</v>
      </c>
      <c r="H73" s="10" t="n">
        <v>7</v>
      </c>
      <c r="I73" s="8" t="inlineStr">
        <is>
          <t>CLP</t>
        </is>
      </c>
      <c r="J73" s="9" t="n">
        <v>5290.9556</v>
      </c>
      <c r="K73" s="9" t="n">
        <v>2077.6</v>
      </c>
      <c r="L73" s="9" t="n">
        <v>3012.52</v>
      </c>
      <c r="M73" s="9" t="n">
        <v>6000</v>
      </c>
      <c r="N73" s="9" t="n">
        <v>5290.9556</v>
      </c>
      <c r="O73" s="11" t="n">
        <v>0.6073</v>
      </c>
      <c r="P73" s="11" t="n">
        <v>0.3103</v>
      </c>
      <c r="Q73" s="11" t="n">
        <v>0.297</v>
      </c>
      <c r="R73" s="15" t="inlineStr">
        <is>
          <t>EXCELENTE</t>
        </is>
      </c>
      <c r="S73" s="13" t="inlineStr">
        <is>
          <t>SI</t>
        </is>
      </c>
      <c r="T73" s="8" t="inlineStr">
        <is>
          <t>no</t>
        </is>
      </c>
    </row>
    <row r="74">
      <c r="A74" s="8" t="inlineStr">
        <is>
          <t>CHILE</t>
        </is>
      </c>
      <c r="B74" s="8" t="inlineStr">
        <is>
          <t>SILFORTE</t>
        </is>
      </c>
      <c r="C74" s="8" t="inlineStr"/>
      <c r="D74" s="8" t="inlineStr">
        <is>
          <t>AV SILFORTE</t>
        </is>
      </c>
      <c r="E74" s="9" t="n">
        <v>228800</v>
      </c>
      <c r="F74" s="9" t="n">
        <v>0</v>
      </c>
      <c r="G74" s="9" t="n">
        <v>20</v>
      </c>
      <c r="H74" s="10" t="n">
        <v>1</v>
      </c>
      <c r="I74" s="8" t="inlineStr">
        <is>
          <t>CLP</t>
        </is>
      </c>
      <c r="J74" s="9" t="n">
        <v>11440</v>
      </c>
      <c r="K74" s="9" t="n">
        <v>4153</v>
      </c>
      <c r="L74" s="9" t="n">
        <v>6021.85</v>
      </c>
      <c r="M74" s="9" t="n">
        <v>12000</v>
      </c>
      <c r="N74" s="9" t="n">
        <v>11440</v>
      </c>
      <c r="O74" s="11" t="n">
        <v>0.637</v>
      </c>
      <c r="P74" s="11" t="n">
        <v>0.3103</v>
      </c>
      <c r="Q74" s="11" t="n">
        <v>0.3265999999999999</v>
      </c>
      <c r="R74" s="15" t="inlineStr">
        <is>
          <t>EXCELENTE</t>
        </is>
      </c>
      <c r="S74" s="13" t="inlineStr">
        <is>
          <t>SI</t>
        </is>
      </c>
      <c r="T74" s="8" t="inlineStr">
        <is>
          <t>no</t>
        </is>
      </c>
    </row>
    <row r="75">
      <c r="A75" s="8" t="inlineStr">
        <is>
          <t>CHILE</t>
        </is>
      </c>
      <c r="B75" s="8" t="inlineStr">
        <is>
          <t>PLUS BORO</t>
        </is>
      </c>
      <c r="C75" s="8" t="inlineStr">
        <is>
          <t>20 L</t>
        </is>
      </c>
      <c r="D75" s="8" t="inlineStr">
        <is>
          <t>AV PLUS BORO</t>
        </is>
      </c>
      <c r="E75" s="9" t="n">
        <v>213920</v>
      </c>
      <c r="F75" s="9" t="n">
        <v>213920</v>
      </c>
      <c r="G75" s="9" t="n">
        <v>80</v>
      </c>
      <c r="H75" s="10" t="n">
        <v>1</v>
      </c>
      <c r="I75" s="8" t="inlineStr">
        <is>
          <t>CLP</t>
        </is>
      </c>
      <c r="J75" s="9" t="n">
        <v>2674</v>
      </c>
      <c r="K75" s="9" t="n">
        <v>1256.7</v>
      </c>
      <c r="L75" s="9" t="n">
        <v>1822.215</v>
      </c>
      <c r="M75" s="9" t="n">
        <v>4000</v>
      </c>
      <c r="N75" s="9" t="n">
        <v>2674</v>
      </c>
      <c r="O75" s="11" t="n">
        <v>0.53</v>
      </c>
      <c r="P75" s="11" t="n">
        <v>0.3103</v>
      </c>
      <c r="Q75" s="11" t="n">
        <v>0.2197</v>
      </c>
      <c r="R75" s="15" t="inlineStr">
        <is>
          <t>EXCELENTE</t>
        </is>
      </c>
      <c r="S75" s="13" t="inlineStr">
        <is>
          <t>SI</t>
        </is>
      </c>
      <c r="T75" s="8" t="inlineStr">
        <is>
          <t>no</t>
        </is>
      </c>
    </row>
    <row r="76">
      <c r="A76" s="8" t="inlineStr">
        <is>
          <t>CHILE</t>
        </is>
      </c>
      <c r="B76" s="8" t="inlineStr">
        <is>
          <t>CYTO PRIME</t>
        </is>
      </c>
      <c r="C76" s="8" t="inlineStr"/>
      <c r="D76" s="8" t="inlineStr">
        <is>
          <t>AV CYTO PRIME</t>
        </is>
      </c>
      <c r="E76" s="9" t="n">
        <v>209000</v>
      </c>
      <c r="F76" s="9" t="n">
        <v>0</v>
      </c>
      <c r="G76" s="9" t="n">
        <v>11</v>
      </c>
      <c r="H76" s="10" t="n">
        <v>1</v>
      </c>
      <c r="I76" s="8" t="inlineStr">
        <is>
          <t>CLP</t>
        </is>
      </c>
      <c r="J76" s="9" t="n">
        <v>19000</v>
      </c>
      <c r="K76" s="9" t="n">
        <v>4500</v>
      </c>
      <c r="L76" s="9" t="n">
        <v>6525</v>
      </c>
      <c r="M76" s="9" t="n">
        <v>18000</v>
      </c>
      <c r="N76" s="9" t="n">
        <v>19000</v>
      </c>
      <c r="O76" s="11" t="n">
        <v>0.7631999999999999</v>
      </c>
      <c r="P76" s="11" t="n">
        <v>0.3103</v>
      </c>
      <c r="Q76" s="11" t="n">
        <v>0.4528</v>
      </c>
      <c r="R76" s="15" t="inlineStr">
        <is>
          <t>EXCELENTE</t>
        </is>
      </c>
      <c r="S76" s="8" t="inlineStr">
        <is>
          <t>no</t>
        </is>
      </c>
      <c r="T76" s="8" t="inlineStr">
        <is>
          <t>no</t>
        </is>
      </c>
    </row>
    <row r="77">
      <c r="A77" s="8" t="inlineStr">
        <is>
          <t>CHILE</t>
        </is>
      </c>
      <c r="B77" s="8" t="inlineStr">
        <is>
          <t>ROOT MAX</t>
        </is>
      </c>
      <c r="C77" s="8" t="inlineStr">
        <is>
          <t>5 L</t>
        </is>
      </c>
      <c r="D77" s="8" t="inlineStr">
        <is>
          <t>AV ROOT MAX</t>
        </is>
      </c>
      <c r="E77" s="9" t="n">
        <v>200889</v>
      </c>
      <c r="F77" s="9" t="n">
        <v>0</v>
      </c>
      <c r="G77" s="9" t="n">
        <v>20</v>
      </c>
      <c r="H77" s="10" t="n">
        <v>3</v>
      </c>
      <c r="I77" s="8" t="inlineStr">
        <is>
          <t>CLP</t>
        </is>
      </c>
      <c r="J77" s="9" t="n">
        <v>10044.45</v>
      </c>
      <c r="K77" s="9" t="n">
        <v>3358.2</v>
      </c>
      <c r="L77" s="9" t="n">
        <v>4869.39</v>
      </c>
      <c r="M77" s="9" t="n">
        <v>9000</v>
      </c>
      <c r="N77" s="9" t="n">
        <v>10044.45</v>
      </c>
      <c r="O77" s="11" t="n">
        <v>0.6657</v>
      </c>
      <c r="P77" s="11" t="n">
        <v>0.3103</v>
      </c>
      <c r="Q77" s="11" t="n">
        <v>0.3553</v>
      </c>
      <c r="R77" s="15" t="inlineStr">
        <is>
          <t>EXCELENTE</t>
        </is>
      </c>
      <c r="S77" s="8" t="inlineStr">
        <is>
          <t>no</t>
        </is>
      </c>
      <c r="T77" s="8" t="inlineStr">
        <is>
          <t>no</t>
        </is>
      </c>
    </row>
    <row r="78">
      <c r="A78" s="8" t="inlineStr">
        <is>
          <t>CHILE</t>
        </is>
      </c>
      <c r="B78" s="8" t="inlineStr">
        <is>
          <t>BIOSOLARIS</t>
        </is>
      </c>
      <c r="C78" s="8" t="inlineStr">
        <is>
          <t>5 L</t>
        </is>
      </c>
      <c r="D78" s="8" t="inlineStr">
        <is>
          <t>AV BIOSOLARIS</t>
        </is>
      </c>
      <c r="E78" s="9" t="n">
        <v>194000</v>
      </c>
      <c r="F78" s="9" t="n">
        <v>0</v>
      </c>
      <c r="G78" s="9" t="n">
        <v>15</v>
      </c>
      <c r="H78" s="10" t="n">
        <v>3</v>
      </c>
      <c r="I78" s="8" t="inlineStr">
        <is>
          <t>CLP</t>
        </is>
      </c>
      <c r="J78" s="9" t="n">
        <v>12933.3333</v>
      </c>
      <c r="K78" s="9" t="n">
        <v>3026.8</v>
      </c>
      <c r="L78" s="9" t="n">
        <v>4388.86</v>
      </c>
      <c r="M78" s="9" t="n">
        <v>15000</v>
      </c>
      <c r="N78" s="9" t="n">
        <v>12933.3333</v>
      </c>
      <c r="O78" s="11" t="n">
        <v>0.7659999999999999</v>
      </c>
      <c r="P78" s="11" t="n">
        <v>0.3103</v>
      </c>
      <c r="Q78" s="11" t="n">
        <v>0.4556</v>
      </c>
      <c r="R78" s="15" t="inlineStr">
        <is>
          <t>EXCELENTE</t>
        </is>
      </c>
      <c r="S78" s="13" t="inlineStr">
        <is>
          <t>SI</t>
        </is>
      </c>
      <c r="T78" s="8" t="inlineStr">
        <is>
          <t>no</t>
        </is>
      </c>
    </row>
    <row r="79">
      <c r="A79" s="8" t="inlineStr">
        <is>
          <t>CHILE</t>
        </is>
      </c>
      <c r="B79" s="8" t="inlineStr">
        <is>
          <t>PLUS NP-MIX</t>
        </is>
      </c>
      <c r="C79" s="8" t="inlineStr">
        <is>
          <t>1 L</t>
        </is>
      </c>
      <c r="D79" s="8" t="inlineStr">
        <is>
          <t>AV PLUS NP-MIX</t>
        </is>
      </c>
      <c r="E79" s="9" t="n">
        <v>172200</v>
      </c>
      <c r="F79" s="9" t="n">
        <v>0</v>
      </c>
      <c r="G79" s="9" t="n">
        <v>24</v>
      </c>
      <c r="H79" s="10" t="n">
        <v>1</v>
      </c>
      <c r="I79" s="8" t="inlineStr">
        <is>
          <t>CLP</t>
        </is>
      </c>
      <c r="J79" s="9" t="n">
        <v>7175</v>
      </c>
      <c r="K79" s="9" t="n">
        <v>4666</v>
      </c>
      <c r="L79" s="9" t="n">
        <v>6765.7</v>
      </c>
      <c r="M79" s="9" t="n">
        <v>8000</v>
      </c>
      <c r="N79" s="9" t="n">
        <v>7175</v>
      </c>
      <c r="O79" s="11" t="n">
        <v>0.3497</v>
      </c>
      <c r="P79" s="11" t="n">
        <v>0.3103</v>
      </c>
      <c r="Q79" s="11" t="n">
        <v>0.0393</v>
      </c>
      <c r="R79" s="15" t="inlineStr">
        <is>
          <t>EXCELENTE</t>
        </is>
      </c>
      <c r="S79" s="13" t="inlineStr">
        <is>
          <t>SI</t>
        </is>
      </c>
      <c r="T79" s="8" t="inlineStr">
        <is>
          <t>no</t>
        </is>
      </c>
    </row>
    <row r="80">
      <c r="A80" s="8" t="inlineStr">
        <is>
          <t>CHILE</t>
        </is>
      </c>
      <c r="B80" s="8" t="inlineStr">
        <is>
          <t>BIOSOLARIS</t>
        </is>
      </c>
      <c r="C80" s="8" t="inlineStr">
        <is>
          <t>1 L</t>
        </is>
      </c>
      <c r="D80" s="8" t="inlineStr">
        <is>
          <t>AV BIOSOLARIS</t>
        </is>
      </c>
      <c r="E80" s="9" t="n">
        <v>171200</v>
      </c>
      <c r="F80" s="9" t="n">
        <v>0</v>
      </c>
      <c r="G80" s="9" t="n">
        <v>16</v>
      </c>
      <c r="H80" s="10" t="n">
        <v>3</v>
      </c>
      <c r="I80" s="8" t="inlineStr">
        <is>
          <t>CLP</t>
        </is>
      </c>
      <c r="J80" s="9" t="n">
        <v>10700</v>
      </c>
      <c r="K80" s="9" t="n">
        <v>4143</v>
      </c>
      <c r="L80" s="9" t="n">
        <v>6007.35</v>
      </c>
      <c r="M80" s="9" t="n">
        <v>16000</v>
      </c>
      <c r="N80" s="9" t="n">
        <v>10700</v>
      </c>
      <c r="O80" s="11" t="n">
        <v>0.6128</v>
      </c>
      <c r="P80" s="11" t="n">
        <v>0.3103</v>
      </c>
      <c r="Q80" s="11" t="n">
        <v>0.3025</v>
      </c>
      <c r="R80" s="15" t="inlineStr">
        <is>
          <t>EXCELENTE</t>
        </is>
      </c>
      <c r="S80" s="13" t="inlineStr">
        <is>
          <t>SI</t>
        </is>
      </c>
      <c r="T80" s="8" t="inlineStr">
        <is>
          <t>no</t>
        </is>
      </c>
    </row>
    <row r="81">
      <c r="A81" s="8" t="inlineStr">
        <is>
          <t>CHILE</t>
        </is>
      </c>
      <c r="B81" s="8" t="inlineStr">
        <is>
          <t>PLUS ZINC</t>
        </is>
      </c>
      <c r="C81" s="8" t="inlineStr">
        <is>
          <t>20 L</t>
        </is>
      </c>
      <c r="D81" s="8" t="inlineStr">
        <is>
          <t>AV PLUS ZINC</t>
        </is>
      </c>
      <c r="E81" s="9" t="n">
        <v>160000</v>
      </c>
      <c r="F81" s="9" t="n">
        <v>0</v>
      </c>
      <c r="G81" s="9" t="n">
        <v>40</v>
      </c>
      <c r="H81" s="10" t="n">
        <v>2</v>
      </c>
      <c r="I81" s="8" t="inlineStr">
        <is>
          <t>CLP</t>
        </is>
      </c>
      <c r="J81" s="9" t="n">
        <v>4000</v>
      </c>
      <c r="K81" s="9" t="n">
        <v>2112.95</v>
      </c>
      <c r="L81" s="9" t="n">
        <v>3063.7775</v>
      </c>
      <c r="M81" s="9" t="n">
        <v>4800</v>
      </c>
      <c r="N81" s="9" t="n">
        <v>4000</v>
      </c>
      <c r="O81" s="11" t="n">
        <v>0.4718</v>
      </c>
      <c r="P81" s="11" t="n">
        <v>0.3103</v>
      </c>
      <c r="Q81" s="11" t="n">
        <v>0.1614</v>
      </c>
      <c r="R81" s="15" t="inlineStr">
        <is>
          <t>EXCELENTE</t>
        </is>
      </c>
      <c r="S81" s="13" t="inlineStr">
        <is>
          <t>SI</t>
        </is>
      </c>
      <c r="T81" s="8" t="inlineStr">
        <is>
          <t>no</t>
        </is>
      </c>
    </row>
    <row r="82">
      <c r="A82" s="8" t="inlineStr">
        <is>
          <t>CHILE</t>
        </is>
      </c>
      <c r="B82" s="8" t="inlineStr">
        <is>
          <t>ALGAP 30</t>
        </is>
      </c>
      <c r="C82" s="8" t="inlineStr">
        <is>
          <t>5 L</t>
        </is>
      </c>
      <c r="D82" s="8" t="inlineStr">
        <is>
          <t>AV ALGAP 30</t>
        </is>
      </c>
      <c r="E82" s="9" t="n">
        <v>142572</v>
      </c>
      <c r="F82" s="9" t="n">
        <v>0</v>
      </c>
      <c r="G82" s="9" t="n">
        <v>30</v>
      </c>
      <c r="H82" s="10" t="n">
        <v>3</v>
      </c>
      <c r="I82" s="8" t="inlineStr">
        <is>
          <t>CLP</t>
        </is>
      </c>
      <c r="J82" s="9" t="n">
        <v>4752.4</v>
      </c>
      <c r="K82" s="9" t="n">
        <v>2599.2</v>
      </c>
      <c r="L82" s="9" t="n">
        <v>3768.84</v>
      </c>
      <c r="M82" s="9" t="n">
        <v>5000</v>
      </c>
      <c r="N82" s="9" t="n">
        <v>4752.4</v>
      </c>
      <c r="O82" s="11" t="n">
        <v>0.4531</v>
      </c>
      <c r="P82" s="11" t="n">
        <v>0.3103</v>
      </c>
      <c r="Q82" s="11" t="n">
        <v>0.1427</v>
      </c>
      <c r="R82" s="15" t="inlineStr">
        <is>
          <t>EXCELENTE</t>
        </is>
      </c>
      <c r="S82" s="13" t="inlineStr">
        <is>
          <t>SI</t>
        </is>
      </c>
      <c r="T82" s="8" t="inlineStr">
        <is>
          <t>no</t>
        </is>
      </c>
    </row>
    <row r="83">
      <c r="A83" s="8" t="inlineStr">
        <is>
          <t>CHILE</t>
        </is>
      </c>
      <c r="B83" s="8" t="inlineStr">
        <is>
          <t>PLUS NUTRI MIX</t>
        </is>
      </c>
      <c r="C83" s="8" t="inlineStr">
        <is>
          <t>5 L</t>
        </is>
      </c>
      <c r="D83" s="8" t="inlineStr">
        <is>
          <t>AV PLUS NUTRI MIX</t>
        </is>
      </c>
      <c r="E83" s="9" t="n">
        <v>133560</v>
      </c>
      <c r="F83" s="9" t="n">
        <v>0</v>
      </c>
      <c r="G83" s="9" t="n">
        <v>20</v>
      </c>
      <c r="H83" s="10" t="n">
        <v>3</v>
      </c>
      <c r="I83" s="8" t="inlineStr">
        <is>
          <t>CLP</t>
        </is>
      </c>
      <c r="J83" s="9" t="n">
        <v>6678</v>
      </c>
      <c r="K83" s="9" t="n">
        <v>2931.4</v>
      </c>
      <c r="L83" s="9" t="n">
        <v>4250.53</v>
      </c>
      <c r="M83" s="9" t="n">
        <v>7200</v>
      </c>
      <c r="N83" s="9" t="n">
        <v>6678</v>
      </c>
      <c r="O83" s="11" t="n">
        <v>0.5610000000000001</v>
      </c>
      <c r="P83" s="11" t="n">
        <v>0.3103</v>
      </c>
      <c r="Q83" s="11" t="n">
        <v>0.2507</v>
      </c>
      <c r="R83" s="15" t="inlineStr">
        <is>
          <t>EXCELENTE</t>
        </is>
      </c>
      <c r="S83" s="13" t="inlineStr">
        <is>
          <t>SI</t>
        </is>
      </c>
      <c r="T83" s="8" t="inlineStr">
        <is>
          <t>no</t>
        </is>
      </c>
    </row>
    <row r="84">
      <c r="A84" s="8" t="inlineStr">
        <is>
          <t>CHILE</t>
        </is>
      </c>
      <c r="B84" s="8" t="inlineStr">
        <is>
          <t>PLUS ZINC MANGANESO</t>
        </is>
      </c>
      <c r="C84" s="8" t="inlineStr">
        <is>
          <t>5 L</t>
        </is>
      </c>
      <c r="D84" s="8" t="inlineStr">
        <is>
          <t>AV PLUS ZINC MANGANESO</t>
        </is>
      </c>
      <c r="E84" s="9" t="n">
        <v>90300</v>
      </c>
      <c r="F84" s="9" t="n">
        <v>46000</v>
      </c>
      <c r="G84" s="9" t="n">
        <v>20</v>
      </c>
      <c r="H84" s="10" t="n">
        <v>3</v>
      </c>
      <c r="I84" s="8" t="inlineStr">
        <is>
          <t>CLP</t>
        </is>
      </c>
      <c r="J84" s="9" t="n">
        <v>4515</v>
      </c>
      <c r="K84" s="9" t="n">
        <v>2555.4</v>
      </c>
      <c r="L84" s="9" t="n">
        <v>3705.33</v>
      </c>
      <c r="M84" s="9" t="n">
        <v>6000</v>
      </c>
      <c r="N84" s="9" t="n">
        <v>4515</v>
      </c>
      <c r="O84" s="11" t="n">
        <v>0.434</v>
      </c>
      <c r="P84" s="11" t="n">
        <v>0.3103</v>
      </c>
      <c r="Q84" s="11" t="n">
        <v>0.1237</v>
      </c>
      <c r="R84" s="15" t="inlineStr">
        <is>
          <t>EXCELENTE</t>
        </is>
      </c>
      <c r="S84" s="13" t="inlineStr">
        <is>
          <t>SI</t>
        </is>
      </c>
      <c r="T84" s="8" t="inlineStr">
        <is>
          <t>no</t>
        </is>
      </c>
    </row>
    <row r="85">
      <c r="A85" s="8" t="inlineStr">
        <is>
          <t>CHILE</t>
        </is>
      </c>
      <c r="B85" s="8" t="inlineStr">
        <is>
          <t>PLUS HIERRO</t>
        </is>
      </c>
      <c r="C85" s="8" t="inlineStr">
        <is>
          <t>20 L</t>
        </is>
      </c>
      <c r="D85" s="8" t="inlineStr">
        <is>
          <t>AV PLUS HIERRO</t>
        </is>
      </c>
      <c r="E85" s="9" t="n">
        <v>80000</v>
      </c>
      <c r="F85" s="9" t="n">
        <v>0</v>
      </c>
      <c r="G85" s="9" t="n">
        <v>20</v>
      </c>
      <c r="H85" s="10" t="n">
        <v>1</v>
      </c>
      <c r="I85" s="8" t="inlineStr">
        <is>
          <t>CLP</t>
        </is>
      </c>
      <c r="J85" s="9" t="n">
        <v>4000</v>
      </c>
      <c r="K85" s="9" t="n">
        <v>1320.95</v>
      </c>
      <c r="L85" s="9" t="n">
        <v>1915.3775</v>
      </c>
      <c r="M85" s="9" t="n">
        <v>5000</v>
      </c>
      <c r="N85" s="9" t="n">
        <v>4000</v>
      </c>
      <c r="O85" s="11" t="n">
        <v>0.6698000000000001</v>
      </c>
      <c r="P85" s="11" t="n">
        <v>0.3103</v>
      </c>
      <c r="Q85" s="11" t="n">
        <v>0.3594</v>
      </c>
      <c r="R85" s="15" t="inlineStr">
        <is>
          <t>EXCELENTE</t>
        </is>
      </c>
      <c r="S85" s="13" t="inlineStr">
        <is>
          <t>SI</t>
        </is>
      </c>
      <c r="T85" s="8" t="inlineStr">
        <is>
          <t>no</t>
        </is>
      </c>
    </row>
    <row r="86">
      <c r="A86" s="8" t="inlineStr">
        <is>
          <t>CHILE</t>
        </is>
      </c>
      <c r="B86" s="8" t="inlineStr">
        <is>
          <t>PLUS BORO</t>
        </is>
      </c>
      <c r="C86" s="8" t="inlineStr">
        <is>
          <t>5 L</t>
        </is>
      </c>
      <c r="D86" s="8" t="inlineStr">
        <is>
          <t>AV PLUS BORO</t>
        </is>
      </c>
      <c r="E86" s="9" t="n">
        <v>72450</v>
      </c>
      <c r="F86" s="9" t="n">
        <v>0</v>
      </c>
      <c r="G86" s="9" t="n">
        <v>15</v>
      </c>
      <c r="H86" s="10" t="n">
        <v>2</v>
      </c>
      <c r="I86" s="8" t="inlineStr">
        <is>
          <t>CLP</t>
        </is>
      </c>
      <c r="J86" s="9" t="n">
        <v>4830</v>
      </c>
      <c r="K86" s="9" t="n">
        <v>1973.6</v>
      </c>
      <c r="L86" s="9" t="n">
        <v>2861.72</v>
      </c>
      <c r="M86" s="9" t="n">
        <v>5000</v>
      </c>
      <c r="N86" s="9" t="n">
        <v>4830</v>
      </c>
      <c r="O86" s="11" t="n">
        <v>0.5914</v>
      </c>
      <c r="P86" s="11" t="n">
        <v>0.3103</v>
      </c>
      <c r="Q86" s="11" t="n">
        <v>0.281</v>
      </c>
      <c r="R86" s="15" t="inlineStr">
        <is>
          <t>EXCELENTE</t>
        </is>
      </c>
      <c r="S86" s="13" t="inlineStr">
        <is>
          <t>SI</t>
        </is>
      </c>
      <c r="T86" s="8" t="inlineStr">
        <is>
          <t>no</t>
        </is>
      </c>
    </row>
    <row r="87">
      <c r="A87" s="8" t="inlineStr">
        <is>
          <t>CHILE</t>
        </is>
      </c>
      <c r="B87" s="8" t="inlineStr">
        <is>
          <t>SILFORTE</t>
        </is>
      </c>
      <c r="C87" s="8" t="inlineStr">
        <is>
          <t>1 L</t>
        </is>
      </c>
      <c r="D87" s="8" t="inlineStr">
        <is>
          <t>AV SILFORTE</t>
        </is>
      </c>
      <c r="E87" s="9" t="n">
        <v>58800</v>
      </c>
      <c r="F87" s="9" t="n">
        <v>0</v>
      </c>
      <c r="G87" s="9" t="n">
        <v>4</v>
      </c>
      <c r="H87" s="10" t="n">
        <v>1</v>
      </c>
      <c r="I87" s="8" t="inlineStr">
        <is>
          <t>CLP</t>
        </is>
      </c>
      <c r="J87" s="9" t="n">
        <v>14700</v>
      </c>
      <c r="K87" s="9" t="n">
        <v>4153</v>
      </c>
      <c r="L87" s="9" t="n">
        <v>6021.85</v>
      </c>
      <c r="M87" s="9" t="n">
        <v>12000</v>
      </c>
      <c r="N87" s="9" t="n">
        <v>14700</v>
      </c>
      <c r="O87" s="11" t="n">
        <v>0.7175</v>
      </c>
      <c r="P87" s="11" t="n">
        <v>0.3103</v>
      </c>
      <c r="Q87" s="11" t="n">
        <v>0.4071</v>
      </c>
      <c r="R87" s="15" t="inlineStr">
        <is>
          <t>EXCELENTE</t>
        </is>
      </c>
      <c r="S87" s="8" t="inlineStr">
        <is>
          <t>no</t>
        </is>
      </c>
      <c r="T87" s="8" t="inlineStr">
        <is>
          <t>no</t>
        </is>
      </c>
    </row>
    <row r="88">
      <c r="A88" s="8" t="inlineStr">
        <is>
          <t>CHILE</t>
        </is>
      </c>
      <c r="B88" s="8" t="inlineStr">
        <is>
          <t>MOVE</t>
        </is>
      </c>
      <c r="C88" s="8" t="inlineStr">
        <is>
          <t>1 L</t>
        </is>
      </c>
      <c r="D88" s="8" t="inlineStr">
        <is>
          <t>AV MOVE</t>
        </is>
      </c>
      <c r="E88" s="9" t="n">
        <v>58350</v>
      </c>
      <c r="F88" s="9" t="n">
        <v>0</v>
      </c>
      <c r="G88" s="9" t="n">
        <v>7</v>
      </c>
      <c r="H88" s="10" t="n">
        <v>5</v>
      </c>
      <c r="I88" s="8" t="inlineStr">
        <is>
          <t>CLP</t>
        </is>
      </c>
      <c r="J88" s="9" t="n">
        <v>8335.7143</v>
      </c>
      <c r="K88" s="9" t="n">
        <v>4631</v>
      </c>
      <c r="L88" s="9" t="n">
        <v>6714.95</v>
      </c>
      <c r="M88" s="9" t="n">
        <v>8800</v>
      </c>
      <c r="N88" s="9" t="n">
        <v>8335.7143</v>
      </c>
      <c r="O88" s="11" t="n">
        <v>0.4444</v>
      </c>
      <c r="P88" s="11" t="n">
        <v>0.3103</v>
      </c>
      <c r="Q88" s="11" t="n">
        <v>0.1341</v>
      </c>
      <c r="R88" s="15" t="inlineStr">
        <is>
          <t>EXCELENTE</t>
        </is>
      </c>
      <c r="S88" s="13" t="inlineStr">
        <is>
          <t>SI</t>
        </is>
      </c>
      <c r="T88" s="8" t="inlineStr">
        <is>
          <t>no</t>
        </is>
      </c>
    </row>
    <row r="89">
      <c r="A89" s="8" t="inlineStr">
        <is>
          <t>CHILE</t>
        </is>
      </c>
      <c r="B89" s="8" t="inlineStr">
        <is>
          <t>PLUS BORO</t>
        </is>
      </c>
      <c r="C89" s="8" t="inlineStr">
        <is>
          <t>1 L</t>
        </is>
      </c>
      <c r="D89" s="8" t="inlineStr">
        <is>
          <t>AV PLUS BORO</t>
        </is>
      </c>
      <c r="E89" s="9" t="n">
        <v>57316</v>
      </c>
      <c r="F89" s="9" t="n">
        <v>0</v>
      </c>
      <c r="G89" s="9" t="n">
        <v>10</v>
      </c>
      <c r="H89" s="10" t="n">
        <v>3</v>
      </c>
      <c r="I89" s="8" t="inlineStr">
        <is>
          <t>CLP</t>
        </is>
      </c>
      <c r="J89" s="9" t="n">
        <v>5731.6</v>
      </c>
      <c r="K89" s="9" t="n">
        <v>3090</v>
      </c>
      <c r="L89" s="9" t="n">
        <v>4480.5</v>
      </c>
      <c r="M89" s="9" t="n">
        <v>6000</v>
      </c>
      <c r="N89" s="9" t="n">
        <v>5731.6</v>
      </c>
      <c r="O89" s="11" t="n">
        <v>0.4609</v>
      </c>
      <c r="P89" s="11" t="n">
        <v>0.3103</v>
      </c>
      <c r="Q89" s="11" t="n">
        <v>0.1505</v>
      </c>
      <c r="R89" s="15" t="inlineStr">
        <is>
          <t>EXCELENTE</t>
        </is>
      </c>
      <c r="S89" s="13" t="inlineStr">
        <is>
          <t>SI</t>
        </is>
      </c>
      <c r="T89" s="8" t="inlineStr">
        <is>
          <t>no</t>
        </is>
      </c>
    </row>
    <row r="90">
      <c r="A90" s="8" t="inlineStr">
        <is>
          <t>CHILE</t>
        </is>
      </c>
      <c r="B90" s="8" t="inlineStr">
        <is>
          <t>PLUS CALCIO</t>
        </is>
      </c>
      <c r="C90" s="8" t="inlineStr"/>
      <c r="D90" s="8" t="inlineStr">
        <is>
          <t>AV PLUS CALCIO</t>
        </is>
      </c>
      <c r="E90" s="9" t="n">
        <v>47515</v>
      </c>
      <c r="F90" s="9" t="n">
        <v>0</v>
      </c>
      <c r="G90" s="9" t="n">
        <v>10</v>
      </c>
      <c r="H90" s="10" t="n">
        <v>2</v>
      </c>
      <c r="I90" s="8" t="inlineStr">
        <is>
          <t>CLP</t>
        </is>
      </c>
      <c r="J90" s="9" t="n">
        <v>4751.5</v>
      </c>
      <c r="K90" s="9" t="n">
        <v>3110</v>
      </c>
      <c r="L90" s="9" t="n">
        <v>4509.5</v>
      </c>
      <c r="M90" s="9" t="n">
        <v>6000</v>
      </c>
      <c r="N90" s="9" t="n">
        <v>4751.5</v>
      </c>
      <c r="O90" s="11" t="n">
        <v>0.3455</v>
      </c>
      <c r="P90" s="11" t="n">
        <v>0.3103</v>
      </c>
      <c r="Q90" s="11" t="n">
        <v>0.0351</v>
      </c>
      <c r="R90" s="15" t="inlineStr">
        <is>
          <t>EXCELENTE</t>
        </is>
      </c>
      <c r="S90" s="13" t="inlineStr">
        <is>
          <t>SI</t>
        </is>
      </c>
      <c r="T90" s="8" t="inlineStr">
        <is>
          <t>no</t>
        </is>
      </c>
    </row>
    <row r="91">
      <c r="A91" s="8" t="inlineStr">
        <is>
          <t>CHILE</t>
        </is>
      </c>
      <c r="B91" s="8" t="inlineStr">
        <is>
          <t>PLUS CALCIO BORO</t>
        </is>
      </c>
      <c r="C91" s="8" t="inlineStr"/>
      <c r="D91" s="8" t="inlineStr">
        <is>
          <t>AV PLUS CALCIO BORO</t>
        </is>
      </c>
      <c r="E91" s="9" t="n">
        <v>47510</v>
      </c>
      <c r="F91" s="9" t="n">
        <v>0</v>
      </c>
      <c r="G91" s="9" t="n">
        <v>10</v>
      </c>
      <c r="H91" s="10" t="n">
        <v>1</v>
      </c>
      <c r="I91" s="8" t="inlineStr">
        <is>
          <t>CLP</t>
        </is>
      </c>
      <c r="J91" s="9" t="n">
        <v>4751</v>
      </c>
      <c r="K91" s="9" t="n">
        <v>3194</v>
      </c>
      <c r="L91" s="9" t="n">
        <v>4631.3</v>
      </c>
      <c r="M91" s="9" t="n">
        <v>7500</v>
      </c>
      <c r="N91" s="9" t="n">
        <v>4751</v>
      </c>
      <c r="O91" s="11" t="n">
        <v>0.3277</v>
      </c>
      <c r="P91" s="11" t="n">
        <v>0.3103</v>
      </c>
      <c r="Q91" s="11" t="n">
        <v>0.0174</v>
      </c>
      <c r="R91" s="15" t="inlineStr">
        <is>
          <t>EXCELENTE</t>
        </is>
      </c>
      <c r="S91" s="13" t="inlineStr">
        <is>
          <t>SI</t>
        </is>
      </c>
      <c r="T91" s="8" t="inlineStr">
        <is>
          <t>no</t>
        </is>
      </c>
    </row>
    <row r="92">
      <c r="A92" s="8" t="inlineStr">
        <is>
          <t>CHILE</t>
        </is>
      </c>
      <c r="B92" s="8" t="inlineStr">
        <is>
          <t>MAX FULVIC 45%</t>
        </is>
      </c>
      <c r="C92" s="8" t="inlineStr">
        <is>
          <t>5 L</t>
        </is>
      </c>
      <c r="D92" s="8" t="inlineStr">
        <is>
          <t>AV MAX FULVIC 45%</t>
        </is>
      </c>
      <c r="E92" s="9" t="n">
        <v>42000</v>
      </c>
      <c r="F92" s="9" t="n">
        <v>0</v>
      </c>
      <c r="G92" s="9" t="n">
        <v>10</v>
      </c>
      <c r="H92" s="10" t="n">
        <v>1</v>
      </c>
      <c r="I92" s="8" t="inlineStr">
        <is>
          <t>CLP</t>
        </is>
      </c>
      <c r="J92" s="9" t="n">
        <v>4200</v>
      </c>
      <c r="K92" s="9" t="n">
        <v>2221.6</v>
      </c>
      <c r="L92" s="9" t="n">
        <v>3221.32</v>
      </c>
      <c r="M92" s="9" t="n">
        <v>5800</v>
      </c>
      <c r="N92" s="9" t="n">
        <v>4200</v>
      </c>
      <c r="O92" s="11" t="n">
        <v>0.471</v>
      </c>
      <c r="P92" s="11" t="n">
        <v>0.3103</v>
      </c>
      <c r="Q92" s="11" t="n">
        <v>0.1607</v>
      </c>
      <c r="R92" s="15" t="inlineStr">
        <is>
          <t>EXCELENTE</t>
        </is>
      </c>
      <c r="S92" s="13" t="inlineStr">
        <is>
          <t>SI</t>
        </is>
      </c>
      <c r="T92" s="8" t="inlineStr">
        <is>
          <t>no</t>
        </is>
      </c>
    </row>
    <row r="93">
      <c r="A93" s="8" t="inlineStr">
        <is>
          <t>CHILE</t>
        </is>
      </c>
      <c r="B93" s="8" t="inlineStr">
        <is>
          <t>CYTO PRIME</t>
        </is>
      </c>
      <c r="C93" s="8" t="inlineStr">
        <is>
          <t>1 L</t>
        </is>
      </c>
      <c r="D93" s="8" t="inlineStr">
        <is>
          <t>AV CYTO PRIME</t>
        </is>
      </c>
      <c r="E93" s="9" t="n">
        <v>39750</v>
      </c>
      <c r="F93" s="9" t="n">
        <v>0</v>
      </c>
      <c r="G93" s="9" t="n">
        <v>2</v>
      </c>
      <c r="H93" s="10" t="n">
        <v>1</v>
      </c>
      <c r="I93" s="8" t="inlineStr">
        <is>
          <t>CLP</t>
        </is>
      </c>
      <c r="J93" s="9" t="n">
        <v>19875</v>
      </c>
      <c r="K93" s="9" t="n">
        <v>4500</v>
      </c>
      <c r="L93" s="9" t="n">
        <v>6525</v>
      </c>
      <c r="M93" s="9" t="n">
        <v>18000</v>
      </c>
      <c r="N93" s="9" t="n">
        <v>19875</v>
      </c>
      <c r="O93" s="11" t="n">
        <v>0.7736</v>
      </c>
      <c r="P93" s="11" t="n">
        <v>0.3103</v>
      </c>
      <c r="Q93" s="11" t="n">
        <v>0.4632</v>
      </c>
      <c r="R93" s="15" t="inlineStr">
        <is>
          <t>EXCELENTE</t>
        </is>
      </c>
      <c r="S93" s="8" t="inlineStr">
        <is>
          <t>no</t>
        </is>
      </c>
      <c r="T93" s="8" t="inlineStr">
        <is>
          <t>no</t>
        </is>
      </c>
    </row>
    <row r="94">
      <c r="A94" s="8" t="inlineStr">
        <is>
          <t>CHILE</t>
        </is>
      </c>
      <c r="B94" s="8" t="inlineStr">
        <is>
          <t>PLUS HIERRO</t>
        </is>
      </c>
      <c r="C94" s="8" t="inlineStr">
        <is>
          <t>5 L</t>
        </is>
      </c>
      <c r="D94" s="8" t="inlineStr">
        <is>
          <t>AV PLUS HIERRO</t>
        </is>
      </c>
      <c r="E94" s="9" t="n">
        <v>35400</v>
      </c>
      <c r="F94" s="9" t="n">
        <v>0</v>
      </c>
      <c r="G94" s="9" t="n">
        <v>10</v>
      </c>
      <c r="H94" s="10" t="n">
        <v>2</v>
      </c>
      <c r="I94" s="8" t="inlineStr">
        <is>
          <t>CLP</t>
        </is>
      </c>
      <c r="J94" s="9" t="n">
        <v>3540</v>
      </c>
      <c r="K94" s="9" t="n">
        <v>2038</v>
      </c>
      <c r="L94" s="9" t="n">
        <v>2955.1</v>
      </c>
      <c r="M94" s="9" t="n">
        <v>6800</v>
      </c>
      <c r="N94" s="9" t="n">
        <v>3540</v>
      </c>
      <c r="O94" s="11" t="n">
        <v>0.4243</v>
      </c>
      <c r="P94" s="11" t="n">
        <v>0.3103</v>
      </c>
      <c r="Q94" s="11" t="n">
        <v>0.1139</v>
      </c>
      <c r="R94" s="15" t="inlineStr">
        <is>
          <t>EXCELENTE</t>
        </is>
      </c>
      <c r="S94" s="13" t="inlineStr">
        <is>
          <t>SI</t>
        </is>
      </c>
      <c r="T94" s="8" t="inlineStr">
        <is>
          <t>no</t>
        </is>
      </c>
    </row>
    <row r="95">
      <c r="A95" s="8" t="inlineStr">
        <is>
          <t>CHILE</t>
        </is>
      </c>
      <c r="B95" s="8" t="inlineStr">
        <is>
          <t>PLUS ZINC</t>
        </is>
      </c>
      <c r="C95" s="8" t="inlineStr">
        <is>
          <t>1 L</t>
        </is>
      </c>
      <c r="D95" s="8" t="inlineStr">
        <is>
          <t>AV PLUS ZINC</t>
        </is>
      </c>
      <c r="E95" s="9" t="n">
        <v>35210</v>
      </c>
      <c r="F95" s="9" t="n">
        <v>0</v>
      </c>
      <c r="G95" s="9" t="n">
        <v>6</v>
      </c>
      <c r="H95" s="10" t="n">
        <v>3</v>
      </c>
      <c r="I95" s="8" t="inlineStr">
        <is>
          <t>CLP</t>
        </is>
      </c>
      <c r="J95" s="9" t="n">
        <v>5868.3333</v>
      </c>
      <c r="K95" s="9" t="n">
        <v>3946</v>
      </c>
      <c r="L95" s="9" t="n">
        <v>5721.7</v>
      </c>
      <c r="M95" s="9" t="n">
        <v>7200</v>
      </c>
      <c r="N95" s="9" t="n">
        <v>5868.3333</v>
      </c>
      <c r="O95" s="11" t="n">
        <v>0.3276</v>
      </c>
      <c r="P95" s="11" t="n">
        <v>0.3103</v>
      </c>
      <c r="Q95" s="11" t="n">
        <v>0.0172</v>
      </c>
      <c r="R95" s="15" t="inlineStr">
        <is>
          <t>EXCELENTE</t>
        </is>
      </c>
      <c r="S95" s="13" t="inlineStr">
        <is>
          <t>SI</t>
        </is>
      </c>
      <c r="T95" s="8" t="inlineStr">
        <is>
          <t>no</t>
        </is>
      </c>
    </row>
    <row r="96">
      <c r="A96" s="8" t="inlineStr">
        <is>
          <t>CHILE</t>
        </is>
      </c>
      <c r="B96" s="8" t="inlineStr">
        <is>
          <t>PLUS HIERRO</t>
        </is>
      </c>
      <c r="C96" s="8" t="inlineStr">
        <is>
          <t>1 L</t>
        </is>
      </c>
      <c r="D96" s="8" t="inlineStr">
        <is>
          <t>AV PLUS HIERRO</t>
        </is>
      </c>
      <c r="E96" s="9" t="n">
        <v>5810</v>
      </c>
      <c r="F96" s="9" t="n">
        <v>0</v>
      </c>
      <c r="G96" s="9" t="n">
        <v>1</v>
      </c>
      <c r="H96" s="10" t="n">
        <v>1</v>
      </c>
      <c r="I96" s="8" t="inlineStr">
        <is>
          <t>CLP</t>
        </is>
      </c>
      <c r="J96" s="9" t="n">
        <v>5810</v>
      </c>
      <c r="K96" s="9" t="n">
        <v>3154</v>
      </c>
      <c r="L96" s="9" t="n">
        <v>4573.3</v>
      </c>
      <c r="M96" s="9" t="n">
        <v>8000</v>
      </c>
      <c r="N96" s="9" t="n">
        <v>5810</v>
      </c>
      <c r="O96" s="11" t="n">
        <v>0.4571</v>
      </c>
      <c r="P96" s="11" t="n">
        <v>0.3103</v>
      </c>
      <c r="Q96" s="11" t="n">
        <v>0.1468</v>
      </c>
      <c r="R96" s="15" t="inlineStr">
        <is>
          <t>EXCELENTE</t>
        </is>
      </c>
      <c r="S96" s="13" t="inlineStr">
        <is>
          <t>SI</t>
        </is>
      </c>
      <c r="T96" s="8" t="inlineStr">
        <is>
          <t>no</t>
        </is>
      </c>
    </row>
    <row r="97">
      <c r="A97" s="8" t="inlineStr">
        <is>
          <t>CHILE</t>
        </is>
      </c>
      <c r="B97" s="8" t="inlineStr">
        <is>
          <t>CRYOPHILE</t>
        </is>
      </c>
      <c r="C97" s="8" t="inlineStr">
        <is>
          <t>250 G</t>
        </is>
      </c>
      <c r="D97" s="8" t="inlineStr"/>
      <c r="E97" s="9" t="n">
        <v>15356000</v>
      </c>
      <c r="F97" s="9" t="n">
        <v>0</v>
      </c>
      <c r="G97" s="9" t="n">
        <v>868</v>
      </c>
      <c r="H97" s="10" t="n">
        <v>2</v>
      </c>
      <c r="I97" s="8" t="inlineStr">
        <is>
          <t>CLP</t>
        </is>
      </c>
      <c r="J97" s="9" t="n">
        <v>17691.2442</v>
      </c>
      <c r="K97" s="9" t="n"/>
      <c r="L97" s="9" t="n"/>
      <c r="M97" s="9" t="n"/>
      <c r="N97" s="9" t="n">
        <v>17691.2442</v>
      </c>
      <c r="O97" s="11" t="n"/>
      <c r="P97" s="11" t="n">
        <v>0.3103</v>
      </c>
      <c r="Q97" s="11" t="n"/>
      <c r="R97" s="16" t="inlineStr">
        <is>
          <t>SIN COSTO / N/A</t>
        </is>
      </c>
      <c r="S97" s="8" t="inlineStr">
        <is>
          <t>no</t>
        </is>
      </c>
      <c r="T97" s="8" t="inlineStr">
        <is>
          <t>no</t>
        </is>
      </c>
    </row>
    <row r="98">
      <c r="A98" s="8" t="inlineStr">
        <is>
          <t>CHILE</t>
        </is>
      </c>
      <c r="B98" s="8" t="inlineStr">
        <is>
          <t>SOLUFOS</t>
        </is>
      </c>
      <c r="C98" s="8" t="inlineStr">
        <is>
          <t>500 G</t>
        </is>
      </c>
      <c r="D98" s="8" t="inlineStr"/>
      <c r="E98" s="9" t="n">
        <v>5000000</v>
      </c>
      <c r="F98" s="9" t="n">
        <v>0</v>
      </c>
      <c r="G98" s="9" t="n">
        <v>200</v>
      </c>
      <c r="H98" s="10" t="n">
        <v>1</v>
      </c>
      <c r="I98" s="8" t="inlineStr">
        <is>
          <t>CLP</t>
        </is>
      </c>
      <c r="J98" s="9" t="n">
        <v>25000</v>
      </c>
      <c r="K98" s="9" t="n"/>
      <c r="L98" s="9" t="n"/>
      <c r="M98" s="9" t="n"/>
      <c r="N98" s="9" t="n">
        <v>25000</v>
      </c>
      <c r="O98" s="11" t="n"/>
      <c r="P98" s="11" t="n">
        <v>0.3103</v>
      </c>
      <c r="Q98" s="11" t="n"/>
      <c r="R98" s="16" t="inlineStr">
        <is>
          <t>SIN COSTO / N/A</t>
        </is>
      </c>
      <c r="S98" s="8" t="inlineStr">
        <is>
          <t>no</t>
        </is>
      </c>
      <c r="T98" s="8" t="inlineStr">
        <is>
          <t>no</t>
        </is>
      </c>
    </row>
    <row r="99">
      <c r="A99" s="8" t="inlineStr">
        <is>
          <t>CHILE</t>
        </is>
      </c>
      <c r="B99" s="8" t="inlineStr">
        <is>
          <t>BODENPRO POTASIO</t>
        </is>
      </c>
      <c r="C99" s="8" t="inlineStr">
        <is>
          <t>20 L</t>
        </is>
      </c>
      <c r="D99" s="8" t="inlineStr"/>
      <c r="E99" s="9" t="n">
        <v>3780000</v>
      </c>
      <c r="F99" s="9" t="n">
        <v>0</v>
      </c>
      <c r="G99" s="9" t="n">
        <v>2000</v>
      </c>
      <c r="H99" s="10" t="n">
        <v>1</v>
      </c>
      <c r="I99" s="8" t="inlineStr">
        <is>
          <t>CLP</t>
        </is>
      </c>
      <c r="J99" s="9" t="n">
        <v>1890</v>
      </c>
      <c r="K99" s="9" t="n"/>
      <c r="L99" s="9" t="n"/>
      <c r="M99" s="9" t="n"/>
      <c r="N99" s="9" t="n">
        <v>1890</v>
      </c>
      <c r="O99" s="11" t="n"/>
      <c r="P99" s="11" t="n">
        <v>0.3103</v>
      </c>
      <c r="Q99" s="11" t="n"/>
      <c r="R99" s="16" t="inlineStr">
        <is>
          <t>SIN COSTO / N/A</t>
        </is>
      </c>
      <c r="S99" s="8" t="inlineStr">
        <is>
          <t>no</t>
        </is>
      </c>
      <c r="T99" s="8" t="inlineStr">
        <is>
          <t>no</t>
        </is>
      </c>
    </row>
    <row r="100">
      <c r="A100" s="8" t="inlineStr">
        <is>
          <t>CHILE</t>
        </is>
      </c>
      <c r="B100" s="8" t="inlineStr">
        <is>
          <t>XCARATOR</t>
        </is>
      </c>
      <c r="C100" s="8" t="inlineStr">
        <is>
          <t>20 L</t>
        </is>
      </c>
      <c r="D100" s="8" t="inlineStr"/>
      <c r="E100" s="9" t="n">
        <v>2483000</v>
      </c>
      <c r="F100" s="9" t="n">
        <v>0</v>
      </c>
      <c r="G100" s="9" t="n">
        <v>1000</v>
      </c>
      <c r="H100" s="10" t="n">
        <v>1</v>
      </c>
      <c r="I100" s="8" t="inlineStr">
        <is>
          <t>CLP</t>
        </is>
      </c>
      <c r="J100" s="9" t="n">
        <v>2483</v>
      </c>
      <c r="K100" s="9" t="n"/>
      <c r="L100" s="9" t="n"/>
      <c r="M100" s="9" t="n"/>
      <c r="N100" s="9" t="n">
        <v>2483</v>
      </c>
      <c r="O100" s="11" t="n"/>
      <c r="P100" s="11" t="n">
        <v>0.3103</v>
      </c>
      <c r="Q100" s="11" t="n"/>
      <c r="R100" s="16" t="inlineStr">
        <is>
          <t>SIN COSTO / N/A</t>
        </is>
      </c>
      <c r="S100" s="8" t="inlineStr">
        <is>
          <t>no</t>
        </is>
      </c>
      <c r="T100" s="8" t="inlineStr">
        <is>
          <t>no</t>
        </is>
      </c>
    </row>
    <row r="101">
      <c r="A101" s="8" t="inlineStr">
        <is>
          <t>CHILE</t>
        </is>
      </c>
      <c r="B101" s="8" t="inlineStr">
        <is>
          <t>BIOBODEN CRYOPHILE</t>
        </is>
      </c>
      <c r="C101" s="8" t="inlineStr">
        <is>
          <t>250 G</t>
        </is>
      </c>
      <c r="D101" s="8" t="inlineStr"/>
      <c r="E101" s="9" t="n">
        <v>1190000</v>
      </c>
      <c r="F101" s="9" t="n">
        <v>0</v>
      </c>
      <c r="G101" s="9" t="n">
        <v>70</v>
      </c>
      <c r="H101" s="10" t="n">
        <v>1</v>
      </c>
      <c r="I101" s="8" t="inlineStr">
        <is>
          <t>CLP</t>
        </is>
      </c>
      <c r="J101" s="9" t="n">
        <v>17000</v>
      </c>
      <c r="K101" s="9" t="n"/>
      <c r="L101" s="9" t="n"/>
      <c r="M101" s="9" t="n"/>
      <c r="N101" s="9" t="n">
        <v>17000</v>
      </c>
      <c r="O101" s="11" t="n"/>
      <c r="P101" s="11" t="n">
        <v>0.3103</v>
      </c>
      <c r="Q101" s="11" t="n"/>
      <c r="R101" s="16" t="inlineStr">
        <is>
          <t>SIN COSTO / N/A</t>
        </is>
      </c>
      <c r="S101" s="8" t="inlineStr">
        <is>
          <t>no</t>
        </is>
      </c>
      <c r="T101" s="8" t="inlineStr">
        <is>
          <t>no</t>
        </is>
      </c>
    </row>
    <row r="102">
      <c r="A102" s="8" t="inlineStr">
        <is>
          <t>CHILE</t>
        </is>
      </c>
      <c r="B102" s="8" t="inlineStr">
        <is>
          <t>PK-DEFEND MAX</t>
        </is>
      </c>
      <c r="C102" s="8" t="inlineStr">
        <is>
          <t>20 L</t>
        </is>
      </c>
      <c r="D102" s="8" t="inlineStr"/>
      <c r="E102" s="9" t="n">
        <v>560000</v>
      </c>
      <c r="F102" s="9" t="n">
        <v>0</v>
      </c>
      <c r="G102" s="9" t="n">
        <v>140</v>
      </c>
      <c r="H102" s="10" t="n">
        <v>1</v>
      </c>
      <c r="I102" s="8" t="inlineStr">
        <is>
          <t>CLP</t>
        </is>
      </c>
      <c r="J102" s="9" t="n">
        <v>4000</v>
      </c>
      <c r="K102" s="9" t="n"/>
      <c r="L102" s="9" t="n"/>
      <c r="M102" s="9" t="n"/>
      <c r="N102" s="9" t="n">
        <v>4000</v>
      </c>
      <c r="O102" s="11" t="n"/>
      <c r="P102" s="11" t="n">
        <v>0.3103</v>
      </c>
      <c r="Q102" s="11" t="n"/>
      <c r="R102" s="16" t="inlineStr">
        <is>
          <t>SIN COSTO / N/A</t>
        </is>
      </c>
      <c r="S102" s="8" t="inlineStr">
        <is>
          <t>no</t>
        </is>
      </c>
      <c r="T102" s="8" t="inlineStr">
        <is>
          <t>no</t>
        </is>
      </c>
    </row>
    <row r="103">
      <c r="A103" s="8" t="inlineStr">
        <is>
          <t>CHILE</t>
        </is>
      </c>
      <c r="B103" s="8" t="inlineStr">
        <is>
          <t>PRODRUCTOS DE 1 LITRO</t>
        </is>
      </c>
      <c r="C103" s="8" t="inlineStr"/>
      <c r="D103" s="8" t="inlineStr"/>
      <c r="E103" s="9" t="n">
        <v>96000</v>
      </c>
      <c r="F103" s="9" t="n">
        <v>0</v>
      </c>
      <c r="G103" s="9" t="n">
        <v>9</v>
      </c>
      <c r="H103" s="10" t="n">
        <v>1</v>
      </c>
      <c r="I103" s="8" t="inlineStr">
        <is>
          <t>CLP</t>
        </is>
      </c>
      <c r="J103" s="9" t="n">
        <v>10666.6667</v>
      </c>
      <c r="K103" s="9" t="n"/>
      <c r="L103" s="9" t="n"/>
      <c r="M103" s="9" t="n"/>
      <c r="N103" s="9" t="n">
        <v>10666.6667</v>
      </c>
      <c r="O103" s="11" t="n"/>
      <c r="P103" s="11" t="n">
        <v>0.3103</v>
      </c>
      <c r="Q103" s="11" t="n"/>
      <c r="R103" s="16" t="inlineStr">
        <is>
          <t>SIN COSTO / N/A</t>
        </is>
      </c>
      <c r="S103" s="8" t="inlineStr">
        <is>
          <t>no</t>
        </is>
      </c>
      <c r="T103" s="8" t="inlineStr">
        <is>
          <t>no</t>
        </is>
      </c>
    </row>
    <row r="104">
      <c r="A104" s="8" t="inlineStr">
        <is>
          <t>CHILE</t>
        </is>
      </c>
      <c r="B104" s="8" t="inlineStr">
        <is>
          <t>PLUS ROOT MAX</t>
        </is>
      </c>
      <c r="C104" s="8" t="inlineStr"/>
      <c r="D104" s="8" t="inlineStr"/>
      <c r="E104" s="9" t="n">
        <v>49750</v>
      </c>
      <c r="F104" s="9" t="n">
        <v>0</v>
      </c>
      <c r="G104" s="9" t="n">
        <v>5</v>
      </c>
      <c r="H104" s="10" t="n">
        <v>1</v>
      </c>
      <c r="I104" s="8" t="inlineStr">
        <is>
          <t>CLP</t>
        </is>
      </c>
      <c r="J104" s="9" t="n">
        <v>9950</v>
      </c>
      <c r="K104" s="9" t="n"/>
      <c r="L104" s="9" t="n"/>
      <c r="M104" s="9" t="n"/>
      <c r="N104" s="9" t="n">
        <v>9950</v>
      </c>
      <c r="O104" s="11" t="n"/>
      <c r="P104" s="11" t="n">
        <v>0.3103</v>
      </c>
      <c r="Q104" s="11" t="n"/>
      <c r="R104" s="16" t="inlineStr">
        <is>
          <t>SIN COSTO / N/A</t>
        </is>
      </c>
      <c r="S104" s="8" t="inlineStr">
        <is>
          <t>no</t>
        </is>
      </c>
      <c r="T104" s="8" t="inlineStr">
        <is>
          <t>no</t>
        </is>
      </c>
    </row>
    <row r="105">
      <c r="A105" s="8" t="inlineStr">
        <is>
          <t>CHILE</t>
        </is>
      </c>
      <c r="B105" s="8" t="inlineStr">
        <is>
          <t>PK-DEFEND MAX</t>
        </is>
      </c>
      <c r="C105" s="8" t="inlineStr">
        <is>
          <t>5 L</t>
        </is>
      </c>
      <c r="D105" s="8" t="inlineStr"/>
      <c r="E105" s="9" t="n">
        <v>40000</v>
      </c>
      <c r="F105" s="9" t="n">
        <v>0</v>
      </c>
      <c r="G105" s="9" t="n">
        <v>10</v>
      </c>
      <c r="H105" s="10" t="n">
        <v>1</v>
      </c>
      <c r="I105" s="8" t="inlineStr">
        <is>
          <t>CLP</t>
        </is>
      </c>
      <c r="J105" s="9" t="n">
        <v>4000</v>
      </c>
      <c r="K105" s="9" t="n"/>
      <c r="L105" s="9" t="n"/>
      <c r="M105" s="9" t="n"/>
      <c r="N105" s="9" t="n">
        <v>4000</v>
      </c>
      <c r="O105" s="11" t="n"/>
      <c r="P105" s="11" t="n">
        <v>0.3103</v>
      </c>
      <c r="Q105" s="11" t="n"/>
      <c r="R105" s="16" t="inlineStr">
        <is>
          <t>SIN COSTO / N/A</t>
        </is>
      </c>
      <c r="S105" s="8" t="inlineStr">
        <is>
          <t>no</t>
        </is>
      </c>
      <c r="T105" s="8" t="inlineStr">
        <is>
          <t>no</t>
        </is>
      </c>
    </row>
    <row r="106">
      <c r="A106" s="8" t="inlineStr">
        <is>
          <t>CHILE</t>
        </is>
      </c>
      <c r="B106" s="8" t="inlineStr">
        <is>
          <t>BIOVECA NEMAOFF 500 GRS</t>
        </is>
      </c>
      <c r="C106" s="8" t="inlineStr"/>
      <c r="D106" s="8" t="inlineStr"/>
      <c r="E106" s="9" t="n">
        <v>35000</v>
      </c>
      <c r="F106" s="9" t="n">
        <v>0</v>
      </c>
      <c r="G106" s="9" t="n">
        <v>1</v>
      </c>
      <c r="H106" s="10" t="n">
        <v>1</v>
      </c>
      <c r="I106" s="8" t="inlineStr">
        <is>
          <t>CLP</t>
        </is>
      </c>
      <c r="J106" s="9" t="n">
        <v>35000</v>
      </c>
      <c r="K106" s="9" t="n"/>
      <c r="L106" s="9" t="n"/>
      <c r="M106" s="9" t="n"/>
      <c r="N106" s="9" t="n">
        <v>35000</v>
      </c>
      <c r="O106" s="11" t="n"/>
      <c r="P106" s="11" t="n">
        <v>0.3103</v>
      </c>
      <c r="Q106" s="11" t="n"/>
      <c r="R106" s="16" t="inlineStr">
        <is>
          <t>SIN COSTO / N/A</t>
        </is>
      </c>
      <c r="S106" s="8" t="inlineStr">
        <is>
          <t>no</t>
        </is>
      </c>
      <c r="T106" s="8" t="inlineStr">
        <is>
          <t>no</t>
        </is>
      </c>
    </row>
    <row r="107">
      <c r="A107" s="8" t="inlineStr">
        <is>
          <t>CHILE</t>
        </is>
      </c>
      <c r="B107" s="8" t="inlineStr">
        <is>
          <t>PK DEFENDER MAX</t>
        </is>
      </c>
      <c r="C107" s="8" t="inlineStr"/>
      <c r="D107" s="8" t="inlineStr"/>
      <c r="E107" s="9" t="n">
        <v>27150</v>
      </c>
      <c r="F107" s="9" t="n">
        <v>0</v>
      </c>
      <c r="G107" s="9" t="n">
        <v>5</v>
      </c>
      <c r="H107" s="10" t="n">
        <v>1</v>
      </c>
      <c r="I107" s="8" t="inlineStr">
        <is>
          <t>CLP</t>
        </is>
      </c>
      <c r="J107" s="9" t="n">
        <v>5430</v>
      </c>
      <c r="K107" s="9" t="n"/>
      <c r="L107" s="9" t="n"/>
      <c r="M107" s="9" t="n"/>
      <c r="N107" s="9" t="n">
        <v>5430</v>
      </c>
      <c r="O107" s="11" t="n"/>
      <c r="P107" s="11" t="n">
        <v>0.3103</v>
      </c>
      <c r="Q107" s="11" t="n"/>
      <c r="R107" s="16" t="inlineStr">
        <is>
          <t>SIN COSTO / N/A</t>
        </is>
      </c>
      <c r="S107" s="8" t="inlineStr">
        <is>
          <t>no</t>
        </is>
      </c>
      <c r="T107" s="8" t="inlineStr">
        <is>
          <t>no</t>
        </is>
      </c>
    </row>
    <row r="108">
      <c r="A108" s="8" t="inlineStr">
        <is>
          <t>PERU</t>
        </is>
      </c>
      <c r="B108" s="8" t="inlineStr">
        <is>
          <t>SILFORTE</t>
        </is>
      </c>
      <c r="C108" s="8" t="inlineStr">
        <is>
          <t>GRANEL</t>
        </is>
      </c>
      <c r="D108" s="8" t="inlineStr">
        <is>
          <t>AV SILFORTE</t>
        </is>
      </c>
      <c r="E108" s="9" t="n">
        <v>91777.75999999999</v>
      </c>
      <c r="F108" s="9" t="n">
        <v>8712</v>
      </c>
      <c r="G108" s="9" t="n">
        <v>8212</v>
      </c>
      <c r="H108" s="10" t="n">
        <v>20</v>
      </c>
      <c r="I108" s="8" t="inlineStr">
        <is>
          <t>USD</t>
        </is>
      </c>
      <c r="J108" s="9" t="n">
        <v>11.1761</v>
      </c>
      <c r="K108" s="9" t="n">
        <v>2.18</v>
      </c>
      <c r="L108" s="9" t="n">
        <v>3.161</v>
      </c>
      <c r="M108" s="9" t="n">
        <v>11.6667</v>
      </c>
      <c r="N108" s="9" t="n">
        <v>11.1761</v>
      </c>
      <c r="O108" s="11" t="n">
        <v>0.8048999999999999</v>
      </c>
      <c r="P108" s="11" t="n">
        <v>0.3103</v>
      </c>
      <c r="Q108" s="11" t="n">
        <v>0.4946</v>
      </c>
      <c r="R108" s="15" t="inlineStr">
        <is>
          <t>EXCELENTE</t>
        </is>
      </c>
      <c r="S108" s="13" t="inlineStr">
        <is>
          <t>SI</t>
        </is>
      </c>
      <c r="T108" s="8" t="inlineStr">
        <is>
          <t>no</t>
        </is>
      </c>
    </row>
    <row r="109">
      <c r="A109" s="8" t="inlineStr">
        <is>
          <t>PERU</t>
        </is>
      </c>
      <c r="B109" s="8" t="inlineStr">
        <is>
          <t>ROOT MAX</t>
        </is>
      </c>
      <c r="C109" s="8" t="inlineStr">
        <is>
          <t>GRANEL</t>
        </is>
      </c>
      <c r="D109" s="8" t="inlineStr">
        <is>
          <t>AV ROOT MAX</t>
        </is>
      </c>
      <c r="E109" s="9" t="n">
        <v>25190.69</v>
      </c>
      <c r="F109" s="9" t="n">
        <v>16637.5</v>
      </c>
      <c r="G109" s="9" t="n">
        <v>1838</v>
      </c>
      <c r="H109" s="10" t="n">
        <v>6</v>
      </c>
      <c r="I109" s="8" t="inlineStr">
        <is>
          <t>USD</t>
        </is>
      </c>
      <c r="J109" s="9" t="n">
        <v>13.7055</v>
      </c>
      <c r="K109" s="9" t="n">
        <v>1.4067</v>
      </c>
      <c r="L109" s="9" t="n">
        <v>2.0397</v>
      </c>
      <c r="M109" s="9" t="n">
        <v>12.2667</v>
      </c>
      <c r="N109" s="9" t="n">
        <v>13.7055</v>
      </c>
      <c r="O109" s="11" t="n">
        <v>0.8974</v>
      </c>
      <c r="P109" s="11" t="n">
        <v>0.3103</v>
      </c>
      <c r="Q109" s="11" t="n">
        <v>0.5870000000000001</v>
      </c>
      <c r="R109" s="15" t="inlineStr">
        <is>
          <t>EXCELENTE</t>
        </is>
      </c>
      <c r="S109" s="8" t="inlineStr">
        <is>
          <t>no</t>
        </is>
      </c>
      <c r="T109" s="8" t="inlineStr">
        <is>
          <t>no</t>
        </is>
      </c>
    </row>
    <row r="110">
      <c r="A110" s="8" t="inlineStr">
        <is>
          <t>PERU</t>
        </is>
      </c>
      <c r="B110" s="8" t="inlineStr">
        <is>
          <t>ALGAP 30</t>
        </is>
      </c>
      <c r="C110" s="8" t="inlineStr">
        <is>
          <t>GRANEL</t>
        </is>
      </c>
      <c r="D110" s="8" t="inlineStr">
        <is>
          <t>AV ALGAP 30</t>
        </is>
      </c>
      <c r="E110" s="9" t="n">
        <v>12642.35</v>
      </c>
      <c r="F110" s="9" t="n">
        <v>0</v>
      </c>
      <c r="G110" s="9" t="n">
        <v>730</v>
      </c>
      <c r="H110" s="10" t="n">
        <v>7</v>
      </c>
      <c r="I110" s="8" t="inlineStr">
        <is>
          <t>USD</t>
        </is>
      </c>
      <c r="J110" s="9" t="n">
        <v>17.3183</v>
      </c>
      <c r="K110" s="9" t="n">
        <v>1.7533</v>
      </c>
      <c r="L110" s="9" t="n">
        <v>2.5423</v>
      </c>
      <c r="M110" s="9" t="n">
        <v>7.9333</v>
      </c>
      <c r="N110" s="9" t="n">
        <v>17.3183</v>
      </c>
      <c r="O110" s="11" t="n">
        <v>0.8987999999999999</v>
      </c>
      <c r="P110" s="11" t="n">
        <v>0.3103</v>
      </c>
      <c r="Q110" s="11" t="n">
        <v>0.5884</v>
      </c>
      <c r="R110" s="15" t="inlineStr">
        <is>
          <t>EXCELENTE</t>
        </is>
      </c>
      <c r="S110" s="8" t="inlineStr">
        <is>
          <t>no</t>
        </is>
      </c>
      <c r="T110" s="8" t="inlineStr">
        <is>
          <t>no</t>
        </is>
      </c>
    </row>
    <row r="111">
      <c r="A111" s="8" t="inlineStr">
        <is>
          <t>PERU</t>
        </is>
      </c>
      <c r="B111" s="8" t="inlineStr">
        <is>
          <t>PLUS MAGNESIO</t>
        </is>
      </c>
      <c r="C111" s="8" t="inlineStr">
        <is>
          <t>GRANEL</t>
        </is>
      </c>
      <c r="D111" s="8" t="inlineStr">
        <is>
          <t>AV PLUS MAGNESIO</t>
        </is>
      </c>
      <c r="E111" s="9" t="n">
        <v>10420.6</v>
      </c>
      <c r="F111" s="9" t="n">
        <v>1872</v>
      </c>
      <c r="G111" s="9" t="n">
        <v>1739</v>
      </c>
      <c r="H111" s="10" t="n">
        <v>7</v>
      </c>
      <c r="I111" s="8" t="inlineStr">
        <is>
          <t>USD</t>
        </is>
      </c>
      <c r="J111" s="9" t="n">
        <v>5.9923</v>
      </c>
      <c r="K111" s="9" t="n">
        <v>1.2667</v>
      </c>
      <c r="L111" s="9" t="n">
        <v>1.8367</v>
      </c>
      <c r="M111" s="9" t="n">
        <v>4.8333</v>
      </c>
      <c r="N111" s="9" t="n">
        <v>5.9923</v>
      </c>
      <c r="O111" s="11" t="n">
        <v>0.7886</v>
      </c>
      <c r="P111" s="11" t="n">
        <v>0.3103</v>
      </c>
      <c r="Q111" s="11" t="n">
        <v>0.4783</v>
      </c>
      <c r="R111" s="15" t="inlineStr">
        <is>
          <t>EXCELENTE</t>
        </is>
      </c>
      <c r="S111" s="8" t="inlineStr">
        <is>
          <t>no</t>
        </is>
      </c>
      <c r="T111" s="8" t="inlineStr">
        <is>
          <t>no</t>
        </is>
      </c>
    </row>
    <row r="112">
      <c r="A112" s="8" t="inlineStr">
        <is>
          <t>PERU</t>
        </is>
      </c>
      <c r="B112" s="8" t="inlineStr">
        <is>
          <t>AMIN</t>
        </is>
      </c>
      <c r="C112" s="8" t="inlineStr">
        <is>
          <t>GRANEL</t>
        </is>
      </c>
      <c r="D112" s="8" t="inlineStr">
        <is>
          <t>AV AMIN</t>
        </is>
      </c>
      <c r="E112" s="9" t="n">
        <v>5973.47</v>
      </c>
      <c r="F112" s="9" t="n">
        <v>0</v>
      </c>
      <c r="G112" s="9" t="n">
        <v>314</v>
      </c>
      <c r="H112" s="10" t="n">
        <v>3</v>
      </c>
      <c r="I112" s="8" t="inlineStr">
        <is>
          <t>USD</t>
        </is>
      </c>
      <c r="J112" s="9" t="n">
        <v>19.0238</v>
      </c>
      <c r="K112" s="9" t="n">
        <v>1.539</v>
      </c>
      <c r="L112" s="9" t="n">
        <v>2.2315</v>
      </c>
      <c r="M112" s="9" t="n">
        <v>5.5</v>
      </c>
      <c r="N112" s="9" t="n">
        <v>19.0238</v>
      </c>
      <c r="O112" s="11" t="n">
        <v>0.9190999999999999</v>
      </c>
      <c r="P112" s="11" t="n">
        <v>0.3103</v>
      </c>
      <c r="Q112" s="11" t="n">
        <v>0.6088</v>
      </c>
      <c r="R112" s="15" t="inlineStr">
        <is>
          <t>EXCELENTE</t>
        </is>
      </c>
      <c r="S112" s="8" t="inlineStr">
        <is>
          <t>no</t>
        </is>
      </c>
      <c r="T112" s="8" t="inlineStr">
        <is>
          <t>no</t>
        </is>
      </c>
    </row>
    <row r="113">
      <c r="A113" s="8" t="inlineStr">
        <is>
          <t>PERU</t>
        </is>
      </c>
      <c r="B113" s="8" t="inlineStr">
        <is>
          <t>MOVE</t>
        </is>
      </c>
      <c r="C113" s="8" t="inlineStr">
        <is>
          <t>GRANEL</t>
        </is>
      </c>
      <c r="D113" s="8" t="inlineStr">
        <is>
          <t>AV MOVE</t>
        </is>
      </c>
      <c r="E113" s="9" t="n">
        <v>5477.5</v>
      </c>
      <c r="F113" s="9" t="n">
        <v>0</v>
      </c>
      <c r="G113" s="9" t="n">
        <v>626</v>
      </c>
      <c r="H113" s="10" t="n">
        <v>1</v>
      </c>
      <c r="I113" s="8" t="inlineStr">
        <is>
          <t>USD</t>
        </is>
      </c>
      <c r="J113" s="9" t="n">
        <v>8.75</v>
      </c>
      <c r="K113" s="9" t="n">
        <v>2.6333</v>
      </c>
      <c r="L113" s="9" t="n">
        <v>3.8183</v>
      </c>
      <c r="M113" s="9" t="n">
        <v>7.1667</v>
      </c>
      <c r="N113" s="9" t="n">
        <v>8.75</v>
      </c>
      <c r="O113" s="11" t="n">
        <v>0.6990000000000001</v>
      </c>
      <c r="P113" s="11" t="n">
        <v>0.3103</v>
      </c>
      <c r="Q113" s="11" t="n">
        <v>0.3887</v>
      </c>
      <c r="R113" s="15" t="inlineStr">
        <is>
          <t>EXCELENTE</t>
        </is>
      </c>
      <c r="S113" s="8" t="inlineStr">
        <is>
          <t>no</t>
        </is>
      </c>
      <c r="T113" s="8" t="inlineStr">
        <is>
          <t>no</t>
        </is>
      </c>
    </row>
    <row r="114">
      <c r="A114" s="8" t="inlineStr">
        <is>
          <t>PERU</t>
        </is>
      </c>
      <c r="B114" s="8" t="inlineStr">
        <is>
          <t>CYTO PRIME</t>
        </is>
      </c>
      <c r="C114" s="8" t="inlineStr">
        <is>
          <t>GRANEL</t>
        </is>
      </c>
      <c r="D114" s="8" t="inlineStr">
        <is>
          <t>AV CYTO PRIME</t>
        </is>
      </c>
      <c r="E114" s="9" t="n">
        <v>5434</v>
      </c>
      <c r="F114" s="9" t="n">
        <v>0</v>
      </c>
      <c r="G114" s="9" t="n">
        <v>286</v>
      </c>
      <c r="H114" s="10" t="n">
        <v>3</v>
      </c>
      <c r="I114" s="8" t="inlineStr">
        <is>
          <t>USD</t>
        </is>
      </c>
      <c r="J114" s="9" t="n">
        <v>19</v>
      </c>
      <c r="K114" s="9" t="n">
        <v>2.3333</v>
      </c>
      <c r="L114" s="9" t="n">
        <v>3.3833</v>
      </c>
      <c r="M114" s="9" t="n">
        <v>16.3333</v>
      </c>
      <c r="N114" s="9" t="n">
        <v>19</v>
      </c>
      <c r="O114" s="11" t="n">
        <v>0.8772</v>
      </c>
      <c r="P114" s="11" t="n">
        <v>0.3103</v>
      </c>
      <c r="Q114" s="11" t="n">
        <v>0.5668</v>
      </c>
      <c r="R114" s="15" t="inlineStr">
        <is>
          <t>EXCELENTE</t>
        </is>
      </c>
      <c r="S114" s="8" t="inlineStr">
        <is>
          <t>no</t>
        </is>
      </c>
      <c r="T114" s="8" t="inlineStr">
        <is>
          <t>no</t>
        </is>
      </c>
    </row>
    <row r="115">
      <c r="A115" s="8" t="inlineStr">
        <is>
          <t>PERU</t>
        </is>
      </c>
      <c r="B115" s="8" t="inlineStr">
        <is>
          <t>PLUS MICRO MIX</t>
        </is>
      </c>
      <c r="C115" s="8" t="inlineStr">
        <is>
          <t>GRANEL</t>
        </is>
      </c>
      <c r="D115" s="8" t="inlineStr">
        <is>
          <t>AV PLUS MICRO MIX</t>
        </is>
      </c>
      <c r="E115" s="9" t="n">
        <v>3149</v>
      </c>
      <c r="F115" s="9" t="n">
        <v>0</v>
      </c>
      <c r="G115" s="9" t="n">
        <v>470</v>
      </c>
      <c r="H115" s="10" t="n">
        <v>1</v>
      </c>
      <c r="I115" s="8" t="inlineStr">
        <is>
          <t>USD</t>
        </is>
      </c>
      <c r="J115" s="9" t="n">
        <v>6.7</v>
      </c>
      <c r="K115" s="9" t="n">
        <v>2.3417</v>
      </c>
      <c r="L115" s="9" t="n">
        <v>3.3954</v>
      </c>
      <c r="M115" s="9" t="n">
        <v>5.4333</v>
      </c>
      <c r="N115" s="9" t="n">
        <v>6.7</v>
      </c>
      <c r="O115" s="11" t="n">
        <v>0.6505</v>
      </c>
      <c r="P115" s="11" t="n">
        <v>0.3103</v>
      </c>
      <c r="Q115" s="11" t="n">
        <v>0.3402000000000001</v>
      </c>
      <c r="R115" s="15" t="inlineStr">
        <is>
          <t>EXCELENTE</t>
        </is>
      </c>
      <c r="S115" s="8" t="inlineStr">
        <is>
          <t>no</t>
        </is>
      </c>
      <c r="T115" s="8" t="inlineStr">
        <is>
          <t>no</t>
        </is>
      </c>
    </row>
    <row r="116">
      <c r="A116" s="8" t="inlineStr">
        <is>
          <t>PERU</t>
        </is>
      </c>
      <c r="B116" s="8" t="inlineStr">
        <is>
          <t>HUMIC ROOT</t>
        </is>
      </c>
      <c r="C116" s="8" t="inlineStr">
        <is>
          <t>GRANEL</t>
        </is>
      </c>
      <c r="D116" s="8" t="inlineStr">
        <is>
          <t>AV HUMIC ROOT</t>
        </is>
      </c>
      <c r="E116" s="9" t="n">
        <v>3123.24</v>
      </c>
      <c r="F116" s="9" t="n">
        <v>0</v>
      </c>
      <c r="G116" s="9" t="n">
        <v>428</v>
      </c>
      <c r="H116" s="10" t="n">
        <v>5</v>
      </c>
      <c r="I116" s="8" t="inlineStr">
        <is>
          <t>USD</t>
        </is>
      </c>
      <c r="J116" s="9" t="n">
        <v>7.2973</v>
      </c>
      <c r="K116" s="9" t="n">
        <v>1.3367</v>
      </c>
      <c r="L116" s="9" t="n">
        <v>1.9382</v>
      </c>
      <c r="M116" s="9" t="n">
        <v>3</v>
      </c>
      <c r="N116" s="9" t="n">
        <v>7.2973</v>
      </c>
      <c r="O116" s="11" t="n">
        <v>0.8168000000000001</v>
      </c>
      <c r="P116" s="11" t="n">
        <v>0.3103</v>
      </c>
      <c r="Q116" s="11" t="n">
        <v>0.5065</v>
      </c>
      <c r="R116" s="15" t="inlineStr">
        <is>
          <t>EXCELENTE</t>
        </is>
      </c>
      <c r="S116" s="8" t="inlineStr">
        <is>
          <t>no</t>
        </is>
      </c>
      <c r="T116" s="8" t="inlineStr">
        <is>
          <t>no</t>
        </is>
      </c>
    </row>
    <row r="117">
      <c r="A117" s="8" t="inlineStr">
        <is>
          <t>PERU</t>
        </is>
      </c>
      <c r="B117" s="8" t="inlineStr">
        <is>
          <t>MAX FULVIC 45%</t>
        </is>
      </c>
      <c r="C117" s="8" t="inlineStr">
        <is>
          <t>GRANEL</t>
        </is>
      </c>
      <c r="D117" s="8" t="inlineStr">
        <is>
          <t>AV MAX FULVIC 45%</t>
        </is>
      </c>
      <c r="E117" s="9" t="n">
        <v>1556.6</v>
      </c>
      <c r="F117" s="9" t="n">
        <v>0</v>
      </c>
      <c r="G117" s="9" t="n">
        <v>536</v>
      </c>
      <c r="H117" s="10" t="n">
        <v>2</v>
      </c>
      <c r="I117" s="8" t="inlineStr">
        <is>
          <t>USD</t>
        </is>
      </c>
      <c r="J117" s="9" t="n">
        <v>2.9041</v>
      </c>
      <c r="K117" s="9" t="n">
        <v>1.3367</v>
      </c>
      <c r="L117" s="9" t="n">
        <v>1.9382</v>
      </c>
      <c r="M117" s="9" t="n">
        <v>2.5667</v>
      </c>
      <c r="N117" s="9" t="n">
        <v>2.9041</v>
      </c>
      <c r="O117" s="11" t="n">
        <v>0.5397</v>
      </c>
      <c r="P117" s="11" t="n">
        <v>0.3103</v>
      </c>
      <c r="Q117" s="11" t="n">
        <v>0.2294</v>
      </c>
      <c r="R117" s="15" t="inlineStr">
        <is>
          <t>EXCELENTE</t>
        </is>
      </c>
      <c r="S117" s="8" t="inlineStr">
        <is>
          <t>no</t>
        </is>
      </c>
      <c r="T117" s="8" t="inlineStr">
        <is>
          <t>no</t>
        </is>
      </c>
    </row>
    <row r="118">
      <c r="A118" s="8" t="inlineStr">
        <is>
          <t>PERU</t>
        </is>
      </c>
      <c r="B118" s="8" t="inlineStr">
        <is>
          <t>PLUS CALCIO</t>
        </is>
      </c>
      <c r="C118" s="8" t="inlineStr">
        <is>
          <t>GRANEL</t>
        </is>
      </c>
      <c r="D118" s="8" t="inlineStr">
        <is>
          <t>AV PLUS CALCIO</t>
        </is>
      </c>
      <c r="E118" s="9" t="n">
        <v>1126.4</v>
      </c>
      <c r="F118" s="9" t="n">
        <v>0</v>
      </c>
      <c r="G118" s="9" t="n">
        <v>256</v>
      </c>
      <c r="H118" s="10" t="n">
        <v>1</v>
      </c>
      <c r="I118" s="8" t="inlineStr">
        <is>
          <t>USD</t>
        </is>
      </c>
      <c r="J118" s="9" t="n">
        <v>4.4</v>
      </c>
      <c r="K118" s="9" t="n">
        <v>1.1133</v>
      </c>
      <c r="L118" s="9" t="n">
        <v>1.6143</v>
      </c>
      <c r="M118" s="9" t="n">
        <v>3.7667</v>
      </c>
      <c r="N118" s="9" t="n">
        <v>4.4</v>
      </c>
      <c r="O118" s="11" t="n">
        <v>0.747</v>
      </c>
      <c r="P118" s="11" t="n">
        <v>0.3103</v>
      </c>
      <c r="Q118" s="11" t="n">
        <v>0.4366</v>
      </c>
      <c r="R118" s="15" t="inlineStr">
        <is>
          <t>EXCELENTE</t>
        </is>
      </c>
      <c r="S118" s="8" t="inlineStr">
        <is>
          <t>no</t>
        </is>
      </c>
      <c r="T118" s="8" t="inlineStr">
        <is>
          <t>no</t>
        </is>
      </c>
    </row>
    <row r="119">
      <c r="A119" s="8" t="inlineStr">
        <is>
          <t>PERU</t>
        </is>
      </c>
      <c r="B119" s="8" t="inlineStr">
        <is>
          <t>PLUS BORO</t>
        </is>
      </c>
      <c r="C119" s="8" t="inlineStr">
        <is>
          <t>GRANEL</t>
        </is>
      </c>
      <c r="D119" s="8" t="inlineStr">
        <is>
          <t>AV PLUS BORO</t>
        </is>
      </c>
      <c r="E119" s="9" t="n">
        <v>550</v>
      </c>
      <c r="F119" s="9" t="n">
        <v>300</v>
      </c>
      <c r="G119" s="9" t="n">
        <v>110</v>
      </c>
      <c r="H119" s="10" t="n">
        <v>2</v>
      </c>
      <c r="I119" s="8" t="inlineStr">
        <is>
          <t>USD</t>
        </is>
      </c>
      <c r="J119" s="9" t="n">
        <v>5</v>
      </c>
      <c r="K119" s="9" t="n">
        <v>1.085</v>
      </c>
      <c r="L119" s="9" t="n">
        <v>1.5732</v>
      </c>
      <c r="M119" s="9" t="n">
        <v>4</v>
      </c>
      <c r="N119" s="9" t="n">
        <v>5</v>
      </c>
      <c r="O119" s="11" t="n">
        <v>0.7829999999999999</v>
      </c>
      <c r="P119" s="11" t="n">
        <v>0.3103</v>
      </c>
      <c r="Q119" s="11" t="n">
        <v>0.4727</v>
      </c>
      <c r="R119" s="15" t="inlineStr">
        <is>
          <t>EXCELENTE</t>
        </is>
      </c>
      <c r="S119" s="8" t="inlineStr">
        <is>
          <t>no</t>
        </is>
      </c>
      <c r="T119" s="8" t="inlineStr">
        <is>
          <t>no</t>
        </is>
      </c>
    </row>
    <row r="120">
      <c r="A120" s="8" t="inlineStr">
        <is>
          <t>PERU</t>
        </is>
      </c>
      <c r="B120" s="8" t="inlineStr">
        <is>
          <t>AMIN SUGAR</t>
        </is>
      </c>
      <c r="C120" s="8" t="inlineStr">
        <is>
          <t>GRANEL</t>
        </is>
      </c>
      <c r="D120" s="8" t="inlineStr">
        <is>
          <t>AV AMIN SUGAR</t>
        </is>
      </c>
      <c r="E120" s="9" t="n">
        <v>320</v>
      </c>
      <c r="F120" s="9" t="n">
        <v>0</v>
      </c>
      <c r="G120" s="9" t="n">
        <v>20</v>
      </c>
      <c r="H120" s="10" t="n">
        <v>1</v>
      </c>
      <c r="I120" s="8" t="inlineStr">
        <is>
          <t>USD</t>
        </is>
      </c>
      <c r="J120" s="9" t="n">
        <v>16</v>
      </c>
      <c r="K120" s="9" t="n">
        <v>1.4707</v>
      </c>
      <c r="L120" s="9" t="n">
        <v>2.1325</v>
      </c>
      <c r="M120" s="9" t="n">
        <v>3</v>
      </c>
      <c r="N120" s="9" t="n">
        <v>16</v>
      </c>
      <c r="O120" s="11" t="n">
        <v>0.9081</v>
      </c>
      <c r="P120" s="11" t="n">
        <v>0.3103</v>
      </c>
      <c r="Q120" s="11" t="n">
        <v>0.5977</v>
      </c>
      <c r="R120" s="15" t="inlineStr">
        <is>
          <t>EXCELENTE</t>
        </is>
      </c>
      <c r="S120" s="8" t="inlineStr">
        <is>
          <t>no</t>
        </is>
      </c>
      <c r="T120" s="8" t="inlineStr">
        <is>
          <t>no</t>
        </is>
      </c>
    </row>
    <row r="121">
      <c r="A121" s="8" t="inlineStr">
        <is>
          <t>PERU</t>
        </is>
      </c>
      <c r="B121" s="8" t="inlineStr">
        <is>
          <t>PLUS ZINC MANGANESO</t>
        </is>
      </c>
      <c r="C121" s="8" t="inlineStr">
        <is>
          <t>GRANEL</t>
        </is>
      </c>
      <c r="D121" s="8" t="inlineStr">
        <is>
          <t>AV PLUS ZINC MANGANESO</t>
        </is>
      </c>
      <c r="E121" s="9" t="n">
        <v>240</v>
      </c>
      <c r="F121" s="9" t="n">
        <v>0</v>
      </c>
      <c r="G121" s="9" t="n">
        <v>40</v>
      </c>
      <c r="H121" s="10" t="n">
        <v>1</v>
      </c>
      <c r="I121" s="8" t="inlineStr">
        <is>
          <t>USD</t>
        </is>
      </c>
      <c r="J121" s="9" t="n">
        <v>6</v>
      </c>
      <c r="K121" s="9" t="n">
        <v>1.6383</v>
      </c>
      <c r="L121" s="9" t="n">
        <v>2.3756</v>
      </c>
      <c r="M121" s="9" t="n">
        <v>4.4333</v>
      </c>
      <c r="N121" s="9" t="n">
        <v>6</v>
      </c>
      <c r="O121" s="11" t="n">
        <v>0.7269</v>
      </c>
      <c r="P121" s="11" t="n">
        <v>0.3103</v>
      </c>
      <c r="Q121" s="11" t="n">
        <v>0.4166</v>
      </c>
      <c r="R121" s="15" t="inlineStr">
        <is>
          <t>EXCELENTE</t>
        </is>
      </c>
      <c r="S121" s="8" t="inlineStr">
        <is>
          <t>no</t>
        </is>
      </c>
      <c r="T121" s="8" t="inlineStr">
        <is>
          <t>no</t>
        </is>
      </c>
    </row>
    <row r="122">
      <c r="A122" s="8" t="inlineStr">
        <is>
          <t>PERU</t>
        </is>
      </c>
      <c r="B122" s="8" t="inlineStr">
        <is>
          <t>PLUS POTASIO</t>
        </is>
      </c>
      <c r="C122" s="8" t="inlineStr">
        <is>
          <t>GRANEL</t>
        </is>
      </c>
      <c r="D122" s="8" t="inlineStr">
        <is>
          <t>AV PLUS POTASIO</t>
        </is>
      </c>
      <c r="E122" s="9" t="n">
        <v>104.4</v>
      </c>
      <c r="F122" s="9" t="n">
        <v>0</v>
      </c>
      <c r="G122" s="9" t="n">
        <v>24</v>
      </c>
      <c r="H122" s="10" t="n">
        <v>1</v>
      </c>
      <c r="I122" s="8" t="inlineStr">
        <is>
          <t>USD</t>
        </is>
      </c>
      <c r="J122" s="9" t="n">
        <v>4.35</v>
      </c>
      <c r="K122" s="9" t="n">
        <v>1.6767</v>
      </c>
      <c r="L122" s="9" t="n">
        <v>2.4312</v>
      </c>
      <c r="M122" s="9" t="n">
        <v>3.4333</v>
      </c>
      <c r="N122" s="9" t="n">
        <v>4.35</v>
      </c>
      <c r="O122" s="11" t="n">
        <v>0.6146</v>
      </c>
      <c r="P122" s="11" t="n">
        <v>0.3103</v>
      </c>
      <c r="Q122" s="11" t="n">
        <v>0.3042</v>
      </c>
      <c r="R122" s="15" t="inlineStr">
        <is>
          <t>EXCELENTE</t>
        </is>
      </c>
      <c r="S122" s="8" t="inlineStr">
        <is>
          <t>no</t>
        </is>
      </c>
      <c r="T122" s="8" t="inlineStr">
        <is>
          <t>no</t>
        </is>
      </c>
    </row>
    <row r="123">
      <c r="A123" s="8" t="inlineStr">
        <is>
          <t>PERU</t>
        </is>
      </c>
      <c r="B123" s="8" t="inlineStr">
        <is>
          <t>PLUS CALCIO BORO</t>
        </is>
      </c>
      <c r="C123" s="8" t="inlineStr">
        <is>
          <t>GRANEL</t>
        </is>
      </c>
      <c r="D123" s="8" t="inlineStr">
        <is>
          <t>AV PLUS CALCIO BORO</t>
        </is>
      </c>
      <c r="E123" s="9" t="n">
        <v>104.4</v>
      </c>
      <c r="F123" s="9" t="n">
        <v>0</v>
      </c>
      <c r="G123" s="9" t="n">
        <v>24</v>
      </c>
      <c r="H123" s="10" t="n">
        <v>1</v>
      </c>
      <c r="I123" s="8" t="inlineStr">
        <is>
          <t>USD</t>
        </is>
      </c>
      <c r="J123" s="9" t="n">
        <v>4.35</v>
      </c>
      <c r="K123" s="9" t="n">
        <v>1.19</v>
      </c>
      <c r="L123" s="9" t="n">
        <v>1.7255</v>
      </c>
      <c r="M123" s="9" t="n">
        <v>3.1</v>
      </c>
      <c r="N123" s="9" t="n">
        <v>4.35</v>
      </c>
      <c r="O123" s="11" t="n">
        <v>0.7264</v>
      </c>
      <c r="P123" s="11" t="n">
        <v>0.3103</v>
      </c>
      <c r="Q123" s="11" t="n">
        <v>0.4161</v>
      </c>
      <c r="R123" s="15" t="inlineStr">
        <is>
          <t>EXCELENTE</t>
        </is>
      </c>
      <c r="S123" s="8" t="inlineStr">
        <is>
          <t>no</t>
        </is>
      </c>
      <c r="T123" s="8" t="inlineStr">
        <is>
          <t>no</t>
        </is>
      </c>
    </row>
    <row r="124">
      <c r="A124" s="8" t="inlineStr">
        <is>
          <t>PERU</t>
        </is>
      </c>
      <c r="B124" s="8" t="inlineStr">
        <is>
          <t>PLUS NUTRI MIX</t>
        </is>
      </c>
      <c r="C124" s="8" t="inlineStr">
        <is>
          <t>GRANEL</t>
        </is>
      </c>
      <c r="D124" s="8" t="inlineStr">
        <is>
          <t>AV PLUS NUTRI MIX</t>
        </is>
      </c>
      <c r="E124" s="9" t="n">
        <v>17</v>
      </c>
      <c r="F124" s="9" t="n">
        <v>0</v>
      </c>
      <c r="G124" s="9" t="n">
        <v>2</v>
      </c>
      <c r="H124" s="10" t="n">
        <v>1</v>
      </c>
      <c r="I124" s="8" t="inlineStr">
        <is>
          <t>USD</t>
        </is>
      </c>
      <c r="J124" s="9" t="n">
        <v>8.5</v>
      </c>
      <c r="K124" s="9" t="n">
        <v>2.0183</v>
      </c>
      <c r="L124" s="9" t="n">
        <v>2.9266</v>
      </c>
      <c r="M124" s="9" t="n">
        <v>7.1667</v>
      </c>
      <c r="N124" s="9" t="n">
        <v>8.5</v>
      </c>
      <c r="O124" s="11" t="n">
        <v>0.7625</v>
      </c>
      <c r="P124" s="11" t="n">
        <v>0.3103</v>
      </c>
      <c r="Q124" s="11" t="n">
        <v>0.4522</v>
      </c>
      <c r="R124" s="15" t="inlineStr">
        <is>
          <t>EXCELENTE</t>
        </is>
      </c>
      <c r="S124" s="8" t="inlineStr">
        <is>
          <t>no</t>
        </is>
      </c>
      <c r="T124" s="8" t="inlineStr">
        <is>
          <t>no</t>
        </is>
      </c>
    </row>
    <row r="125">
      <c r="A125" s="8" t="inlineStr">
        <is>
          <t>PERU</t>
        </is>
      </c>
      <c r="B125" s="8" t="inlineStr">
        <is>
          <t>REGALIA MAX</t>
        </is>
      </c>
      <c r="C125" s="8" t="inlineStr">
        <is>
          <t>GRANEL</t>
        </is>
      </c>
      <c r="D125" s="8" t="inlineStr"/>
      <c r="E125" s="9" t="n">
        <v>27345.32</v>
      </c>
      <c r="F125" s="9" t="n">
        <v>0</v>
      </c>
      <c r="G125" s="9" t="n">
        <v>668</v>
      </c>
      <c r="H125" s="10" t="n">
        <v>5</v>
      </c>
      <c r="I125" s="8" t="inlineStr">
        <is>
          <t>USD</t>
        </is>
      </c>
      <c r="J125" s="9" t="n">
        <v>40.9361</v>
      </c>
      <c r="K125" s="9" t="n"/>
      <c r="L125" s="9" t="n"/>
      <c r="M125" s="9" t="n"/>
      <c r="N125" s="9" t="n">
        <v>40.9361</v>
      </c>
      <c r="O125" s="11" t="n"/>
      <c r="P125" s="11" t="n">
        <v>0.3103</v>
      </c>
      <c r="Q125" s="11" t="n"/>
      <c r="R125" s="16" t="inlineStr">
        <is>
          <t>SIN COSTO / N/A</t>
        </is>
      </c>
      <c r="S125" s="8" t="inlineStr">
        <is>
          <t>no</t>
        </is>
      </c>
      <c r="T125" s="8" t="inlineStr">
        <is>
          <t>no</t>
        </is>
      </c>
    </row>
    <row r="126">
      <c r="A126" s="8" t="inlineStr">
        <is>
          <t>PERU</t>
        </is>
      </c>
      <c r="B126" s="8" t="inlineStr">
        <is>
          <t>GENERICO / LINEA AGROVECA</t>
        </is>
      </c>
      <c r="C126" s="8" t="inlineStr">
        <is>
          <t>GRANEL</t>
        </is>
      </c>
      <c r="D126" s="8" t="inlineStr"/>
      <c r="E126" s="9" t="n">
        <v>24653.26</v>
      </c>
      <c r="F126" s="9" t="n">
        <v>0</v>
      </c>
      <c r="G126" s="9" t="n"/>
      <c r="H126" s="10" t="n">
        <v>8</v>
      </c>
      <c r="I126" s="8" t="inlineStr">
        <is>
          <t>USD</t>
        </is>
      </c>
      <c r="J126" s="9" t="n"/>
      <c r="K126" s="9" t="n"/>
      <c r="L126" s="9" t="n"/>
      <c r="M126" s="9" t="n"/>
      <c r="N126" s="9" t="n"/>
      <c r="O126" s="11" t="n"/>
      <c r="P126" s="11" t="n">
        <v>0.3103</v>
      </c>
      <c r="Q126" s="11" t="n"/>
      <c r="R126" s="16" t="inlineStr">
        <is>
          <t>SIN COSTO / N/A</t>
        </is>
      </c>
      <c r="S126" s="8" t="inlineStr">
        <is>
          <t>no</t>
        </is>
      </c>
      <c r="T126" s="8" t="inlineStr">
        <is>
          <t>no</t>
        </is>
      </c>
    </row>
    <row r="127">
      <c r="A127" s="8" t="inlineStr">
        <is>
          <t>PERU</t>
        </is>
      </c>
      <c r="B127" s="8" t="inlineStr">
        <is>
          <t>REGALIA</t>
        </is>
      </c>
      <c r="C127" s="8" t="inlineStr">
        <is>
          <t>GRANEL</t>
        </is>
      </c>
      <c r="D127" s="8" t="inlineStr"/>
      <c r="E127" s="9" t="n">
        <v>6740.16</v>
      </c>
      <c r="F127" s="9" t="n">
        <v>0</v>
      </c>
      <c r="G127" s="9" t="n">
        <v>144</v>
      </c>
      <c r="H127" s="10" t="n">
        <v>2</v>
      </c>
      <c r="I127" s="8" t="inlineStr">
        <is>
          <t>USD</t>
        </is>
      </c>
      <c r="J127" s="9" t="n">
        <v>46.8067</v>
      </c>
      <c r="K127" s="9" t="n"/>
      <c r="L127" s="9" t="n"/>
      <c r="M127" s="9" t="n"/>
      <c r="N127" s="9" t="n">
        <v>46.8067</v>
      </c>
      <c r="O127" s="11" t="n"/>
      <c r="P127" s="11" t="n">
        <v>0.3103</v>
      </c>
      <c r="Q127" s="11" t="n"/>
      <c r="R127" s="16" t="inlineStr">
        <is>
          <t>SIN COSTO / N/A</t>
        </is>
      </c>
      <c r="S127" s="8" t="inlineStr">
        <is>
          <t>no</t>
        </is>
      </c>
      <c r="T127" s="8" t="inlineStr">
        <is>
          <t>no</t>
        </is>
      </c>
    </row>
    <row r="128">
      <c r="A128" s="8" t="inlineStr">
        <is>
          <t>PERU</t>
        </is>
      </c>
      <c r="B128" s="8" t="inlineStr">
        <is>
          <t>RELAIA MAX</t>
        </is>
      </c>
      <c r="C128" s="8" t="inlineStr">
        <is>
          <t>GRANEL</t>
        </is>
      </c>
      <c r="D128" s="8" t="inlineStr"/>
      <c r="E128" s="9" t="n">
        <v>6112.4</v>
      </c>
      <c r="F128" s="9" t="n">
        <v>0</v>
      </c>
      <c r="G128" s="9" t="n">
        <v>140</v>
      </c>
      <c r="H128" s="10" t="n">
        <v>1</v>
      </c>
      <c r="I128" s="8" t="inlineStr">
        <is>
          <t>USD</t>
        </is>
      </c>
      <c r="J128" s="9" t="n">
        <v>43.66</v>
      </c>
      <c r="K128" s="9" t="n"/>
      <c r="L128" s="9" t="n"/>
      <c r="M128" s="9" t="n"/>
      <c r="N128" s="9" t="n">
        <v>43.66</v>
      </c>
      <c r="O128" s="11" t="n"/>
      <c r="P128" s="11" t="n">
        <v>0.3103</v>
      </c>
      <c r="Q128" s="11" t="n"/>
      <c r="R128" s="16" t="inlineStr">
        <is>
          <t>SIN COSTO / N/A</t>
        </is>
      </c>
      <c r="S128" s="8" t="inlineStr">
        <is>
          <t>no</t>
        </is>
      </c>
      <c r="T128" s="8" t="inlineStr">
        <is>
          <t>no</t>
        </is>
      </c>
    </row>
  </sheetData>
  <autoFilter ref="A1:T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4" customWidth="1" min="4" max="4"/>
    <col width="14" customWidth="1" min="5" max="5"/>
    <col width="8" customWidth="1" min="6" max="6"/>
    <col width="13" customWidth="1" min="7" max="7"/>
    <col width="12" customWidth="1" min="8" max="8"/>
    <col width="13" customWidth="1" min="9" max="9"/>
    <col width="10" customWidth="1" min="10" max="10"/>
    <col width="70" customWidth="1" min="11" max="11"/>
  </cols>
  <sheetData>
    <row r="1">
      <c r="A1" s="7" t="inlineStr">
        <is>
          <t>Nivel</t>
        </is>
      </c>
      <c r="B1" s="7" t="inlineStr">
        <is>
          <t>Pais</t>
        </is>
      </c>
      <c r="C1" s="7" t="inlineStr">
        <is>
          <t>Producto</t>
        </is>
      </c>
      <c r="D1" s="7" t="inlineStr">
        <is>
          <t>Formato</t>
        </is>
      </c>
      <c r="E1" s="7" t="inlineStr">
        <is>
          <t>Ventas YTD</t>
        </is>
      </c>
      <c r="F1" s="7" t="inlineStr">
        <is>
          <t>Moneda</t>
        </is>
      </c>
      <c r="G1" s="7" t="inlineStr">
        <is>
          <t>Precio prom</t>
        </is>
      </c>
      <c r="H1" s="7" t="inlineStr">
        <is>
          <t>Costo</t>
        </is>
      </c>
      <c r="I1" s="7" t="inlineStr">
        <is>
          <t>Piso efectivo</t>
        </is>
      </c>
      <c r="J1" s="7" t="inlineStr">
        <is>
          <t>Margen %</t>
        </is>
      </c>
      <c r="K1" s="7" t="inlineStr">
        <is>
          <t>Accion recomendada</t>
        </is>
      </c>
    </row>
    <row r="2">
      <c r="A2" s="17" t="inlineStr">
        <is>
          <t>1-CRITICO</t>
        </is>
      </c>
      <c r="B2" s="8" t="inlineStr">
        <is>
          <t>CHILE</t>
        </is>
      </c>
      <c r="C2" s="8" t="inlineStr">
        <is>
          <t>HUMIC ROOT</t>
        </is>
      </c>
      <c r="D2" s="8" t="inlineStr"/>
      <c r="E2" s="9" t="n">
        <v>100000</v>
      </c>
      <c r="F2" s="8" t="inlineStr">
        <is>
          <t>CLP</t>
        </is>
      </c>
      <c r="G2" s="9" t="n">
        <v>2500</v>
      </c>
      <c r="H2" s="9" t="n">
        <v>3338</v>
      </c>
      <c r="I2" s="9" t="n">
        <v>4840.1</v>
      </c>
      <c r="J2" s="11" t="n">
        <v>-0.3352000000000001</v>
      </c>
      <c r="K2" s="18" t="inlineStr">
        <is>
          <t>SUBIR PRECIO de 2,500.00 a &gt;= 6,500.00 (CLP). Delta por unidad: +4,000.00. Evaluar descontinuar si demanda no lo absorbe.</t>
        </is>
      </c>
    </row>
    <row r="3">
      <c r="A3" s="17" t="inlineStr">
        <is>
          <t>1-CRITICO</t>
        </is>
      </c>
      <c r="B3" s="8" t="inlineStr">
        <is>
          <t>CHILE</t>
        </is>
      </c>
      <c r="C3" s="8" t="inlineStr">
        <is>
          <t>PLUS MICRO MIX</t>
        </is>
      </c>
      <c r="D3" s="8" t="inlineStr">
        <is>
          <t>1 L</t>
        </is>
      </c>
      <c r="E3" s="9" t="n">
        <v>49668</v>
      </c>
      <c r="F3" s="8" t="inlineStr">
        <is>
          <t>CLP</t>
        </is>
      </c>
      <c r="G3" s="9" t="n">
        <v>3820.6154</v>
      </c>
      <c r="H3" s="9" t="n">
        <v>4366</v>
      </c>
      <c r="I3" s="9" t="n">
        <v>6330.7</v>
      </c>
      <c r="J3" s="11" t="n">
        <v>-0.1427</v>
      </c>
      <c r="K3" s="18" t="inlineStr">
        <is>
          <t>SUBIR PRECIO de 3,820.62 a &gt;= 8,000.00 (CLP). Delta por unidad: +4,179.38. Evaluar descontinuar si demanda no lo absorbe.</t>
        </is>
      </c>
    </row>
    <row r="4">
      <c r="A4" s="17" t="inlineStr">
        <is>
          <t>2-INVIABLE</t>
        </is>
      </c>
      <c r="B4" s="8" t="inlineStr">
        <is>
          <t>CHILE</t>
        </is>
      </c>
      <c r="C4" s="8" t="inlineStr">
        <is>
          <t>PLUS MICRO MIX</t>
        </is>
      </c>
      <c r="D4" s="8" t="inlineStr"/>
      <c r="E4" s="9" t="n">
        <v>96000</v>
      </c>
      <c r="F4" s="8" t="inlineStr">
        <is>
          <t>CLP</t>
        </is>
      </c>
      <c r="G4" s="9" t="n">
        <v>4800</v>
      </c>
      <c r="H4" s="9" t="n">
        <v>4366</v>
      </c>
      <c r="I4" s="9" t="n">
        <v>6330.7</v>
      </c>
      <c r="J4" s="11" t="n">
        <v>0.09039999999999999</v>
      </c>
      <c r="K4" s="18" t="inlineStr">
        <is>
          <t>Corregir precio o descontinuar: producto inviable.</t>
        </is>
      </c>
    </row>
    <row r="5">
      <c r="A5" s="17" t="inlineStr">
        <is>
          <t>2-INVIABLE</t>
        </is>
      </c>
      <c r="B5" s="8" t="inlineStr">
        <is>
          <t>CHILE</t>
        </is>
      </c>
      <c r="C5" s="8" t="inlineStr">
        <is>
          <t>PLUS ZINC</t>
        </is>
      </c>
      <c r="D5" s="8" t="inlineStr"/>
      <c r="E5" s="9" t="n">
        <v>20365</v>
      </c>
      <c r="F5" s="8" t="inlineStr">
        <is>
          <t>CLP</t>
        </is>
      </c>
      <c r="G5" s="9" t="n">
        <v>4073</v>
      </c>
      <c r="H5" s="9" t="n">
        <v>3946</v>
      </c>
      <c r="I5" s="9" t="n">
        <v>5721.7</v>
      </c>
      <c r="J5" s="11" t="n">
        <v>0.0312</v>
      </c>
      <c r="K5" s="18" t="inlineStr">
        <is>
          <t>Corregir precio o descontinuar: producto inviable.</t>
        </is>
      </c>
    </row>
    <row r="6">
      <c r="A6" s="17" t="inlineStr">
        <is>
          <t>2-INVIABLE</t>
        </is>
      </c>
      <c r="B6" s="8" t="inlineStr">
        <is>
          <t>CHILE</t>
        </is>
      </c>
      <c r="C6" s="8" t="inlineStr">
        <is>
          <t>PLUS ZINC MANGANESO</t>
        </is>
      </c>
      <c r="D6" s="8" t="inlineStr">
        <is>
          <t>1 L</t>
        </is>
      </c>
      <c r="E6" s="9" t="n">
        <v>3902</v>
      </c>
      <c r="F6" s="8" t="inlineStr">
        <is>
          <t>CLP</t>
        </is>
      </c>
      <c r="G6" s="9" t="n">
        <v>3902</v>
      </c>
      <c r="H6" s="9" t="n">
        <v>3671</v>
      </c>
      <c r="I6" s="9" t="n">
        <v>5322.95</v>
      </c>
      <c r="J6" s="11" t="n">
        <v>0.0592</v>
      </c>
      <c r="K6" s="18" t="inlineStr">
        <is>
          <t>Corregir precio o descontinuar: producto inviable.</t>
        </is>
      </c>
    </row>
    <row r="7">
      <c r="A7" s="19" t="inlineStr">
        <is>
          <t>3-CRITICO</t>
        </is>
      </c>
      <c r="B7" s="8" t="inlineStr">
        <is>
          <t>CHILE</t>
        </is>
      </c>
      <c r="C7" s="8" t="inlineStr">
        <is>
          <t>AMIN SUGAR</t>
        </is>
      </c>
      <c r="D7" s="8" t="inlineStr">
        <is>
          <t>1 L</t>
        </is>
      </c>
      <c r="E7" s="9" t="n">
        <v>16757</v>
      </c>
      <c r="F7" s="8" t="inlineStr">
        <is>
          <t>CLP</t>
        </is>
      </c>
      <c r="G7" s="9" t="n">
        <v>4189.25</v>
      </c>
      <c r="H7" s="9" t="n">
        <v>3589</v>
      </c>
      <c r="I7" s="9" t="n">
        <v>5204.05</v>
      </c>
      <c r="J7" s="11" t="n">
        <v>0.1433</v>
      </c>
      <c r="K7" s="18" t="inlineStr">
        <is>
          <t>Subir precio a 7,800.00 (CLP) o ajustar costo.</t>
        </is>
      </c>
    </row>
    <row r="8">
      <c r="A8" s="20" t="inlineStr">
        <is>
          <t>4-EN ALERTA</t>
        </is>
      </c>
      <c r="B8" s="8" t="inlineStr">
        <is>
          <t>CHILE</t>
        </is>
      </c>
      <c r="C8" s="8" t="inlineStr">
        <is>
          <t>PLUS POTASIO</t>
        </is>
      </c>
      <c r="D8" s="8" t="inlineStr"/>
      <c r="E8" s="9" t="n">
        <v>1013190</v>
      </c>
      <c r="F8" s="8" t="inlineStr">
        <is>
          <t>CLP</t>
        </is>
      </c>
      <c r="G8" s="9" t="n">
        <v>4690.6944</v>
      </c>
      <c r="H8" s="9" t="n">
        <v>3705</v>
      </c>
      <c r="I8" s="9" t="n">
        <v>5372.25</v>
      </c>
      <c r="J8" s="11" t="n">
        <v>0.2101</v>
      </c>
      <c r="K8" s="18" t="inlineStr">
        <is>
          <t>Ajuste suave de precio o revisar mix para recuperar margen objetivo.</t>
        </is>
      </c>
    </row>
    <row r="9">
      <c r="A9" s="20" t="inlineStr">
        <is>
          <t>5-PRECIO&lt;PISO</t>
        </is>
      </c>
      <c r="B9" s="8" t="inlineStr">
        <is>
          <t>CHILE</t>
        </is>
      </c>
      <c r="C9" s="8" t="inlineStr">
        <is>
          <t>BIOVECA PRADERAS</t>
        </is>
      </c>
      <c r="D9" s="8" t="inlineStr">
        <is>
          <t>250 G</t>
        </is>
      </c>
      <c r="E9" s="9" t="n">
        <v>13806908</v>
      </c>
      <c r="F9" s="8" t="inlineStr">
        <is>
          <t>CLP</t>
        </is>
      </c>
      <c r="G9" s="9" t="n">
        <v>19337.4062</v>
      </c>
      <c r="H9" s="9" t="n">
        <v>10500</v>
      </c>
      <c r="I9" s="9" t="n">
        <v>19337.4062</v>
      </c>
      <c r="J9" s="11" t="n">
        <v>0.457</v>
      </c>
      <c r="K9" s="18" t="inlineStr">
        <is>
          <t>Precio debajo del piso oficial. Subir a 31,000.00 (gap: +11,662.59/ud).</t>
        </is>
      </c>
    </row>
    <row r="10">
      <c r="A10" s="20" t="inlineStr">
        <is>
          <t>5-PRECIO&lt;PISO</t>
        </is>
      </c>
      <c r="B10" s="8" t="inlineStr">
        <is>
          <t>CHILE</t>
        </is>
      </c>
      <c r="C10" s="8" t="inlineStr">
        <is>
          <t>BIOVECA INVERNAL</t>
        </is>
      </c>
      <c r="D10" s="8" t="inlineStr">
        <is>
          <t>250 G</t>
        </is>
      </c>
      <c r="E10" s="9" t="n">
        <v>9446560</v>
      </c>
      <c r="F10" s="8" t="inlineStr">
        <is>
          <t>CLP</t>
        </is>
      </c>
      <c r="G10" s="9" t="n">
        <v>27145.2874</v>
      </c>
      <c r="H10" s="9" t="n">
        <v>8500</v>
      </c>
      <c r="I10" s="9" t="n">
        <v>27145.2874</v>
      </c>
      <c r="J10" s="11" t="n">
        <v>0.6869</v>
      </c>
      <c r="K10" s="18" t="inlineStr">
        <is>
          <t>Precio debajo del piso oficial. Subir a 34,800.00 (gap: +7,654.71/ud).</t>
        </is>
      </c>
    </row>
    <row r="11">
      <c r="A11" s="20" t="inlineStr">
        <is>
          <t>5-PRECIO&lt;PISO</t>
        </is>
      </c>
      <c r="B11" s="8" t="inlineStr">
        <is>
          <t>CHILE</t>
        </is>
      </c>
      <c r="C11" s="8" t="inlineStr">
        <is>
          <t>AMIN SUGAR</t>
        </is>
      </c>
      <c r="D11" s="8" t="inlineStr">
        <is>
          <t>20 L</t>
        </is>
      </c>
      <c r="E11" s="9" t="n">
        <v>8166599</v>
      </c>
      <c r="F11" s="8" t="inlineStr">
        <is>
          <t>CLP</t>
        </is>
      </c>
      <c r="G11" s="9" t="n">
        <v>4536.9994</v>
      </c>
      <c r="H11" s="9" t="n">
        <v>1756.45</v>
      </c>
      <c r="I11" s="9" t="n">
        <v>4536.9994</v>
      </c>
      <c r="J11" s="11" t="n">
        <v>0.6129</v>
      </c>
      <c r="K11" s="18" t="inlineStr">
        <is>
          <t>Precio debajo del piso oficial. Subir a 5,000.00 (gap: +463.00/ud).</t>
        </is>
      </c>
    </row>
    <row r="12">
      <c r="A12" s="20" t="inlineStr">
        <is>
          <t>5-PRECIO&lt;PISO</t>
        </is>
      </c>
      <c r="B12" s="8" t="inlineStr">
        <is>
          <t>CHILE</t>
        </is>
      </c>
      <c r="C12" s="8" t="inlineStr">
        <is>
          <t>HUMIC ROOT</t>
        </is>
      </c>
      <c r="D12" s="8" t="inlineStr">
        <is>
          <t>1000 L</t>
        </is>
      </c>
      <c r="E12" s="9" t="n">
        <v>7000000</v>
      </c>
      <c r="F12" s="8" t="inlineStr">
        <is>
          <t>CLP</t>
        </is>
      </c>
      <c r="G12" s="9" t="n">
        <v>2333.3333</v>
      </c>
      <c r="H12" s="9" t="n">
        <v>1159.92</v>
      </c>
      <c r="I12" s="9" t="n">
        <v>2333.3333</v>
      </c>
      <c r="J12" s="11" t="n">
        <v>0.5029</v>
      </c>
      <c r="K12" s="18" t="inlineStr">
        <is>
          <t>Precio debajo del piso oficial. Subir a 2,800.00 (gap: +466.67/ud).</t>
        </is>
      </c>
    </row>
    <row r="13">
      <c r="A13" s="20" t="inlineStr">
        <is>
          <t>5-PRECIO&lt;PISO</t>
        </is>
      </c>
      <c r="B13" s="8" t="inlineStr">
        <is>
          <t>CHILE</t>
        </is>
      </c>
      <c r="C13" s="8" t="inlineStr">
        <is>
          <t>HUMIC ROOT</t>
        </is>
      </c>
      <c r="D13" s="8" t="inlineStr">
        <is>
          <t>200 L</t>
        </is>
      </c>
      <c r="E13" s="9" t="n">
        <v>5050000</v>
      </c>
      <c r="F13" s="8" t="inlineStr">
        <is>
          <t>CLP</t>
        </is>
      </c>
      <c r="G13" s="9" t="n">
        <v>2404.7619</v>
      </c>
      <c r="H13" s="9" t="n">
        <v>1223.05</v>
      </c>
      <c r="I13" s="9" t="n">
        <v>2404.7619</v>
      </c>
      <c r="J13" s="11" t="n">
        <v>0.4914</v>
      </c>
      <c r="K13" s="18" t="inlineStr">
        <is>
          <t>Precio debajo del piso oficial. Subir a 3,200.00 (gap: +795.24/ud).</t>
        </is>
      </c>
    </row>
    <row r="14">
      <c r="A14" s="20" t="inlineStr">
        <is>
          <t>5-PRECIO&lt;PISO</t>
        </is>
      </c>
      <c r="B14" s="8" t="inlineStr">
        <is>
          <t>CHILE</t>
        </is>
      </c>
      <c r="C14" s="8" t="inlineStr">
        <is>
          <t>MAX FULVIC 45%</t>
        </is>
      </c>
      <c r="D14" s="8" t="inlineStr">
        <is>
          <t>20 L</t>
        </is>
      </c>
      <c r="E14" s="9" t="n">
        <v>4532457</v>
      </c>
      <c r="F14" s="8" t="inlineStr">
        <is>
          <t>CLP</t>
        </is>
      </c>
      <c r="G14" s="9" t="n">
        <v>2981.8796</v>
      </c>
      <c r="H14" s="9" t="n">
        <v>1503.6</v>
      </c>
      <c r="I14" s="9" t="n">
        <v>2981.8796</v>
      </c>
      <c r="J14" s="11" t="n">
        <v>0.4958</v>
      </c>
      <c r="K14" s="18" t="inlineStr">
        <is>
          <t>Precio debajo del piso oficial. Subir a 4,000.00 (gap: +1,018.12/ud).</t>
        </is>
      </c>
    </row>
    <row r="15">
      <c r="A15" s="20" t="inlineStr">
        <is>
          <t>5-PRECIO&lt;PISO</t>
        </is>
      </c>
      <c r="B15" s="8" t="inlineStr">
        <is>
          <t>CHILE</t>
        </is>
      </c>
      <c r="C15" s="8" t="inlineStr">
        <is>
          <t>PLUS POTASIO</t>
        </is>
      </c>
      <c r="D15" s="8" t="inlineStr">
        <is>
          <t>20 L</t>
        </is>
      </c>
      <c r="E15" s="9" t="n">
        <v>4407660</v>
      </c>
      <c r="F15" s="8" t="inlineStr">
        <is>
          <t>CLP</t>
        </is>
      </c>
      <c r="G15" s="9" t="n">
        <v>3339.1364</v>
      </c>
      <c r="H15" s="9" t="n">
        <v>1871.75</v>
      </c>
      <c r="I15" s="9" t="n">
        <v>3339.1364</v>
      </c>
      <c r="J15" s="11" t="n">
        <v>0.4395</v>
      </c>
      <c r="K15" s="18" t="inlineStr">
        <is>
          <t>Precio debajo del piso oficial. Subir a 3,800.00 (gap: +460.86/ud).</t>
        </is>
      </c>
    </row>
    <row r="16">
      <c r="A16" s="20" t="inlineStr">
        <is>
          <t>5-PRECIO&lt;PISO</t>
        </is>
      </c>
      <c r="B16" s="8" t="inlineStr">
        <is>
          <t>CHILE</t>
        </is>
      </c>
      <c r="C16" s="8" t="inlineStr">
        <is>
          <t>AV15 40-20</t>
        </is>
      </c>
      <c r="D16" s="8" t="inlineStr">
        <is>
          <t>20 L</t>
        </is>
      </c>
      <c r="E16" s="9" t="n">
        <v>4228040</v>
      </c>
      <c r="F16" s="8" t="inlineStr">
        <is>
          <t>CLP</t>
        </is>
      </c>
      <c r="G16" s="9" t="n">
        <v>4804.5909</v>
      </c>
      <c r="H16" s="9" t="n">
        <v>1873.2</v>
      </c>
      <c r="I16" s="9" t="n">
        <v>4804.5909</v>
      </c>
      <c r="J16" s="11" t="n">
        <v>0.6101</v>
      </c>
      <c r="K16" s="18" t="inlineStr">
        <is>
          <t>Precio debajo del piso oficial. Subir a 5,500.00 (gap: +695.41/ud).</t>
        </is>
      </c>
    </row>
    <row r="17">
      <c r="A17" s="20" t="inlineStr">
        <is>
          <t>5-PRECIO&lt;PISO</t>
        </is>
      </c>
      <c r="B17" s="8" t="inlineStr">
        <is>
          <t>CHILE</t>
        </is>
      </c>
      <c r="C17" s="8" t="inlineStr">
        <is>
          <t>BALANCE</t>
        </is>
      </c>
      <c r="D17" s="8" t="inlineStr">
        <is>
          <t>20 L</t>
        </is>
      </c>
      <c r="E17" s="9" t="n">
        <v>3970360</v>
      </c>
      <c r="F17" s="8" t="inlineStr">
        <is>
          <t>CLP</t>
        </is>
      </c>
      <c r="G17" s="9" t="n">
        <v>13234.5333</v>
      </c>
      <c r="H17" s="9" t="n">
        <v>2797.75</v>
      </c>
      <c r="I17" s="9" t="n">
        <v>13234.5333</v>
      </c>
      <c r="J17" s="11" t="n">
        <v>0.7886</v>
      </c>
      <c r="K17" s="18" t="inlineStr">
        <is>
          <t>Precio debajo del piso oficial. Subir a 13,500.00 (gap: +265.47/ud).</t>
        </is>
      </c>
    </row>
    <row r="18">
      <c r="A18" s="20" t="inlineStr">
        <is>
          <t>5-PRECIO&lt;PISO</t>
        </is>
      </c>
      <c r="B18" s="8" t="inlineStr">
        <is>
          <t>CHILE</t>
        </is>
      </c>
      <c r="C18" s="8" t="inlineStr">
        <is>
          <t>HUMIC ROOT</t>
        </is>
      </c>
      <c r="D18" s="8" t="inlineStr">
        <is>
          <t>20 L</t>
        </is>
      </c>
      <c r="E18" s="9" t="n">
        <v>3865520</v>
      </c>
      <c r="F18" s="8" t="inlineStr">
        <is>
          <t>CLP</t>
        </is>
      </c>
      <c r="G18" s="9" t="n">
        <v>3117.3548</v>
      </c>
      <c r="H18" s="9" t="n">
        <v>1503.6</v>
      </c>
      <c r="I18" s="9" t="n">
        <v>3117.3548</v>
      </c>
      <c r="J18" s="11" t="n">
        <v>0.5177</v>
      </c>
      <c r="K18" s="18" t="inlineStr">
        <is>
          <t>Precio debajo del piso oficial. Subir a 4,000.00 (gap: +882.65/ud).</t>
        </is>
      </c>
    </row>
    <row r="19">
      <c r="A19" s="20" t="inlineStr">
        <is>
          <t>5-PRECIO&lt;PISO</t>
        </is>
      </c>
      <c r="B19" s="8" t="inlineStr">
        <is>
          <t>CHILE</t>
        </is>
      </c>
      <c r="C19" s="8" t="inlineStr">
        <is>
          <t>BIOVECA RAIZ</t>
        </is>
      </c>
      <c r="D19" s="8" t="inlineStr">
        <is>
          <t>500 G</t>
        </is>
      </c>
      <c r="E19" s="9" t="n">
        <v>3153708</v>
      </c>
      <c r="F19" s="8" t="inlineStr">
        <is>
          <t>CLP</t>
        </is>
      </c>
      <c r="G19" s="9" t="n">
        <v>30918.7059</v>
      </c>
      <c r="H19" s="9" t="n">
        <v>10500</v>
      </c>
      <c r="I19" s="9" t="n">
        <v>30918.7059</v>
      </c>
      <c r="J19" s="11" t="n">
        <v>0.6604000000000001</v>
      </c>
      <c r="K19" s="18" t="inlineStr">
        <is>
          <t>Precio debajo del piso oficial. Subir a 36,500.00 (gap: +5,581.29/ud).</t>
        </is>
      </c>
    </row>
    <row r="20">
      <c r="A20" s="20" t="inlineStr">
        <is>
          <t>5-PRECIO&lt;PISO</t>
        </is>
      </c>
      <c r="B20" s="8" t="inlineStr">
        <is>
          <t>CHILE</t>
        </is>
      </c>
      <c r="C20" s="8" t="inlineStr">
        <is>
          <t>ROOT MAX</t>
        </is>
      </c>
      <c r="D20" s="8" t="inlineStr"/>
      <c r="E20" s="9" t="n">
        <v>3059684</v>
      </c>
      <c r="F20" s="8" t="inlineStr">
        <is>
          <t>CLP</t>
        </is>
      </c>
      <c r="G20" s="9" t="n">
        <v>8894.430200000001</v>
      </c>
      <c r="H20" s="9" t="n">
        <v>4474</v>
      </c>
      <c r="I20" s="9" t="n">
        <v>8894.430200000001</v>
      </c>
      <c r="J20" s="11" t="n">
        <v>0.4970000000000001</v>
      </c>
      <c r="K20" s="18" t="inlineStr">
        <is>
          <t>Precio debajo del piso oficial. Subir a 10,000.00 (gap: +1,105.57/ud).</t>
        </is>
      </c>
    </row>
    <row r="21">
      <c r="A21" s="20" t="inlineStr">
        <is>
          <t>5-PRECIO&lt;PISO</t>
        </is>
      </c>
      <c r="B21" s="8" t="inlineStr">
        <is>
          <t>CHILE</t>
        </is>
      </c>
      <c r="C21" s="8" t="inlineStr">
        <is>
          <t>PLUS MICRO MIX</t>
        </is>
      </c>
      <c r="D21" s="8" t="inlineStr">
        <is>
          <t>20 L</t>
        </is>
      </c>
      <c r="E21" s="9" t="n">
        <v>2884470</v>
      </c>
      <c r="F21" s="8" t="inlineStr">
        <is>
          <t>CLP</t>
        </is>
      </c>
      <c r="G21" s="9" t="n">
        <v>4006.2083</v>
      </c>
      <c r="H21" s="9" t="n">
        <v>2532.8</v>
      </c>
      <c r="I21" s="9" t="n">
        <v>4006.2083</v>
      </c>
      <c r="J21" s="11" t="n">
        <v>0.3678</v>
      </c>
      <c r="K21" s="18" t="inlineStr">
        <is>
          <t>Precio debajo del piso oficial. Subir a 5,500.00 (gap: +1,493.79/ud).</t>
        </is>
      </c>
    </row>
    <row r="22">
      <c r="A22" s="20" t="inlineStr">
        <is>
          <t>5-PRECIO&lt;PISO</t>
        </is>
      </c>
      <c r="B22" s="8" t="inlineStr">
        <is>
          <t>CHILE</t>
        </is>
      </c>
      <c r="C22" s="8" t="inlineStr">
        <is>
          <t>ROOT MAX</t>
        </is>
      </c>
      <c r="D22" s="8" t="inlineStr">
        <is>
          <t>200 L</t>
        </is>
      </c>
      <c r="E22" s="9" t="n">
        <v>2516000</v>
      </c>
      <c r="F22" s="8" t="inlineStr">
        <is>
          <t>CLP</t>
        </is>
      </c>
      <c r="G22" s="9" t="n">
        <v>6800</v>
      </c>
      <c r="H22" s="9" t="n">
        <v>1179.845</v>
      </c>
      <c r="I22" s="9" t="n">
        <v>6800</v>
      </c>
      <c r="J22" s="11" t="n">
        <v>0.8265</v>
      </c>
      <c r="K22" s="18" t="inlineStr">
        <is>
          <t>Precio debajo del piso oficial. Subir a 7,000.00 (gap: +200.00/ud).</t>
        </is>
      </c>
    </row>
    <row r="23">
      <c r="A23" s="20" t="inlineStr">
        <is>
          <t>5-PRECIO&lt;PISO</t>
        </is>
      </c>
      <c r="B23" s="8" t="inlineStr">
        <is>
          <t>CHILE</t>
        </is>
      </c>
      <c r="C23" s="8" t="inlineStr">
        <is>
          <t>BALANCE</t>
        </is>
      </c>
      <c r="D23" s="8" t="inlineStr">
        <is>
          <t>5 L</t>
        </is>
      </c>
      <c r="E23" s="9" t="n">
        <v>2481785</v>
      </c>
      <c r="F23" s="8" t="inlineStr">
        <is>
          <t>CLP</t>
        </is>
      </c>
      <c r="G23" s="9" t="n">
        <v>13787.6944</v>
      </c>
      <c r="H23" s="9" t="n">
        <v>3514.8</v>
      </c>
      <c r="I23" s="9" t="n">
        <v>13787.6944</v>
      </c>
      <c r="J23" s="11" t="n">
        <v>0.7451000000000001</v>
      </c>
      <c r="K23" s="18" t="inlineStr">
        <is>
          <t>Precio debajo del piso oficial. Subir a 14,000.00 (gap: +212.31/ud).</t>
        </is>
      </c>
    </row>
    <row r="24">
      <c r="A24" s="20" t="inlineStr">
        <is>
          <t>5-PRECIO&lt;PISO</t>
        </is>
      </c>
      <c r="B24" s="8" t="inlineStr">
        <is>
          <t>CHILE</t>
        </is>
      </c>
      <c r="C24" s="8" t="inlineStr">
        <is>
          <t>PLUS MAGNESIO</t>
        </is>
      </c>
      <c r="D24" s="8" t="inlineStr">
        <is>
          <t>20 L</t>
        </is>
      </c>
      <c r="E24" s="9" t="n">
        <v>2200569</v>
      </c>
      <c r="F24" s="8" t="inlineStr">
        <is>
          <t>CLP</t>
        </is>
      </c>
      <c r="G24" s="9" t="n">
        <v>3143.67</v>
      </c>
      <c r="H24" s="9" t="n">
        <v>1444.7</v>
      </c>
      <c r="I24" s="9" t="n">
        <v>3143.67</v>
      </c>
      <c r="J24" s="11" t="n">
        <v>0.5404</v>
      </c>
      <c r="K24" s="18" t="inlineStr">
        <is>
          <t>Precio debajo del piso oficial. Subir a 3,200.00 (gap: +56.33/ud).</t>
        </is>
      </c>
    </row>
    <row r="25">
      <c r="A25" s="20" t="inlineStr">
        <is>
          <t>5-PRECIO&lt;PISO</t>
        </is>
      </c>
      <c r="B25" s="8" t="inlineStr">
        <is>
          <t>CHILE</t>
        </is>
      </c>
      <c r="C25" s="8" t="inlineStr">
        <is>
          <t>MOVE</t>
        </is>
      </c>
      <c r="D25" s="8" t="inlineStr"/>
      <c r="E25" s="9" t="n">
        <v>2003760</v>
      </c>
      <c r="F25" s="8" t="inlineStr">
        <is>
          <t>CLP</t>
        </is>
      </c>
      <c r="G25" s="9" t="n">
        <v>7532.9323</v>
      </c>
      <c r="H25" s="9" t="n">
        <v>4631</v>
      </c>
      <c r="I25" s="9" t="n">
        <v>7532.9323</v>
      </c>
      <c r="J25" s="11" t="n">
        <v>0.3852</v>
      </c>
      <c r="K25" s="18" t="inlineStr">
        <is>
          <t>Precio debajo del piso oficial. Subir a 8,800.00 (gap: +1,267.07/ud).</t>
        </is>
      </c>
    </row>
    <row r="26">
      <c r="A26" s="20" t="inlineStr">
        <is>
          <t>5-PRECIO&lt;PISO</t>
        </is>
      </c>
      <c r="B26" s="8" t="inlineStr">
        <is>
          <t>CHILE</t>
        </is>
      </c>
      <c r="C26" s="8" t="inlineStr">
        <is>
          <t>SILFORTE</t>
        </is>
      </c>
      <c r="D26" s="8" t="inlineStr">
        <is>
          <t>200 L</t>
        </is>
      </c>
      <c r="E26" s="9" t="n">
        <v>1515000</v>
      </c>
      <c r="F26" s="8" t="inlineStr">
        <is>
          <t>CLP</t>
        </is>
      </c>
      <c r="G26" s="9" t="n">
        <v>7575</v>
      </c>
      <c r="H26" s="9" t="n">
        <v>2038.15</v>
      </c>
      <c r="I26" s="9" t="n">
        <v>7575</v>
      </c>
      <c r="J26" s="11" t="n">
        <v>0.7309</v>
      </c>
      <c r="K26" s="18" t="inlineStr">
        <is>
          <t>Precio debajo del piso oficial. Subir a 8,800.00 (gap: +1,225.00/ud).</t>
        </is>
      </c>
    </row>
    <row r="27">
      <c r="A27" s="20" t="inlineStr">
        <is>
          <t>5-PRECIO&lt;PISO</t>
        </is>
      </c>
      <c r="B27" s="8" t="inlineStr">
        <is>
          <t>CHILE</t>
        </is>
      </c>
      <c r="C27" s="8" t="inlineStr">
        <is>
          <t>PLUS ZINC MANGANESO</t>
        </is>
      </c>
      <c r="D27" s="8" t="inlineStr">
        <is>
          <t>20 L</t>
        </is>
      </c>
      <c r="E27" s="9" t="n">
        <v>1112085</v>
      </c>
      <c r="F27" s="8" t="inlineStr">
        <is>
          <t>CLP</t>
        </is>
      </c>
      <c r="G27" s="9" t="n">
        <v>3270.8382</v>
      </c>
      <c r="H27" s="9" t="n">
        <v>1838.4</v>
      </c>
      <c r="I27" s="9" t="n">
        <v>3270.8382</v>
      </c>
      <c r="J27" s="11" t="n">
        <v>0.4379</v>
      </c>
      <c r="K27" s="18" t="inlineStr">
        <is>
          <t>Precio debajo del piso oficial. Subir a 4,500.00 (gap: +1,229.16/ud).</t>
        </is>
      </c>
    </row>
    <row r="28">
      <c r="A28" s="20" t="inlineStr">
        <is>
          <t>5-PRECIO&lt;PISO</t>
        </is>
      </c>
      <c r="B28" s="8" t="inlineStr">
        <is>
          <t>CHILE</t>
        </is>
      </c>
      <c r="C28" s="8" t="inlineStr">
        <is>
          <t>MAX FULVIC 45%</t>
        </is>
      </c>
      <c r="D28" s="8" t="inlineStr">
        <is>
          <t>200 L</t>
        </is>
      </c>
      <c r="E28" s="9" t="n">
        <v>1102000</v>
      </c>
      <c r="F28" s="8" t="inlineStr">
        <is>
          <t>CLP</t>
        </is>
      </c>
      <c r="G28" s="9" t="n">
        <v>2900</v>
      </c>
      <c r="H28" s="9" t="n">
        <v>1223.05</v>
      </c>
      <c r="I28" s="9" t="n">
        <v>2900</v>
      </c>
      <c r="J28" s="11" t="n">
        <v>0.5783</v>
      </c>
      <c r="K28" s="18" t="inlineStr">
        <is>
          <t>Precio debajo del piso oficial. Subir a 3,200.00 (gap: +300.00/ud).</t>
        </is>
      </c>
    </row>
    <row r="29">
      <c r="A29" s="20" t="inlineStr">
        <is>
          <t>5-PRECIO&lt;PISO</t>
        </is>
      </c>
      <c r="B29" s="8" t="inlineStr">
        <is>
          <t>CHILE</t>
        </is>
      </c>
      <c r="C29" s="8" t="inlineStr">
        <is>
          <t>PLUS POTASIO</t>
        </is>
      </c>
      <c r="D29" s="8" t="inlineStr">
        <is>
          <t>5 L</t>
        </is>
      </c>
      <c r="E29" s="9" t="n">
        <v>1088401</v>
      </c>
      <c r="F29" s="8" t="inlineStr">
        <is>
          <t>CLP</t>
        </is>
      </c>
      <c r="G29" s="9" t="n">
        <v>4268.2392</v>
      </c>
      <c r="H29" s="9" t="n">
        <v>2588.8</v>
      </c>
      <c r="I29" s="9" t="n">
        <v>4268.2392</v>
      </c>
      <c r="J29" s="11" t="n">
        <v>0.3935</v>
      </c>
      <c r="K29" s="18" t="inlineStr">
        <is>
          <t>Precio debajo del piso oficial. Subir a 5,000.00 (gap: +731.76/ud).</t>
        </is>
      </c>
    </row>
    <row r="30">
      <c r="A30" s="20" t="inlineStr">
        <is>
          <t>5-PRECIO&lt;PISO</t>
        </is>
      </c>
      <c r="B30" s="8" t="inlineStr">
        <is>
          <t>CHILE</t>
        </is>
      </c>
      <c r="C30" s="8" t="inlineStr">
        <is>
          <t>PLUS POTASIO</t>
        </is>
      </c>
      <c r="D30" s="8" t="inlineStr">
        <is>
          <t>1 L</t>
        </is>
      </c>
      <c r="E30" s="9" t="n">
        <v>1065096</v>
      </c>
      <c r="F30" s="8" t="inlineStr">
        <is>
          <t>CLP</t>
        </is>
      </c>
      <c r="G30" s="9" t="n">
        <v>5788.5652</v>
      </c>
      <c r="H30" s="9" t="n">
        <v>3705</v>
      </c>
      <c r="I30" s="9" t="n">
        <v>5788.5652</v>
      </c>
      <c r="J30" s="11" t="n">
        <v>0.3599</v>
      </c>
      <c r="K30" s="18" t="inlineStr">
        <is>
          <t>Precio debajo del piso oficial. Subir a 6,800.00 (gap: +1,011.43/ud).</t>
        </is>
      </c>
    </row>
    <row r="31">
      <c r="A31" s="20" t="inlineStr">
        <is>
          <t>5-PRECIO&lt;PISO</t>
        </is>
      </c>
      <c r="B31" s="8" t="inlineStr">
        <is>
          <t>CHILE</t>
        </is>
      </c>
      <c r="C31" s="8" t="inlineStr">
        <is>
          <t>AMIN</t>
        </is>
      </c>
      <c r="D31" s="8" t="inlineStr"/>
      <c r="E31" s="9" t="n">
        <v>984150</v>
      </c>
      <c r="F31" s="8" t="inlineStr">
        <is>
          <t>CLP</t>
        </is>
      </c>
      <c r="G31" s="9" t="n">
        <v>5291.129</v>
      </c>
      <c r="H31" s="9" t="n">
        <v>3669</v>
      </c>
      <c r="I31" s="9" t="n">
        <v>5320.05</v>
      </c>
      <c r="J31" s="11" t="n">
        <v>0.3066</v>
      </c>
      <c r="K31" s="18" t="inlineStr">
        <is>
          <t>Precio debajo del piso oficial. Subir a 7,800.00 (gap: +2,508.87/ud).</t>
        </is>
      </c>
    </row>
    <row r="32">
      <c r="A32" s="20" t="inlineStr">
        <is>
          <t>5-PRECIO&lt;PISO</t>
        </is>
      </c>
      <c r="B32" s="8" t="inlineStr">
        <is>
          <t>CHILE</t>
        </is>
      </c>
      <c r="C32" s="8" t="inlineStr">
        <is>
          <t>BIOSOLARIS</t>
        </is>
      </c>
      <c r="D32" s="8" t="inlineStr">
        <is>
          <t>20 L</t>
        </is>
      </c>
      <c r="E32" s="9" t="n">
        <v>772000</v>
      </c>
      <c r="F32" s="8" t="inlineStr">
        <is>
          <t>CLP</t>
        </is>
      </c>
      <c r="G32" s="9" t="n">
        <v>12866.6667</v>
      </c>
      <c r="H32" s="9" t="n">
        <v>2309.75</v>
      </c>
      <c r="I32" s="9" t="n">
        <v>12866.6667</v>
      </c>
      <c r="J32" s="11" t="n">
        <v>0.8205</v>
      </c>
      <c r="K32" s="18" t="inlineStr">
        <is>
          <t>Precio debajo del piso oficial. Subir a 14,000.00 (gap: +1,133.33/ud).</t>
        </is>
      </c>
    </row>
    <row r="33">
      <c r="A33" s="20" t="inlineStr">
        <is>
          <t>5-PRECIO&lt;PISO</t>
        </is>
      </c>
      <c r="B33" s="8" t="inlineStr">
        <is>
          <t>CHILE</t>
        </is>
      </c>
      <c r="C33" s="8" t="inlineStr">
        <is>
          <t>BLOOM</t>
        </is>
      </c>
      <c r="D33" s="8" t="inlineStr">
        <is>
          <t>5 L</t>
        </is>
      </c>
      <c r="E33" s="9" t="n">
        <v>666402</v>
      </c>
      <c r="F33" s="8" t="inlineStr">
        <is>
          <t>CLP</t>
        </is>
      </c>
      <c r="G33" s="9" t="n">
        <v>8330.025</v>
      </c>
      <c r="H33" s="9" t="n">
        <v>2980.2</v>
      </c>
      <c r="I33" s="9" t="n">
        <v>8330.025</v>
      </c>
      <c r="J33" s="11" t="n">
        <v>0.6422</v>
      </c>
      <c r="K33" s="18" t="inlineStr">
        <is>
          <t>Precio debajo del piso oficial. Subir a 9,500.00 (gap: +1,169.98/ud).</t>
        </is>
      </c>
    </row>
    <row r="34">
      <c r="A34" s="20" t="inlineStr">
        <is>
          <t>5-PRECIO&lt;PISO</t>
        </is>
      </c>
      <c r="B34" s="8" t="inlineStr">
        <is>
          <t>CHILE</t>
        </is>
      </c>
      <c r="C34" s="8" t="inlineStr">
        <is>
          <t>BALANCE</t>
        </is>
      </c>
      <c r="D34" s="8" t="inlineStr">
        <is>
          <t>1 L</t>
        </is>
      </c>
      <c r="E34" s="9" t="n">
        <v>652758</v>
      </c>
      <c r="F34" s="8" t="inlineStr">
        <is>
          <t>CLP</t>
        </is>
      </c>
      <c r="G34" s="9" t="n">
        <v>14505.7333</v>
      </c>
      <c r="H34" s="9" t="n">
        <v>4631</v>
      </c>
      <c r="I34" s="9" t="n">
        <v>14505.7333</v>
      </c>
      <c r="J34" s="11" t="n">
        <v>0.6807</v>
      </c>
      <c r="K34" s="18" t="inlineStr">
        <is>
          <t>Precio debajo del piso oficial. Subir a 15,000.00 (gap: +494.27/ud).</t>
        </is>
      </c>
    </row>
    <row r="35">
      <c r="A35" s="20" t="inlineStr">
        <is>
          <t>5-PRECIO&lt;PISO</t>
        </is>
      </c>
      <c r="B35" s="8" t="inlineStr">
        <is>
          <t>CHILE</t>
        </is>
      </c>
      <c r="C35" s="8" t="inlineStr">
        <is>
          <t>BIOVECA FOLIAR</t>
        </is>
      </c>
      <c r="D35" s="8" t="inlineStr"/>
      <c r="E35" s="9" t="n">
        <v>648707</v>
      </c>
      <c r="F35" s="8" t="inlineStr">
        <is>
          <t>CLP</t>
        </is>
      </c>
      <c r="G35" s="9" t="n">
        <v>28204.6522</v>
      </c>
      <c r="H35" s="9" t="n">
        <v>8500</v>
      </c>
      <c r="I35" s="9" t="n">
        <v>28204.6522</v>
      </c>
      <c r="J35" s="11" t="n">
        <v>0.6986</v>
      </c>
      <c r="K35" s="18" t="inlineStr">
        <is>
          <t>Precio debajo del piso oficial. Subir a 33,500.00 (gap: +5,295.35/ud).</t>
        </is>
      </c>
    </row>
    <row r="36">
      <c r="A36" s="20" t="inlineStr">
        <is>
          <t>5-PRECIO&lt;PISO</t>
        </is>
      </c>
      <c r="B36" s="8" t="inlineStr">
        <is>
          <t>CHILE</t>
        </is>
      </c>
      <c r="C36" s="8" t="inlineStr">
        <is>
          <t>PLUS CALCIO BORO</t>
        </is>
      </c>
      <c r="D36" s="8" t="inlineStr">
        <is>
          <t>20 L</t>
        </is>
      </c>
      <c r="E36" s="9" t="n">
        <v>591315</v>
      </c>
      <c r="F36" s="8" t="inlineStr">
        <is>
          <t>CLP</t>
        </is>
      </c>
      <c r="G36" s="9" t="n">
        <v>4223.6786</v>
      </c>
      <c r="H36" s="9" t="n">
        <v>1360.55</v>
      </c>
      <c r="I36" s="9" t="n">
        <v>4223.6786</v>
      </c>
      <c r="J36" s="11" t="n">
        <v>0.6779000000000001</v>
      </c>
      <c r="K36" s="18" t="inlineStr">
        <is>
          <t>Precio debajo del piso oficial. Subir a 5,000.00 (gap: +776.32/ud).</t>
        </is>
      </c>
    </row>
    <row r="37">
      <c r="A37" s="20" t="inlineStr">
        <is>
          <t>5-PRECIO&lt;PISO</t>
        </is>
      </c>
      <c r="B37" s="8" t="inlineStr">
        <is>
          <t>CHILE</t>
        </is>
      </c>
      <c r="C37" s="8" t="inlineStr">
        <is>
          <t>PLUS CALCIO BORO</t>
        </is>
      </c>
      <c r="D37" s="8" t="inlineStr">
        <is>
          <t>1 L</t>
        </is>
      </c>
      <c r="E37" s="9" t="n">
        <v>503800</v>
      </c>
      <c r="F37" s="8" t="inlineStr">
        <is>
          <t>CLP</t>
        </is>
      </c>
      <c r="G37" s="9" t="n">
        <v>6628.9474</v>
      </c>
      <c r="H37" s="9" t="n">
        <v>3194</v>
      </c>
      <c r="I37" s="9" t="n">
        <v>6628.9474</v>
      </c>
      <c r="J37" s="11" t="n">
        <v>0.5182</v>
      </c>
      <c r="K37" s="18" t="inlineStr">
        <is>
          <t>Precio debajo del piso oficial. Subir a 7,500.00 (gap: +871.05/ud).</t>
        </is>
      </c>
    </row>
    <row r="38">
      <c r="A38" s="20" t="inlineStr">
        <is>
          <t>5-PRECIO&lt;PISO</t>
        </is>
      </c>
      <c r="B38" s="8" t="inlineStr">
        <is>
          <t>CHILE</t>
        </is>
      </c>
      <c r="C38" s="8" t="inlineStr">
        <is>
          <t>PLUS NUTRI MIX</t>
        </is>
      </c>
      <c r="D38" s="8" t="inlineStr">
        <is>
          <t>20 L</t>
        </is>
      </c>
      <c r="E38" s="9" t="n">
        <v>500000</v>
      </c>
      <c r="F38" s="8" t="inlineStr">
        <is>
          <t>CLP</t>
        </is>
      </c>
      <c r="G38" s="9" t="n">
        <v>5000</v>
      </c>
      <c r="H38" s="9" t="n">
        <v>2214.35</v>
      </c>
      <c r="I38" s="9" t="n">
        <v>5000</v>
      </c>
      <c r="J38" s="11" t="n">
        <v>0.5571</v>
      </c>
      <c r="K38" s="18" t="inlineStr">
        <is>
          <t>Precio debajo del piso oficial. Subir a 6,800.00 (gap: +1,800.00/ud).</t>
        </is>
      </c>
    </row>
    <row r="39">
      <c r="A39" s="20" t="inlineStr">
        <is>
          <t>5-PRECIO&lt;PISO</t>
        </is>
      </c>
      <c r="B39" s="8" t="inlineStr">
        <is>
          <t>CHILE</t>
        </is>
      </c>
      <c r="C39" s="8" t="inlineStr">
        <is>
          <t>AMIN</t>
        </is>
      </c>
      <c r="D39" s="8" t="inlineStr">
        <is>
          <t>1 L</t>
        </is>
      </c>
      <c r="E39" s="9" t="n">
        <v>490674</v>
      </c>
      <c r="F39" s="8" t="inlineStr">
        <is>
          <t>CLP</t>
        </is>
      </c>
      <c r="G39" s="9" t="n">
        <v>7788.4762</v>
      </c>
      <c r="H39" s="9" t="n">
        <v>3669</v>
      </c>
      <c r="I39" s="9" t="n">
        <v>7788.4762</v>
      </c>
      <c r="J39" s="11" t="n">
        <v>0.5289</v>
      </c>
      <c r="K39" s="18" t="inlineStr">
        <is>
          <t>Precio debajo del piso oficial. Subir a 7,800.00 (gap: +11.52/ud).</t>
        </is>
      </c>
    </row>
    <row r="40">
      <c r="A40" s="20" t="inlineStr">
        <is>
          <t>5-PRECIO&lt;PISO</t>
        </is>
      </c>
      <c r="B40" s="8" t="inlineStr">
        <is>
          <t>CHILE</t>
        </is>
      </c>
      <c r="C40" s="8" t="inlineStr">
        <is>
          <t>PLUS CALCIO</t>
        </is>
      </c>
      <c r="D40" s="8" t="inlineStr">
        <is>
          <t>5 L</t>
        </is>
      </c>
      <c r="E40" s="9" t="n">
        <v>476962</v>
      </c>
      <c r="F40" s="8" t="inlineStr">
        <is>
          <t>CLP</t>
        </is>
      </c>
      <c r="G40" s="9" t="n">
        <v>4336.0182</v>
      </c>
      <c r="H40" s="9" t="n">
        <v>1994.2</v>
      </c>
      <c r="I40" s="9" t="n">
        <v>4336.0182</v>
      </c>
      <c r="J40" s="11" t="n">
        <v>0.5401</v>
      </c>
      <c r="K40" s="18" t="inlineStr">
        <is>
          <t>Precio debajo del piso oficial. Subir a 5,000.00 (gap: +663.98/ud).</t>
        </is>
      </c>
    </row>
    <row r="41">
      <c r="A41" s="20" t="inlineStr">
        <is>
          <t>5-PRECIO&lt;PISO</t>
        </is>
      </c>
      <c r="B41" s="8" t="inlineStr">
        <is>
          <t>CHILE</t>
        </is>
      </c>
      <c r="C41" s="8" t="inlineStr">
        <is>
          <t>SILFORTE</t>
        </is>
      </c>
      <c r="D41" s="8" t="inlineStr">
        <is>
          <t>5 L</t>
        </is>
      </c>
      <c r="E41" s="9" t="n">
        <v>474250</v>
      </c>
      <c r="F41" s="8" t="inlineStr">
        <is>
          <t>CLP</t>
        </is>
      </c>
      <c r="G41" s="9" t="n">
        <v>10538.8889</v>
      </c>
      <c r="H41" s="9" t="n">
        <v>3036.8</v>
      </c>
      <c r="I41" s="9" t="n">
        <v>10538.8889</v>
      </c>
      <c r="J41" s="11" t="n">
        <v>0.7118000000000001</v>
      </c>
      <c r="K41" s="18" t="inlineStr">
        <is>
          <t>Precio debajo del piso oficial. Subir a 10,800.00 (gap: +261.11/ud).</t>
        </is>
      </c>
    </row>
    <row r="42">
      <c r="A42" s="20" t="inlineStr">
        <is>
          <t>5-PRECIO&lt;PISO</t>
        </is>
      </c>
      <c r="B42" s="8" t="inlineStr">
        <is>
          <t>CHILE</t>
        </is>
      </c>
      <c r="C42" s="8" t="inlineStr">
        <is>
          <t>AV15 40-20</t>
        </is>
      </c>
      <c r="D42" s="8" t="inlineStr">
        <is>
          <t>5 L</t>
        </is>
      </c>
      <c r="E42" s="9" t="n">
        <v>467353</v>
      </c>
      <c r="F42" s="8" t="inlineStr">
        <is>
          <t>CLP</t>
        </is>
      </c>
      <c r="G42" s="9" t="n">
        <v>5498.2706</v>
      </c>
      <c r="H42" s="9" t="n">
        <v>2590.2</v>
      </c>
      <c r="I42" s="9" t="n">
        <v>5498.2706</v>
      </c>
      <c r="J42" s="11" t="n">
        <v>0.5289</v>
      </c>
      <c r="K42" s="18" t="inlineStr">
        <is>
          <t>Precio debajo del piso oficial. Subir a 6,500.00 (gap: +1,001.73/ud).</t>
        </is>
      </c>
    </row>
    <row r="43">
      <c r="A43" s="20" t="inlineStr">
        <is>
          <t>5-PRECIO&lt;PISO</t>
        </is>
      </c>
      <c r="B43" s="8" t="inlineStr">
        <is>
          <t>CHILE</t>
        </is>
      </c>
      <c r="C43" s="8" t="inlineStr">
        <is>
          <t>PLUS MICRO MIX</t>
        </is>
      </c>
      <c r="D43" s="8" t="inlineStr">
        <is>
          <t>5 L</t>
        </is>
      </c>
      <c r="E43" s="9" t="n">
        <v>425900</v>
      </c>
      <c r="F43" s="8" t="inlineStr">
        <is>
          <t>CLP</t>
        </is>
      </c>
      <c r="G43" s="9" t="n">
        <v>5678.6667</v>
      </c>
      <c r="H43" s="9" t="n">
        <v>3249.8</v>
      </c>
      <c r="I43" s="9" t="n">
        <v>5678.6667</v>
      </c>
      <c r="J43" s="11" t="n">
        <v>0.4277</v>
      </c>
      <c r="K43" s="18" t="inlineStr">
        <is>
          <t>Precio debajo del piso oficial. Subir a 6,500.00 (gap: +821.33/ud).</t>
        </is>
      </c>
    </row>
    <row r="44">
      <c r="A44" s="20" t="inlineStr">
        <is>
          <t>5-PRECIO&lt;PISO</t>
        </is>
      </c>
      <c r="B44" s="8" t="inlineStr">
        <is>
          <t>CHILE</t>
        </is>
      </c>
      <c r="C44" s="8" t="inlineStr">
        <is>
          <t>CYTO PRIME</t>
        </is>
      </c>
      <c r="D44" s="8" t="inlineStr">
        <is>
          <t>5 L</t>
        </is>
      </c>
      <c r="E44" s="9" t="n">
        <v>413167</v>
      </c>
      <c r="F44" s="8" t="inlineStr">
        <is>
          <t>CLP</t>
        </is>
      </c>
      <c r="G44" s="9" t="n">
        <v>16526.68</v>
      </c>
      <c r="H44" s="9" t="n">
        <v>3384</v>
      </c>
      <c r="I44" s="9" t="n">
        <v>16526.68</v>
      </c>
      <c r="J44" s="11" t="n">
        <v>0.7951999999999999</v>
      </c>
      <c r="K44" s="18" t="inlineStr">
        <is>
          <t>Precio debajo del piso oficial. Subir a 17,000.00 (gap: +473.32/ud).</t>
        </is>
      </c>
    </row>
    <row r="45">
      <c r="A45" s="20" t="inlineStr">
        <is>
          <t>5-PRECIO&lt;PISO</t>
        </is>
      </c>
      <c r="B45" s="8" t="inlineStr">
        <is>
          <t>CHILE</t>
        </is>
      </c>
      <c r="C45" s="8" t="inlineStr">
        <is>
          <t>BALANCE</t>
        </is>
      </c>
      <c r="D45" s="8" t="inlineStr"/>
      <c r="E45" s="9" t="n">
        <v>396900</v>
      </c>
      <c r="F45" s="8" t="inlineStr">
        <is>
          <t>CLP</t>
        </is>
      </c>
      <c r="G45" s="9" t="n">
        <v>13230</v>
      </c>
      <c r="H45" s="9" t="n">
        <v>4631</v>
      </c>
      <c r="I45" s="9" t="n">
        <v>13230</v>
      </c>
      <c r="J45" s="11" t="n">
        <v>0.65</v>
      </c>
      <c r="K45" s="18" t="inlineStr">
        <is>
          <t>Precio debajo del piso oficial. Subir a 15,000.00 (gap: +1,770.00/ud).</t>
        </is>
      </c>
    </row>
    <row r="46">
      <c r="A46" s="20" t="inlineStr">
        <is>
          <t>5-PRECIO&lt;PISO</t>
        </is>
      </c>
      <c r="B46" s="8" t="inlineStr">
        <is>
          <t>CHILE</t>
        </is>
      </c>
      <c r="C46" s="8" t="inlineStr">
        <is>
          <t>PLUS NUTRI MIX</t>
        </is>
      </c>
      <c r="D46" s="8" t="inlineStr">
        <is>
          <t>1 L</t>
        </is>
      </c>
      <c r="E46" s="9" t="n">
        <v>395340</v>
      </c>
      <c r="F46" s="8" t="inlineStr">
        <is>
          <t>CLP</t>
        </is>
      </c>
      <c r="G46" s="9" t="n">
        <v>5813.8235</v>
      </c>
      <c r="H46" s="9" t="n">
        <v>4047</v>
      </c>
      <c r="I46" s="9" t="n">
        <v>5868.15</v>
      </c>
      <c r="J46" s="11" t="n">
        <v>0.3039</v>
      </c>
      <c r="K46" s="18" t="inlineStr">
        <is>
          <t>Precio debajo del piso oficial. Subir a 8,000.00 (gap: +2,186.18/ud).</t>
        </is>
      </c>
    </row>
    <row r="47">
      <c r="A47" s="20" t="inlineStr">
        <is>
          <t>5-PRECIO&lt;PISO</t>
        </is>
      </c>
      <c r="B47" s="8" t="inlineStr">
        <is>
          <t>CHILE</t>
        </is>
      </c>
      <c r="C47" s="8" t="inlineStr">
        <is>
          <t>PLUS CALCIO</t>
        </is>
      </c>
      <c r="D47" s="8" t="inlineStr">
        <is>
          <t>1 L</t>
        </is>
      </c>
      <c r="E47" s="9" t="n">
        <v>318397</v>
      </c>
      <c r="F47" s="8" t="inlineStr">
        <is>
          <t>CLP</t>
        </is>
      </c>
      <c r="G47" s="9" t="n">
        <v>5789.0364</v>
      </c>
      <c r="H47" s="9" t="n">
        <v>3110</v>
      </c>
      <c r="I47" s="9" t="n">
        <v>5789.0364</v>
      </c>
      <c r="J47" s="11" t="n">
        <v>0.4628</v>
      </c>
      <c r="K47" s="18" t="inlineStr">
        <is>
          <t>Precio debajo del piso oficial. Subir a 6,000.00 (gap: +210.96/ud).</t>
        </is>
      </c>
    </row>
    <row r="48">
      <c r="A48" s="20" t="inlineStr">
        <is>
          <t>5-PRECIO&lt;PISO</t>
        </is>
      </c>
      <c r="B48" s="8" t="inlineStr">
        <is>
          <t>CHILE</t>
        </is>
      </c>
      <c r="C48" s="8" t="inlineStr">
        <is>
          <t>AMIN</t>
        </is>
      </c>
      <c r="D48" s="8" t="inlineStr">
        <is>
          <t>20 L</t>
        </is>
      </c>
      <c r="E48" s="9" t="n">
        <v>313600</v>
      </c>
      <c r="F48" s="8" t="inlineStr">
        <is>
          <t>CLP</t>
        </is>
      </c>
      <c r="G48" s="9" t="n">
        <v>5226.6667</v>
      </c>
      <c r="H48" s="9" t="n">
        <v>1835.9</v>
      </c>
      <c r="I48" s="9" t="n">
        <v>5226.6667</v>
      </c>
      <c r="J48" s="11" t="n">
        <v>0.6487000000000001</v>
      </c>
      <c r="K48" s="18" t="inlineStr">
        <is>
          <t>Precio debajo del piso oficial. Subir a 5,500.00 (gap: +273.33/ud).</t>
        </is>
      </c>
    </row>
    <row r="49">
      <c r="A49" s="20" t="inlineStr">
        <is>
          <t>5-PRECIO&lt;PISO</t>
        </is>
      </c>
      <c r="B49" s="8" t="inlineStr">
        <is>
          <t>CHILE</t>
        </is>
      </c>
      <c r="C49" s="8" t="inlineStr">
        <is>
          <t>PLUS MAGNESIO</t>
        </is>
      </c>
      <c r="D49" s="8" t="inlineStr">
        <is>
          <t>5 L</t>
        </is>
      </c>
      <c r="E49" s="9" t="n">
        <v>296825</v>
      </c>
      <c r="F49" s="8" t="inlineStr">
        <is>
          <t>CLP</t>
        </is>
      </c>
      <c r="G49" s="9" t="n">
        <v>3957.6667</v>
      </c>
      <c r="H49" s="9" t="n">
        <v>2161.8</v>
      </c>
      <c r="I49" s="9" t="n">
        <v>3957.6667</v>
      </c>
      <c r="J49" s="11" t="n">
        <v>0.4538</v>
      </c>
      <c r="K49" s="18" t="inlineStr">
        <is>
          <t>Precio debajo del piso oficial. Subir a 4,000.00 (gap: +42.33/ud).</t>
        </is>
      </c>
    </row>
    <row r="50">
      <c r="A50" s="20" t="inlineStr">
        <is>
          <t>5-PRECIO&lt;PISO</t>
        </is>
      </c>
      <c r="B50" s="8" t="inlineStr">
        <is>
          <t>CHILE</t>
        </is>
      </c>
      <c r="C50" s="8" t="inlineStr">
        <is>
          <t>BLOOM</t>
        </is>
      </c>
      <c r="D50" s="8" t="inlineStr">
        <is>
          <t>1 L</t>
        </is>
      </c>
      <c r="E50" s="9" t="n">
        <v>285338</v>
      </c>
      <c r="F50" s="8" t="inlineStr">
        <is>
          <t>CLP</t>
        </is>
      </c>
      <c r="G50" s="9" t="n">
        <v>8916.8125</v>
      </c>
      <c r="H50" s="9" t="n">
        <v>4096</v>
      </c>
      <c r="I50" s="9" t="n">
        <v>8916.8125</v>
      </c>
      <c r="J50" s="11" t="n">
        <v>0.5406</v>
      </c>
      <c r="K50" s="18" t="inlineStr">
        <is>
          <t>Precio debajo del piso oficial. Subir a 11,000.00 (gap: +2,083.19/ud).</t>
        </is>
      </c>
    </row>
    <row r="51">
      <c r="A51" s="20" t="inlineStr">
        <is>
          <t>5-PRECIO&lt;PISO</t>
        </is>
      </c>
      <c r="B51" s="8" t="inlineStr">
        <is>
          <t>CHILE</t>
        </is>
      </c>
      <c r="C51" s="8" t="inlineStr">
        <is>
          <t>PLUS MAGNESIO</t>
        </is>
      </c>
      <c r="D51" s="8" t="inlineStr"/>
      <c r="E51" s="9" t="n">
        <v>272375</v>
      </c>
      <c r="F51" s="8" t="inlineStr">
        <is>
          <t>CLP</t>
        </is>
      </c>
      <c r="G51" s="9" t="n">
        <v>4778.5088</v>
      </c>
      <c r="H51" s="9" t="n">
        <v>3278</v>
      </c>
      <c r="I51" s="9" t="n">
        <v>4778.5088</v>
      </c>
      <c r="J51" s="11" t="n">
        <v>0.314</v>
      </c>
      <c r="K51" s="18" t="inlineStr">
        <is>
          <t>Precio debajo del piso oficial. Subir a 6,000.00 (gap: +1,221.49/ud).</t>
        </is>
      </c>
    </row>
    <row r="52">
      <c r="A52" s="20" t="inlineStr">
        <is>
          <t>5-PRECIO&lt;PISO</t>
        </is>
      </c>
      <c r="B52" s="8" t="inlineStr">
        <is>
          <t>CHILE</t>
        </is>
      </c>
      <c r="C52" s="8" t="inlineStr">
        <is>
          <t>PLUS MAGNESIO</t>
        </is>
      </c>
      <c r="D52" s="8" t="inlineStr">
        <is>
          <t>1 L</t>
        </is>
      </c>
      <c r="E52" s="9" t="n">
        <v>250100</v>
      </c>
      <c r="F52" s="8" t="inlineStr">
        <is>
          <t>CLP</t>
        </is>
      </c>
      <c r="G52" s="9" t="n">
        <v>5436.9565</v>
      </c>
      <c r="H52" s="9" t="n">
        <v>3278</v>
      </c>
      <c r="I52" s="9" t="n">
        <v>5436.9565</v>
      </c>
      <c r="J52" s="11" t="n">
        <v>0.3971</v>
      </c>
      <c r="K52" s="18" t="inlineStr">
        <is>
          <t>Precio debajo del piso oficial. Subir a 6,000.00 (gap: +563.04/ud).</t>
        </is>
      </c>
    </row>
    <row r="53">
      <c r="A53" s="20" t="inlineStr">
        <is>
          <t>5-PRECIO&lt;PISO</t>
        </is>
      </c>
      <c r="B53" s="8" t="inlineStr">
        <is>
          <t>CHILE</t>
        </is>
      </c>
      <c r="C53" s="8" t="inlineStr">
        <is>
          <t>AV15 40-20</t>
        </is>
      </c>
      <c r="D53" s="8" t="inlineStr">
        <is>
          <t>1 L</t>
        </is>
      </c>
      <c r="E53" s="9" t="n">
        <v>247692</v>
      </c>
      <c r="F53" s="8" t="inlineStr">
        <is>
          <t>CLP</t>
        </is>
      </c>
      <c r="G53" s="9" t="n">
        <v>7505.8182</v>
      </c>
      <c r="H53" s="9" t="n">
        <v>3706</v>
      </c>
      <c r="I53" s="9" t="n">
        <v>7505.8182</v>
      </c>
      <c r="J53" s="11" t="n">
        <v>0.5062</v>
      </c>
      <c r="K53" s="18" t="inlineStr">
        <is>
          <t>Precio debajo del piso oficial. Subir a 9,000.00 (gap: +1,494.18/ud).</t>
        </is>
      </c>
    </row>
    <row r="54">
      <c r="A54" s="20" t="inlineStr">
        <is>
          <t>5-PRECIO&lt;PISO</t>
        </is>
      </c>
      <c r="B54" s="8" t="inlineStr">
        <is>
          <t>CHILE</t>
        </is>
      </c>
      <c r="C54" s="8" t="inlineStr">
        <is>
          <t>PLUS CALCIO BORO</t>
        </is>
      </c>
      <c r="D54" s="8" t="inlineStr">
        <is>
          <t>5 L</t>
        </is>
      </c>
      <c r="E54" s="9" t="n">
        <v>238093</v>
      </c>
      <c r="F54" s="8" t="inlineStr">
        <is>
          <t>CLP</t>
        </is>
      </c>
      <c r="G54" s="9" t="n">
        <v>5290.9556</v>
      </c>
      <c r="H54" s="9" t="n">
        <v>2077.6</v>
      </c>
      <c r="I54" s="9" t="n">
        <v>5290.9556</v>
      </c>
      <c r="J54" s="11" t="n">
        <v>0.6073</v>
      </c>
      <c r="K54" s="18" t="inlineStr">
        <is>
          <t>Precio debajo del piso oficial. Subir a 6,000.00 (gap: +709.04/ud).</t>
        </is>
      </c>
    </row>
    <row r="55">
      <c r="A55" s="20" t="inlineStr">
        <is>
          <t>5-PRECIO&lt;PISO</t>
        </is>
      </c>
      <c r="B55" s="8" t="inlineStr">
        <is>
          <t>CHILE</t>
        </is>
      </c>
      <c r="C55" s="8" t="inlineStr">
        <is>
          <t>SILFORTE</t>
        </is>
      </c>
      <c r="D55" s="8" t="inlineStr"/>
      <c r="E55" s="9" t="n">
        <v>228800</v>
      </c>
      <c r="F55" s="8" t="inlineStr">
        <is>
          <t>CLP</t>
        </is>
      </c>
      <c r="G55" s="9" t="n">
        <v>11440</v>
      </c>
      <c r="H55" s="9" t="n">
        <v>4153</v>
      </c>
      <c r="I55" s="9" t="n">
        <v>11440</v>
      </c>
      <c r="J55" s="11" t="n">
        <v>0.637</v>
      </c>
      <c r="K55" s="18" t="inlineStr">
        <is>
          <t>Precio debajo del piso oficial. Subir a 12,000.00 (gap: +560.00/ud).</t>
        </is>
      </c>
    </row>
    <row r="56">
      <c r="A56" s="20" t="inlineStr">
        <is>
          <t>5-PRECIO&lt;PISO</t>
        </is>
      </c>
      <c r="B56" s="8" t="inlineStr">
        <is>
          <t>CHILE</t>
        </is>
      </c>
      <c r="C56" s="8" t="inlineStr">
        <is>
          <t>PLUS BORO</t>
        </is>
      </c>
      <c r="D56" s="8" t="inlineStr">
        <is>
          <t>20 L</t>
        </is>
      </c>
      <c r="E56" s="9" t="n">
        <v>213920</v>
      </c>
      <c r="F56" s="8" t="inlineStr">
        <is>
          <t>CLP</t>
        </is>
      </c>
      <c r="G56" s="9" t="n">
        <v>2674</v>
      </c>
      <c r="H56" s="9" t="n">
        <v>1256.7</v>
      </c>
      <c r="I56" s="9" t="n">
        <v>2674</v>
      </c>
      <c r="J56" s="11" t="n">
        <v>0.53</v>
      </c>
      <c r="K56" s="18" t="inlineStr">
        <is>
          <t>Precio debajo del piso oficial. Subir a 4,000.00 (gap: +1,326.00/ud).</t>
        </is>
      </c>
    </row>
    <row r="57">
      <c r="A57" s="20" t="inlineStr">
        <is>
          <t>5-PRECIO&lt;PISO</t>
        </is>
      </c>
      <c r="B57" s="8" t="inlineStr">
        <is>
          <t>CHILE</t>
        </is>
      </c>
      <c r="C57" s="8" t="inlineStr">
        <is>
          <t>BIOSOLARIS</t>
        </is>
      </c>
      <c r="D57" s="8" t="inlineStr">
        <is>
          <t>5 L</t>
        </is>
      </c>
      <c r="E57" s="9" t="n">
        <v>194000</v>
      </c>
      <c r="F57" s="8" t="inlineStr">
        <is>
          <t>CLP</t>
        </is>
      </c>
      <c r="G57" s="9" t="n">
        <v>12933.3333</v>
      </c>
      <c r="H57" s="9" t="n">
        <v>3026.8</v>
      </c>
      <c r="I57" s="9" t="n">
        <v>12933.3333</v>
      </c>
      <c r="J57" s="11" t="n">
        <v>0.7659999999999999</v>
      </c>
      <c r="K57" s="18" t="inlineStr">
        <is>
          <t>Precio debajo del piso oficial. Subir a 15,000.00 (gap: +2,066.67/ud).</t>
        </is>
      </c>
    </row>
    <row r="58">
      <c r="A58" s="20" t="inlineStr">
        <is>
          <t>5-PRECIO&lt;PISO</t>
        </is>
      </c>
      <c r="B58" s="8" t="inlineStr">
        <is>
          <t>CHILE</t>
        </is>
      </c>
      <c r="C58" s="8" t="inlineStr">
        <is>
          <t>PLUS NP-MIX</t>
        </is>
      </c>
      <c r="D58" s="8" t="inlineStr">
        <is>
          <t>1 L</t>
        </is>
      </c>
      <c r="E58" s="9" t="n">
        <v>172200</v>
      </c>
      <c r="F58" s="8" t="inlineStr">
        <is>
          <t>CLP</t>
        </is>
      </c>
      <c r="G58" s="9" t="n">
        <v>7175</v>
      </c>
      <c r="H58" s="9" t="n">
        <v>4666</v>
      </c>
      <c r="I58" s="9" t="n">
        <v>7175</v>
      </c>
      <c r="J58" s="11" t="n">
        <v>0.3497</v>
      </c>
      <c r="K58" s="18" t="inlineStr">
        <is>
          <t>Precio debajo del piso oficial. Subir a 8,000.00 (gap: +825.00/ud).</t>
        </is>
      </c>
    </row>
    <row r="59">
      <c r="A59" s="20" t="inlineStr">
        <is>
          <t>5-PRECIO&lt;PISO</t>
        </is>
      </c>
      <c r="B59" s="8" t="inlineStr">
        <is>
          <t>CHILE</t>
        </is>
      </c>
      <c r="C59" s="8" t="inlineStr">
        <is>
          <t>BIOSOLARIS</t>
        </is>
      </c>
      <c r="D59" s="8" t="inlineStr">
        <is>
          <t>1 L</t>
        </is>
      </c>
      <c r="E59" s="9" t="n">
        <v>171200</v>
      </c>
      <c r="F59" s="8" t="inlineStr">
        <is>
          <t>CLP</t>
        </is>
      </c>
      <c r="G59" s="9" t="n">
        <v>10700</v>
      </c>
      <c r="H59" s="9" t="n">
        <v>4143</v>
      </c>
      <c r="I59" s="9" t="n">
        <v>10700</v>
      </c>
      <c r="J59" s="11" t="n">
        <v>0.6128</v>
      </c>
      <c r="K59" s="18" t="inlineStr">
        <is>
          <t>Precio debajo del piso oficial. Subir a 16,000.00 (gap: +5,300.00/ud).</t>
        </is>
      </c>
    </row>
    <row r="60">
      <c r="A60" s="20" t="inlineStr">
        <is>
          <t>5-PRECIO&lt;PISO</t>
        </is>
      </c>
      <c r="B60" s="8" t="inlineStr">
        <is>
          <t>CHILE</t>
        </is>
      </c>
      <c r="C60" s="8" t="inlineStr">
        <is>
          <t>PLUS ZINC</t>
        </is>
      </c>
      <c r="D60" s="8" t="inlineStr">
        <is>
          <t>20 L</t>
        </is>
      </c>
      <c r="E60" s="9" t="n">
        <v>160000</v>
      </c>
      <c r="F60" s="8" t="inlineStr">
        <is>
          <t>CLP</t>
        </is>
      </c>
      <c r="G60" s="9" t="n">
        <v>4000</v>
      </c>
      <c r="H60" s="9" t="n">
        <v>2112.95</v>
      </c>
      <c r="I60" s="9" t="n">
        <v>4000</v>
      </c>
      <c r="J60" s="11" t="n">
        <v>0.4718</v>
      </c>
      <c r="K60" s="18" t="inlineStr">
        <is>
          <t>Precio debajo del piso oficial. Subir a 4,800.00 (gap: +800.00/ud).</t>
        </is>
      </c>
    </row>
    <row r="61">
      <c r="A61" s="20" t="inlineStr">
        <is>
          <t>5-PRECIO&lt;PISO</t>
        </is>
      </c>
      <c r="B61" s="8" t="inlineStr">
        <is>
          <t>CHILE</t>
        </is>
      </c>
      <c r="C61" s="8" t="inlineStr">
        <is>
          <t>ALGAP 30</t>
        </is>
      </c>
      <c r="D61" s="8" t="inlineStr">
        <is>
          <t>5 L</t>
        </is>
      </c>
      <c r="E61" s="9" t="n">
        <v>142572</v>
      </c>
      <c r="F61" s="8" t="inlineStr">
        <is>
          <t>CLP</t>
        </is>
      </c>
      <c r="G61" s="9" t="n">
        <v>4752.4</v>
      </c>
      <c r="H61" s="9" t="n">
        <v>2599.2</v>
      </c>
      <c r="I61" s="9" t="n">
        <v>4752.4</v>
      </c>
      <c r="J61" s="11" t="n">
        <v>0.4531</v>
      </c>
      <c r="K61" s="18" t="inlineStr">
        <is>
          <t>Precio debajo del piso oficial. Subir a 5,000.00 (gap: +247.60/ud).</t>
        </is>
      </c>
    </row>
    <row r="62">
      <c r="A62" s="20" t="inlineStr">
        <is>
          <t>5-PRECIO&lt;PISO</t>
        </is>
      </c>
      <c r="B62" s="8" t="inlineStr">
        <is>
          <t>CHILE</t>
        </is>
      </c>
      <c r="C62" s="8" t="inlineStr">
        <is>
          <t>PLUS NUTRI MIX</t>
        </is>
      </c>
      <c r="D62" s="8" t="inlineStr">
        <is>
          <t>5 L</t>
        </is>
      </c>
      <c r="E62" s="9" t="n">
        <v>133560</v>
      </c>
      <c r="F62" s="8" t="inlineStr">
        <is>
          <t>CLP</t>
        </is>
      </c>
      <c r="G62" s="9" t="n">
        <v>6678</v>
      </c>
      <c r="H62" s="9" t="n">
        <v>2931.4</v>
      </c>
      <c r="I62" s="9" t="n">
        <v>6678</v>
      </c>
      <c r="J62" s="11" t="n">
        <v>0.5610000000000001</v>
      </c>
      <c r="K62" s="18" t="inlineStr">
        <is>
          <t>Precio debajo del piso oficial. Subir a 7,200.00 (gap: +522.00/ud).</t>
        </is>
      </c>
    </row>
    <row r="63">
      <c r="A63" s="20" t="inlineStr">
        <is>
          <t>5-PRECIO&lt;PISO</t>
        </is>
      </c>
      <c r="B63" s="8" t="inlineStr">
        <is>
          <t>PERU</t>
        </is>
      </c>
      <c r="C63" s="8" t="inlineStr">
        <is>
          <t>SILFORTE</t>
        </is>
      </c>
      <c r="D63" s="8" t="inlineStr">
        <is>
          <t>GRANEL</t>
        </is>
      </c>
      <c r="E63" s="9" t="n">
        <v>91777.75999999999</v>
      </c>
      <c r="F63" s="8" t="inlineStr">
        <is>
          <t>USD</t>
        </is>
      </c>
      <c r="G63" s="9" t="n">
        <v>11.1761</v>
      </c>
      <c r="H63" s="9" t="n">
        <v>2.18</v>
      </c>
      <c r="I63" s="9" t="n">
        <v>11.1761</v>
      </c>
      <c r="J63" s="11" t="n">
        <v>0.8048999999999999</v>
      </c>
      <c r="K63" s="18" t="inlineStr">
        <is>
          <t>Precio debajo del piso oficial. Subir a 11.67 (gap: +0.49/ud).</t>
        </is>
      </c>
    </row>
    <row r="64">
      <c r="A64" s="20" t="inlineStr">
        <is>
          <t>5-PRECIO&lt;PISO</t>
        </is>
      </c>
      <c r="B64" s="8" t="inlineStr">
        <is>
          <t>CHILE</t>
        </is>
      </c>
      <c r="C64" s="8" t="inlineStr">
        <is>
          <t>PLUS ZINC MANGANESO</t>
        </is>
      </c>
      <c r="D64" s="8" t="inlineStr">
        <is>
          <t>5 L</t>
        </is>
      </c>
      <c r="E64" s="9" t="n">
        <v>90300</v>
      </c>
      <c r="F64" s="8" t="inlineStr">
        <is>
          <t>CLP</t>
        </is>
      </c>
      <c r="G64" s="9" t="n">
        <v>4515</v>
      </c>
      <c r="H64" s="9" t="n">
        <v>2555.4</v>
      </c>
      <c r="I64" s="9" t="n">
        <v>4515</v>
      </c>
      <c r="J64" s="11" t="n">
        <v>0.434</v>
      </c>
      <c r="K64" s="18" t="inlineStr">
        <is>
          <t>Precio debajo del piso oficial. Subir a 6,000.00 (gap: +1,485.00/ud).</t>
        </is>
      </c>
    </row>
    <row r="65">
      <c r="A65" s="20" t="inlineStr">
        <is>
          <t>5-PRECIO&lt;PISO</t>
        </is>
      </c>
      <c r="B65" s="8" t="inlineStr">
        <is>
          <t>CHILE</t>
        </is>
      </c>
      <c r="C65" s="8" t="inlineStr">
        <is>
          <t>PLUS HIERRO</t>
        </is>
      </c>
      <c r="D65" s="8" t="inlineStr">
        <is>
          <t>20 L</t>
        </is>
      </c>
      <c r="E65" s="9" t="n">
        <v>80000</v>
      </c>
      <c r="F65" s="8" t="inlineStr">
        <is>
          <t>CLP</t>
        </is>
      </c>
      <c r="G65" s="9" t="n">
        <v>4000</v>
      </c>
      <c r="H65" s="9" t="n">
        <v>1320.95</v>
      </c>
      <c r="I65" s="9" t="n">
        <v>4000</v>
      </c>
      <c r="J65" s="11" t="n">
        <v>0.6698000000000001</v>
      </c>
      <c r="K65" s="18" t="inlineStr">
        <is>
          <t>Precio debajo del piso oficial. Subir a 5,000.00 (gap: +1,000.00/ud).</t>
        </is>
      </c>
    </row>
    <row r="66">
      <c r="A66" s="20" t="inlineStr">
        <is>
          <t>5-PRECIO&lt;PISO</t>
        </is>
      </c>
      <c r="B66" s="8" t="inlineStr">
        <is>
          <t>CHILE</t>
        </is>
      </c>
      <c r="C66" s="8" t="inlineStr">
        <is>
          <t>PLUS ZINC</t>
        </is>
      </c>
      <c r="D66" s="8" t="inlineStr">
        <is>
          <t>5 L</t>
        </is>
      </c>
      <c r="E66" s="9" t="n">
        <v>77450</v>
      </c>
      <c r="F66" s="8" t="inlineStr">
        <is>
          <t>CLP</t>
        </is>
      </c>
      <c r="G66" s="9" t="n">
        <v>3872.5</v>
      </c>
      <c r="H66" s="9" t="n">
        <v>2830</v>
      </c>
      <c r="I66" s="9" t="n">
        <v>4103.5</v>
      </c>
      <c r="J66" s="11" t="n">
        <v>0.2692</v>
      </c>
      <c r="K66" s="18" t="inlineStr">
        <is>
          <t>Precio debajo del piso oficial. Subir a 6,800.00 (gap: +2,927.50/ud).</t>
        </is>
      </c>
    </row>
    <row r="67">
      <c r="A67" s="20" t="inlineStr">
        <is>
          <t>5-PRECIO&lt;PISO</t>
        </is>
      </c>
      <c r="B67" s="8" t="inlineStr">
        <is>
          <t>CHILE</t>
        </is>
      </c>
      <c r="C67" s="8" t="inlineStr">
        <is>
          <t>PLUS BORO</t>
        </is>
      </c>
      <c r="D67" s="8" t="inlineStr">
        <is>
          <t>5 L</t>
        </is>
      </c>
      <c r="E67" s="9" t="n">
        <v>72450</v>
      </c>
      <c r="F67" s="8" t="inlineStr">
        <is>
          <t>CLP</t>
        </is>
      </c>
      <c r="G67" s="9" t="n">
        <v>4830</v>
      </c>
      <c r="H67" s="9" t="n">
        <v>1973.6</v>
      </c>
      <c r="I67" s="9" t="n">
        <v>4830</v>
      </c>
      <c r="J67" s="11" t="n">
        <v>0.5914</v>
      </c>
      <c r="K67" s="18" t="inlineStr">
        <is>
          <t>Precio debajo del piso oficial. Subir a 5,000.00 (gap: +170.00/ud).</t>
        </is>
      </c>
    </row>
    <row r="68">
      <c r="A68" s="20" t="inlineStr">
        <is>
          <t>5-PRECIO&lt;PISO</t>
        </is>
      </c>
      <c r="B68" s="8" t="inlineStr">
        <is>
          <t>CHILE</t>
        </is>
      </c>
      <c r="C68" s="8" t="inlineStr">
        <is>
          <t>MOVE</t>
        </is>
      </c>
      <c r="D68" s="8" t="inlineStr">
        <is>
          <t>1 L</t>
        </is>
      </c>
      <c r="E68" s="9" t="n">
        <v>58350</v>
      </c>
      <c r="F68" s="8" t="inlineStr">
        <is>
          <t>CLP</t>
        </is>
      </c>
      <c r="G68" s="9" t="n">
        <v>8335.7143</v>
      </c>
      <c r="H68" s="9" t="n">
        <v>4631</v>
      </c>
      <c r="I68" s="9" t="n">
        <v>8335.7143</v>
      </c>
      <c r="J68" s="11" t="n">
        <v>0.4444</v>
      </c>
      <c r="K68" s="18" t="inlineStr">
        <is>
          <t>Precio debajo del piso oficial. Subir a 8,800.00 (gap: +464.29/ud).</t>
        </is>
      </c>
    </row>
    <row r="69">
      <c r="A69" s="20" t="inlineStr">
        <is>
          <t>5-PRECIO&lt;PISO</t>
        </is>
      </c>
      <c r="B69" s="8" t="inlineStr">
        <is>
          <t>CHILE</t>
        </is>
      </c>
      <c r="C69" s="8" t="inlineStr">
        <is>
          <t>PLUS BORO</t>
        </is>
      </c>
      <c r="D69" s="8" t="inlineStr">
        <is>
          <t>1 L</t>
        </is>
      </c>
      <c r="E69" s="9" t="n">
        <v>57316</v>
      </c>
      <c r="F69" s="8" t="inlineStr">
        <is>
          <t>CLP</t>
        </is>
      </c>
      <c r="G69" s="9" t="n">
        <v>5731.6</v>
      </c>
      <c r="H69" s="9" t="n">
        <v>3090</v>
      </c>
      <c r="I69" s="9" t="n">
        <v>5731.6</v>
      </c>
      <c r="J69" s="11" t="n">
        <v>0.4609</v>
      </c>
      <c r="K69" s="18" t="inlineStr">
        <is>
          <t>Precio debajo del piso oficial. Subir a 6,000.00 (gap: +268.40/ud).</t>
        </is>
      </c>
    </row>
    <row r="70">
      <c r="A70" s="20" t="inlineStr">
        <is>
          <t>5-PRECIO&lt;PISO</t>
        </is>
      </c>
      <c r="B70" s="8" t="inlineStr">
        <is>
          <t>CHILE</t>
        </is>
      </c>
      <c r="C70" s="8" t="inlineStr">
        <is>
          <t>PLUS CALCIO</t>
        </is>
      </c>
      <c r="D70" s="8" t="inlineStr"/>
      <c r="E70" s="9" t="n">
        <v>47515</v>
      </c>
      <c r="F70" s="8" t="inlineStr">
        <is>
          <t>CLP</t>
        </is>
      </c>
      <c r="G70" s="9" t="n">
        <v>4751.5</v>
      </c>
      <c r="H70" s="9" t="n">
        <v>3110</v>
      </c>
      <c r="I70" s="9" t="n">
        <v>4751.5</v>
      </c>
      <c r="J70" s="11" t="n">
        <v>0.3455</v>
      </c>
      <c r="K70" s="18" t="inlineStr">
        <is>
          <t>Precio debajo del piso oficial. Subir a 6,000.00 (gap: +1,248.50/ud).</t>
        </is>
      </c>
    </row>
    <row r="71">
      <c r="A71" s="20" t="inlineStr">
        <is>
          <t>5-PRECIO&lt;PISO</t>
        </is>
      </c>
      <c r="B71" s="8" t="inlineStr">
        <is>
          <t>CHILE</t>
        </is>
      </c>
      <c r="C71" s="8" t="inlineStr">
        <is>
          <t>PLUS CALCIO BORO</t>
        </is>
      </c>
      <c r="D71" s="8" t="inlineStr"/>
      <c r="E71" s="9" t="n">
        <v>47510</v>
      </c>
      <c r="F71" s="8" t="inlineStr">
        <is>
          <t>CLP</t>
        </is>
      </c>
      <c r="G71" s="9" t="n">
        <v>4751</v>
      </c>
      <c r="H71" s="9" t="n">
        <v>3194</v>
      </c>
      <c r="I71" s="9" t="n">
        <v>4751</v>
      </c>
      <c r="J71" s="11" t="n">
        <v>0.3277</v>
      </c>
      <c r="K71" s="18" t="inlineStr">
        <is>
          <t>Precio debajo del piso oficial. Subir a 7,500.00 (gap: +2,749.00/ud).</t>
        </is>
      </c>
    </row>
    <row r="72">
      <c r="A72" s="20" t="inlineStr">
        <is>
          <t>5-PRECIO&lt;PISO</t>
        </is>
      </c>
      <c r="B72" s="8" t="inlineStr">
        <is>
          <t>CHILE</t>
        </is>
      </c>
      <c r="C72" s="8" t="inlineStr">
        <is>
          <t>MAX FULVIC 45%</t>
        </is>
      </c>
      <c r="D72" s="8" t="inlineStr">
        <is>
          <t>5 L</t>
        </is>
      </c>
      <c r="E72" s="9" t="n">
        <v>42000</v>
      </c>
      <c r="F72" s="8" t="inlineStr">
        <is>
          <t>CLP</t>
        </is>
      </c>
      <c r="G72" s="9" t="n">
        <v>4200</v>
      </c>
      <c r="H72" s="9" t="n">
        <v>2221.6</v>
      </c>
      <c r="I72" s="9" t="n">
        <v>4200</v>
      </c>
      <c r="J72" s="11" t="n">
        <v>0.471</v>
      </c>
      <c r="K72" s="18" t="inlineStr">
        <is>
          <t>Precio debajo del piso oficial. Subir a 5,800.00 (gap: +1,600.00/ud).</t>
        </is>
      </c>
    </row>
    <row r="73">
      <c r="A73" s="20" t="inlineStr">
        <is>
          <t>5-PRECIO&lt;PISO</t>
        </is>
      </c>
      <c r="B73" s="8" t="inlineStr">
        <is>
          <t>CHILE</t>
        </is>
      </c>
      <c r="C73" s="8" t="inlineStr">
        <is>
          <t>PLUS HIERRO</t>
        </is>
      </c>
      <c r="D73" s="8" t="inlineStr">
        <is>
          <t>5 L</t>
        </is>
      </c>
      <c r="E73" s="9" t="n">
        <v>35400</v>
      </c>
      <c r="F73" s="8" t="inlineStr">
        <is>
          <t>CLP</t>
        </is>
      </c>
      <c r="G73" s="9" t="n">
        <v>3540</v>
      </c>
      <c r="H73" s="9" t="n">
        <v>2038</v>
      </c>
      <c r="I73" s="9" t="n">
        <v>3540</v>
      </c>
      <c r="J73" s="11" t="n">
        <v>0.4243</v>
      </c>
      <c r="K73" s="18" t="inlineStr">
        <is>
          <t>Precio debajo del piso oficial. Subir a 6,800.00 (gap: +3,260.00/ud).</t>
        </is>
      </c>
    </row>
    <row r="74">
      <c r="A74" s="20" t="inlineStr">
        <is>
          <t>5-PRECIO&lt;PISO</t>
        </is>
      </c>
      <c r="B74" s="8" t="inlineStr">
        <is>
          <t>CHILE</t>
        </is>
      </c>
      <c r="C74" s="8" t="inlineStr">
        <is>
          <t>PLUS ZINC</t>
        </is>
      </c>
      <c r="D74" s="8" t="inlineStr">
        <is>
          <t>1 L</t>
        </is>
      </c>
      <c r="E74" s="9" t="n">
        <v>35210</v>
      </c>
      <c r="F74" s="8" t="inlineStr">
        <is>
          <t>CLP</t>
        </is>
      </c>
      <c r="G74" s="9" t="n">
        <v>5868.3333</v>
      </c>
      <c r="H74" s="9" t="n">
        <v>3946</v>
      </c>
      <c r="I74" s="9" t="n">
        <v>5868.3333</v>
      </c>
      <c r="J74" s="11" t="n">
        <v>0.3276</v>
      </c>
      <c r="K74" s="18" t="inlineStr">
        <is>
          <t>Precio debajo del piso oficial. Subir a 7,200.00 (gap: +1,331.67/ud).</t>
        </is>
      </c>
    </row>
    <row r="75">
      <c r="A75" s="20" t="inlineStr">
        <is>
          <t>5-PRECIO&lt;PISO</t>
        </is>
      </c>
      <c r="B75" s="8" t="inlineStr">
        <is>
          <t>CHILE</t>
        </is>
      </c>
      <c r="C75" s="8" t="inlineStr">
        <is>
          <t>PLUS HIERRO</t>
        </is>
      </c>
      <c r="D75" s="8" t="inlineStr">
        <is>
          <t>1 L</t>
        </is>
      </c>
      <c r="E75" s="9" t="n">
        <v>5810</v>
      </c>
      <c r="F75" s="8" t="inlineStr">
        <is>
          <t>CLP</t>
        </is>
      </c>
      <c r="G75" s="9" t="n">
        <v>5810</v>
      </c>
      <c r="H75" s="9" t="n">
        <v>3154</v>
      </c>
      <c r="I75" s="9" t="n">
        <v>5810</v>
      </c>
      <c r="J75" s="11" t="n">
        <v>0.4571</v>
      </c>
      <c r="K75" s="18" t="inlineStr">
        <is>
          <t>Precio debajo del piso oficial. Subir a 8,000.00 (gap: +2,190.00/ud).</t>
        </is>
      </c>
    </row>
  </sheetData>
  <autoFilter ref="A1:K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16" customWidth="1" min="4" max="4"/>
    <col width="15" customWidth="1" min="5" max="5"/>
    <col width="8" customWidth="1" min="6" max="6"/>
    <col width="10" customWidth="1" min="7" max="7"/>
    <col width="28" customWidth="1" min="8" max="8"/>
  </cols>
  <sheetData>
    <row r="1">
      <c r="A1" s="7" t="inlineStr">
        <is>
          <t>Rank</t>
        </is>
      </c>
      <c r="B1" s="7" t="inlineStr">
        <is>
          <t>Pais</t>
        </is>
      </c>
      <c r="C1" s="7" t="inlineStr">
        <is>
          <t>Producto</t>
        </is>
      </c>
      <c r="D1" s="7" t="inlineStr">
        <is>
          <t>Formato</t>
        </is>
      </c>
      <c r="E1" s="7" t="inlineStr">
        <is>
          <t>Ventas YTD</t>
        </is>
      </c>
      <c r="F1" s="7" t="inlineStr">
        <is>
          <t>Moneda</t>
        </is>
      </c>
      <c r="G1" s="7" t="inlineStr">
        <is>
          <t>Margen %</t>
        </is>
      </c>
      <c r="H1" s="7" t="inlineStr">
        <is>
          <t>Clasificacion</t>
        </is>
      </c>
    </row>
    <row r="2">
      <c r="A2" s="8" t="n">
        <v>1</v>
      </c>
      <c r="B2" s="8" t="inlineStr">
        <is>
          <t>CHILE</t>
        </is>
      </c>
      <c r="C2" s="8" t="inlineStr">
        <is>
          <t>MOVE</t>
        </is>
      </c>
      <c r="D2" s="8" t="inlineStr">
        <is>
          <t>20 L</t>
        </is>
      </c>
      <c r="E2" s="10" t="n">
        <v>23747558</v>
      </c>
      <c r="F2" s="8" t="inlineStr">
        <is>
          <t>CLP</t>
        </is>
      </c>
      <c r="G2" s="11" t="n">
        <v>0.6324000000000001</v>
      </c>
      <c r="H2" s="8" t="inlineStr">
        <is>
          <t>EXCELENTE</t>
        </is>
      </c>
    </row>
    <row r="3">
      <c r="A3" s="8" t="n">
        <v>2</v>
      </c>
      <c r="B3" s="8" t="inlineStr">
        <is>
          <t>CHILE</t>
        </is>
      </c>
      <c r="C3" s="8" t="inlineStr">
        <is>
          <t>CRYOPHILE</t>
        </is>
      </c>
      <c r="D3" s="8" t="inlineStr">
        <is>
          <t>250 G</t>
        </is>
      </c>
      <c r="E3" s="10" t="n">
        <v>15356000</v>
      </c>
      <c r="F3" s="8" t="inlineStr">
        <is>
          <t>CLP</t>
        </is>
      </c>
      <c r="G3" s="11" t="n"/>
      <c r="H3" s="8" t="inlineStr">
        <is>
          <t>SIN COSTO / N/A</t>
        </is>
      </c>
    </row>
    <row r="4">
      <c r="A4" s="8" t="n">
        <v>3</v>
      </c>
      <c r="B4" s="8" t="inlineStr">
        <is>
          <t>CHILE</t>
        </is>
      </c>
      <c r="C4" s="8" t="inlineStr">
        <is>
          <t>BIOVECA PRADERAS</t>
        </is>
      </c>
      <c r="D4" s="8" t="inlineStr">
        <is>
          <t>250 G</t>
        </is>
      </c>
      <c r="E4" s="10" t="n">
        <v>13806908</v>
      </c>
      <c r="F4" s="8" t="inlineStr">
        <is>
          <t>CLP</t>
        </is>
      </c>
      <c r="G4" s="11" t="n">
        <v>0.457</v>
      </c>
      <c r="H4" s="8" t="inlineStr">
        <is>
          <t>EXCELENTE</t>
        </is>
      </c>
    </row>
    <row r="5">
      <c r="A5" s="8" t="n">
        <v>4</v>
      </c>
      <c r="B5" s="8" t="inlineStr">
        <is>
          <t>CHILE</t>
        </is>
      </c>
      <c r="C5" s="8" t="inlineStr">
        <is>
          <t>SILFORTE</t>
        </is>
      </c>
      <c r="D5" s="8" t="inlineStr">
        <is>
          <t>20 L</t>
        </is>
      </c>
      <c r="E5" s="10" t="n">
        <v>9930120</v>
      </c>
      <c r="F5" s="8" t="inlineStr">
        <is>
          <t>CLP</t>
        </is>
      </c>
      <c r="G5" s="11" t="n">
        <v>0.7756999999999999</v>
      </c>
      <c r="H5" s="8" t="inlineStr">
        <is>
          <t>EXCELENTE</t>
        </is>
      </c>
    </row>
    <row r="6">
      <c r="A6" s="8" t="n">
        <v>5</v>
      </c>
      <c r="B6" s="8" t="inlineStr">
        <is>
          <t>CHILE</t>
        </is>
      </c>
      <c r="C6" s="8" t="inlineStr">
        <is>
          <t>BIOVECA INVERNAL</t>
        </is>
      </c>
      <c r="D6" s="8" t="inlineStr">
        <is>
          <t>250 G</t>
        </is>
      </c>
      <c r="E6" s="10" t="n">
        <v>9446560</v>
      </c>
      <c r="F6" s="8" t="inlineStr">
        <is>
          <t>CLP</t>
        </is>
      </c>
      <c r="G6" s="11" t="n">
        <v>0.6869</v>
      </c>
      <c r="H6" s="8" t="inlineStr">
        <is>
          <t>EXCELENTE</t>
        </is>
      </c>
    </row>
    <row r="7">
      <c r="A7" s="8" t="n">
        <v>6</v>
      </c>
      <c r="B7" s="8" t="inlineStr">
        <is>
          <t>CHILE</t>
        </is>
      </c>
      <c r="C7" s="8" t="inlineStr">
        <is>
          <t>AMIN SUGAR</t>
        </is>
      </c>
      <c r="D7" s="8" t="inlineStr">
        <is>
          <t>20 L</t>
        </is>
      </c>
      <c r="E7" s="10" t="n">
        <v>8166599</v>
      </c>
      <c r="F7" s="8" t="inlineStr">
        <is>
          <t>CLP</t>
        </is>
      </c>
      <c r="G7" s="11" t="n">
        <v>0.6129</v>
      </c>
      <c r="H7" s="8" t="inlineStr">
        <is>
          <t>EXCELENTE</t>
        </is>
      </c>
    </row>
    <row r="8">
      <c r="A8" s="8" t="n">
        <v>7</v>
      </c>
      <c r="B8" s="8" t="inlineStr">
        <is>
          <t>CHILE</t>
        </is>
      </c>
      <c r="C8" s="8" t="inlineStr">
        <is>
          <t>ROOT MAX</t>
        </is>
      </c>
      <c r="D8" s="8" t="inlineStr">
        <is>
          <t>20 L</t>
        </is>
      </c>
      <c r="E8" s="10" t="n">
        <v>7006942</v>
      </c>
      <c r="F8" s="8" t="inlineStr">
        <is>
          <t>CLP</t>
        </is>
      </c>
      <c r="G8" s="11" t="n">
        <v>0.853</v>
      </c>
      <c r="H8" s="8" t="inlineStr">
        <is>
          <t>EXCELENTE</t>
        </is>
      </c>
    </row>
    <row r="9">
      <c r="A9" s="8" t="n">
        <v>8</v>
      </c>
      <c r="B9" s="8" t="inlineStr">
        <is>
          <t>CHILE</t>
        </is>
      </c>
      <c r="C9" s="8" t="inlineStr">
        <is>
          <t>HUMIC ROOT</t>
        </is>
      </c>
      <c r="D9" s="8" t="inlineStr">
        <is>
          <t>1000 L</t>
        </is>
      </c>
      <c r="E9" s="10" t="n">
        <v>7000000</v>
      </c>
      <c r="F9" s="8" t="inlineStr">
        <is>
          <t>CLP</t>
        </is>
      </c>
      <c r="G9" s="11" t="n">
        <v>0.5029</v>
      </c>
      <c r="H9" s="8" t="inlineStr">
        <is>
          <t>EXCELENTE</t>
        </is>
      </c>
    </row>
    <row r="10">
      <c r="A10" s="8" t="n">
        <v>9</v>
      </c>
      <c r="B10" s="8" t="inlineStr">
        <is>
          <t>CHILE</t>
        </is>
      </c>
      <c r="C10" s="8" t="inlineStr">
        <is>
          <t>BIOVECA FOLIAR</t>
        </is>
      </c>
      <c r="D10" s="8" t="inlineStr">
        <is>
          <t>250 G</t>
        </is>
      </c>
      <c r="E10" s="10" t="n">
        <v>6027000</v>
      </c>
      <c r="F10" s="8" t="inlineStr">
        <is>
          <t>CLP</t>
        </is>
      </c>
      <c r="G10" s="11" t="n">
        <v>0.7559999999999999</v>
      </c>
      <c r="H10" s="8" t="inlineStr">
        <is>
          <t>EXCELENTE</t>
        </is>
      </c>
    </row>
    <row r="11">
      <c r="A11" s="8" t="n">
        <v>10</v>
      </c>
      <c r="B11" s="8" t="inlineStr">
        <is>
          <t>CHILE</t>
        </is>
      </c>
      <c r="C11" s="8" t="inlineStr">
        <is>
          <t>HUMIC ROOT</t>
        </is>
      </c>
      <c r="D11" s="8" t="inlineStr">
        <is>
          <t>200 L</t>
        </is>
      </c>
      <c r="E11" s="10" t="n">
        <v>5050000</v>
      </c>
      <c r="F11" s="8" t="inlineStr">
        <is>
          <t>CLP</t>
        </is>
      </c>
      <c r="G11" s="11" t="n">
        <v>0.4914</v>
      </c>
      <c r="H11" s="8" t="inlineStr">
        <is>
          <t>EXCELENTE</t>
        </is>
      </c>
    </row>
    <row r="12">
      <c r="A12" s="8" t="n">
        <v>11</v>
      </c>
      <c r="B12" s="8" t="inlineStr">
        <is>
          <t>CHILE</t>
        </is>
      </c>
      <c r="C12" s="8" t="inlineStr">
        <is>
          <t>SOLUFOS</t>
        </is>
      </c>
      <c r="D12" s="8" t="inlineStr">
        <is>
          <t>500 G</t>
        </is>
      </c>
      <c r="E12" s="10" t="n">
        <v>5000000</v>
      </c>
      <c r="F12" s="8" t="inlineStr">
        <is>
          <t>CLP</t>
        </is>
      </c>
      <c r="G12" s="11" t="n"/>
      <c r="H12" s="8" t="inlineStr">
        <is>
          <t>SIN COSTO / N/A</t>
        </is>
      </c>
    </row>
    <row r="13">
      <c r="A13" s="8" t="n">
        <v>12</v>
      </c>
      <c r="B13" s="8" t="inlineStr">
        <is>
          <t>CHILE</t>
        </is>
      </c>
      <c r="C13" s="8" t="inlineStr">
        <is>
          <t>MAX FULVIC 45%</t>
        </is>
      </c>
      <c r="D13" s="8" t="inlineStr">
        <is>
          <t>20 L</t>
        </is>
      </c>
      <c r="E13" s="10" t="n">
        <v>4532457</v>
      </c>
      <c r="F13" s="8" t="inlineStr">
        <is>
          <t>CLP</t>
        </is>
      </c>
      <c r="G13" s="11" t="n">
        <v>0.4958</v>
      </c>
      <c r="H13" s="8" t="inlineStr">
        <is>
          <t>EXCELENTE</t>
        </is>
      </c>
    </row>
    <row r="14">
      <c r="A14" s="8" t="n">
        <v>13</v>
      </c>
      <c r="B14" s="8" t="inlineStr">
        <is>
          <t>CHILE</t>
        </is>
      </c>
      <c r="C14" s="8" t="inlineStr">
        <is>
          <t>PLUS POTASIO</t>
        </is>
      </c>
      <c r="D14" s="8" t="inlineStr">
        <is>
          <t>20 L</t>
        </is>
      </c>
      <c r="E14" s="10" t="n">
        <v>4407660</v>
      </c>
      <c r="F14" s="8" t="inlineStr">
        <is>
          <t>CLP</t>
        </is>
      </c>
      <c r="G14" s="11" t="n">
        <v>0.4395</v>
      </c>
      <c r="H14" s="8" t="inlineStr">
        <is>
          <t>EXCELENTE</t>
        </is>
      </c>
    </row>
    <row r="15">
      <c r="A15" s="8" t="n">
        <v>14</v>
      </c>
      <c r="B15" s="8" t="inlineStr">
        <is>
          <t>CHILE</t>
        </is>
      </c>
      <c r="C15" s="8" t="inlineStr">
        <is>
          <t>AV15 40-20</t>
        </is>
      </c>
      <c r="D15" s="8" t="inlineStr">
        <is>
          <t>20 L</t>
        </is>
      </c>
      <c r="E15" s="10" t="n">
        <v>4228040</v>
      </c>
      <c r="F15" s="8" t="inlineStr">
        <is>
          <t>CLP</t>
        </is>
      </c>
      <c r="G15" s="11" t="n">
        <v>0.6101</v>
      </c>
      <c r="H15" s="8" t="inlineStr">
        <is>
          <t>EXCELENTE</t>
        </is>
      </c>
    </row>
    <row r="16">
      <c r="A16" s="8" t="n">
        <v>15</v>
      </c>
      <c r="B16" s="8" t="inlineStr">
        <is>
          <t>CHILE</t>
        </is>
      </c>
      <c r="C16" s="8" t="inlineStr">
        <is>
          <t>BALANCE</t>
        </is>
      </c>
      <c r="D16" s="8" t="inlineStr">
        <is>
          <t>20 L</t>
        </is>
      </c>
      <c r="E16" s="10" t="n">
        <v>3970360</v>
      </c>
      <c r="F16" s="8" t="inlineStr">
        <is>
          <t>CLP</t>
        </is>
      </c>
      <c r="G16" s="11" t="n">
        <v>0.7886</v>
      </c>
      <c r="H16" s="8" t="inlineStr">
        <is>
          <t>EXCELENTE</t>
        </is>
      </c>
    </row>
    <row r="17">
      <c r="A17" s="8" t="n">
        <v>16</v>
      </c>
      <c r="B17" s="8" t="inlineStr">
        <is>
          <t>CHILE</t>
        </is>
      </c>
      <c r="C17" s="8" t="inlineStr">
        <is>
          <t>HUMIC ROOT</t>
        </is>
      </c>
      <c r="D17" s="8" t="inlineStr">
        <is>
          <t>20 L</t>
        </is>
      </c>
      <c r="E17" s="10" t="n">
        <v>3865520</v>
      </c>
      <c r="F17" s="8" t="inlineStr">
        <is>
          <t>CLP</t>
        </is>
      </c>
      <c r="G17" s="11" t="n">
        <v>0.5177</v>
      </c>
      <c r="H17" s="8" t="inlineStr">
        <is>
          <t>EXCELENTE</t>
        </is>
      </c>
    </row>
    <row r="18">
      <c r="A18" s="8" t="n">
        <v>17</v>
      </c>
      <c r="B18" s="8" t="inlineStr">
        <is>
          <t>CHILE</t>
        </is>
      </c>
      <c r="C18" s="8" t="inlineStr">
        <is>
          <t>BODENPRO POTASIO</t>
        </is>
      </c>
      <c r="D18" s="8" t="inlineStr">
        <is>
          <t>20 L</t>
        </is>
      </c>
      <c r="E18" s="10" t="n">
        <v>3780000</v>
      </c>
      <c r="F18" s="8" t="inlineStr">
        <is>
          <t>CLP</t>
        </is>
      </c>
      <c r="G18" s="11" t="n"/>
      <c r="H18" s="8" t="inlineStr">
        <is>
          <t>SIN COSTO / N/A</t>
        </is>
      </c>
    </row>
    <row r="19">
      <c r="A19" s="8" t="n">
        <v>18</v>
      </c>
      <c r="B19" s="8" t="inlineStr">
        <is>
          <t>CHILE</t>
        </is>
      </c>
      <c r="C19" s="8" t="inlineStr">
        <is>
          <t>BIOVECA RAIZ</t>
        </is>
      </c>
      <c r="D19" s="8" t="inlineStr">
        <is>
          <t>500 G</t>
        </is>
      </c>
      <c r="E19" s="10" t="n">
        <v>3153708</v>
      </c>
      <c r="F19" s="8" t="inlineStr">
        <is>
          <t>CLP</t>
        </is>
      </c>
      <c r="G19" s="11" t="n">
        <v>0.6604000000000001</v>
      </c>
      <c r="H19" s="8" t="inlineStr">
        <is>
          <t>EXCELENTE</t>
        </is>
      </c>
    </row>
    <row r="20">
      <c r="A20" s="8" t="n">
        <v>19</v>
      </c>
      <c r="B20" s="8" t="inlineStr">
        <is>
          <t>CHILE</t>
        </is>
      </c>
      <c r="C20" s="8" t="inlineStr">
        <is>
          <t>ROOT MAX</t>
        </is>
      </c>
      <c r="D20" s="8" t="inlineStr"/>
      <c r="E20" s="10" t="n">
        <v>3059684</v>
      </c>
      <c r="F20" s="8" t="inlineStr">
        <is>
          <t>CLP</t>
        </is>
      </c>
      <c r="G20" s="11" t="n">
        <v>0.4970000000000001</v>
      </c>
      <c r="H20" s="8" t="inlineStr">
        <is>
          <t>EXCELENTE</t>
        </is>
      </c>
    </row>
    <row r="21">
      <c r="A21" s="8" t="n">
        <v>20</v>
      </c>
      <c r="B21" s="8" t="inlineStr">
        <is>
          <t>CHILE</t>
        </is>
      </c>
      <c r="C21" s="8" t="inlineStr">
        <is>
          <t>PLUS MICRO MIX</t>
        </is>
      </c>
      <c r="D21" s="8" t="inlineStr">
        <is>
          <t>20 L</t>
        </is>
      </c>
      <c r="E21" s="10" t="n">
        <v>2884470</v>
      </c>
      <c r="F21" s="8" t="inlineStr">
        <is>
          <t>CLP</t>
        </is>
      </c>
      <c r="G21" s="11" t="n">
        <v>0.3678</v>
      </c>
      <c r="H21" s="8" t="inlineStr">
        <is>
          <t>EXCELENTE</t>
        </is>
      </c>
    </row>
    <row r="23">
      <c r="A23" s="21" t="inlineStr">
        <is>
          <t>PERU</t>
        </is>
      </c>
    </row>
    <row r="24">
      <c r="A24" s="8" t="n">
        <v>1</v>
      </c>
      <c r="B24" s="8" t="inlineStr">
        <is>
          <t>PERU</t>
        </is>
      </c>
      <c r="C24" s="8" t="inlineStr">
        <is>
          <t>SILFORTE</t>
        </is>
      </c>
      <c r="D24" s="8" t="inlineStr">
        <is>
          <t>GRANEL</t>
        </is>
      </c>
      <c r="E24" s="10" t="n">
        <v>91777.75999999999</v>
      </c>
      <c r="F24" s="8" t="inlineStr">
        <is>
          <t>USD</t>
        </is>
      </c>
      <c r="G24" s="11" t="n">
        <v>0.8048999999999999</v>
      </c>
      <c r="H24" s="8" t="inlineStr">
        <is>
          <t>EXCELENTE</t>
        </is>
      </c>
    </row>
    <row r="25">
      <c r="A25" s="8" t="n">
        <v>2</v>
      </c>
      <c r="B25" s="8" t="inlineStr">
        <is>
          <t>PERU</t>
        </is>
      </c>
      <c r="C25" s="8" t="inlineStr">
        <is>
          <t>REGALIA MAX</t>
        </is>
      </c>
      <c r="D25" s="8" t="inlineStr">
        <is>
          <t>GRANEL</t>
        </is>
      </c>
      <c r="E25" s="10" t="n">
        <v>27345.32</v>
      </c>
      <c r="F25" s="8" t="inlineStr">
        <is>
          <t>USD</t>
        </is>
      </c>
      <c r="G25" s="11" t="n"/>
      <c r="H25" s="8" t="inlineStr">
        <is>
          <t>SIN COSTO / N/A</t>
        </is>
      </c>
    </row>
    <row r="26">
      <c r="A26" s="8" t="n">
        <v>3</v>
      </c>
      <c r="B26" s="8" t="inlineStr">
        <is>
          <t>PERU</t>
        </is>
      </c>
      <c r="C26" s="8" t="inlineStr">
        <is>
          <t>ROOT MAX</t>
        </is>
      </c>
      <c r="D26" s="8" t="inlineStr">
        <is>
          <t>GRANEL</t>
        </is>
      </c>
      <c r="E26" s="10" t="n">
        <v>25190.69</v>
      </c>
      <c r="F26" s="8" t="inlineStr">
        <is>
          <t>USD</t>
        </is>
      </c>
      <c r="G26" s="11" t="n">
        <v>0.8974</v>
      </c>
      <c r="H26" s="8" t="inlineStr">
        <is>
          <t>EXCELENTE</t>
        </is>
      </c>
    </row>
    <row r="27">
      <c r="A27" s="8" t="n">
        <v>4</v>
      </c>
      <c r="B27" s="8" t="inlineStr">
        <is>
          <t>PERU</t>
        </is>
      </c>
      <c r="C27" s="8" t="inlineStr">
        <is>
          <t>GENERICO / LINEA AGROVECA</t>
        </is>
      </c>
      <c r="D27" s="8" t="inlineStr">
        <is>
          <t>GRANEL</t>
        </is>
      </c>
      <c r="E27" s="10" t="n">
        <v>24653.26</v>
      </c>
      <c r="F27" s="8" t="inlineStr">
        <is>
          <t>USD</t>
        </is>
      </c>
      <c r="G27" s="11" t="n"/>
      <c r="H27" s="8" t="inlineStr">
        <is>
          <t>SIN COSTO / N/A</t>
        </is>
      </c>
    </row>
    <row r="28">
      <c r="A28" s="8" t="n">
        <v>5</v>
      </c>
      <c r="B28" s="8" t="inlineStr">
        <is>
          <t>PERU</t>
        </is>
      </c>
      <c r="C28" s="8" t="inlineStr">
        <is>
          <t>ALGAP 30</t>
        </is>
      </c>
      <c r="D28" s="8" t="inlineStr">
        <is>
          <t>GRANEL</t>
        </is>
      </c>
      <c r="E28" s="10" t="n">
        <v>12642.35</v>
      </c>
      <c r="F28" s="8" t="inlineStr">
        <is>
          <t>USD</t>
        </is>
      </c>
      <c r="G28" s="11" t="n">
        <v>0.8987999999999999</v>
      </c>
      <c r="H28" s="8" t="inlineStr">
        <is>
          <t>EXCELENTE</t>
        </is>
      </c>
    </row>
    <row r="29">
      <c r="A29" s="8" t="n">
        <v>6</v>
      </c>
      <c r="B29" s="8" t="inlineStr">
        <is>
          <t>PERU</t>
        </is>
      </c>
      <c r="C29" s="8" t="inlineStr">
        <is>
          <t>PLUS MAGNESIO</t>
        </is>
      </c>
      <c r="D29" s="8" t="inlineStr">
        <is>
          <t>GRANEL</t>
        </is>
      </c>
      <c r="E29" s="10" t="n">
        <v>10420.6</v>
      </c>
      <c r="F29" s="8" t="inlineStr">
        <is>
          <t>USD</t>
        </is>
      </c>
      <c r="G29" s="11" t="n">
        <v>0.7886</v>
      </c>
      <c r="H29" s="8" t="inlineStr">
        <is>
          <t>EXCELENTE</t>
        </is>
      </c>
    </row>
    <row r="30">
      <c r="A30" s="8" t="n">
        <v>7</v>
      </c>
      <c r="B30" s="8" t="inlineStr">
        <is>
          <t>PERU</t>
        </is>
      </c>
      <c r="C30" s="8" t="inlineStr">
        <is>
          <t>REGALIA</t>
        </is>
      </c>
      <c r="D30" s="8" t="inlineStr">
        <is>
          <t>GRANEL</t>
        </is>
      </c>
      <c r="E30" s="10" t="n">
        <v>6740.16</v>
      </c>
      <c r="F30" s="8" t="inlineStr">
        <is>
          <t>USD</t>
        </is>
      </c>
      <c r="G30" s="11" t="n"/>
      <c r="H30" s="8" t="inlineStr">
        <is>
          <t>SIN COSTO / N/A</t>
        </is>
      </c>
    </row>
    <row r="31">
      <c r="A31" s="8" t="n">
        <v>8</v>
      </c>
      <c r="B31" s="8" t="inlineStr">
        <is>
          <t>PERU</t>
        </is>
      </c>
      <c r="C31" s="8" t="inlineStr">
        <is>
          <t>RELAIA MAX</t>
        </is>
      </c>
      <c r="D31" s="8" t="inlineStr">
        <is>
          <t>GRANEL</t>
        </is>
      </c>
      <c r="E31" s="10" t="n">
        <v>6112.4</v>
      </c>
      <c r="F31" s="8" t="inlineStr">
        <is>
          <t>USD</t>
        </is>
      </c>
      <c r="G31" s="11" t="n"/>
      <c r="H31" s="8" t="inlineStr">
        <is>
          <t>SIN COSTO / N/A</t>
        </is>
      </c>
    </row>
    <row r="32">
      <c r="A32" s="8" t="n">
        <v>9</v>
      </c>
      <c r="B32" s="8" t="inlineStr">
        <is>
          <t>PERU</t>
        </is>
      </c>
      <c r="C32" s="8" t="inlineStr">
        <is>
          <t>AMIN</t>
        </is>
      </c>
      <c r="D32" s="8" t="inlineStr">
        <is>
          <t>GRANEL</t>
        </is>
      </c>
      <c r="E32" s="10" t="n">
        <v>5973.47</v>
      </c>
      <c r="F32" s="8" t="inlineStr">
        <is>
          <t>USD</t>
        </is>
      </c>
      <c r="G32" s="11" t="n">
        <v>0.9190999999999999</v>
      </c>
      <c r="H32" s="8" t="inlineStr">
        <is>
          <t>EXCELENTE</t>
        </is>
      </c>
    </row>
    <row r="33">
      <c r="A33" s="8" t="n">
        <v>10</v>
      </c>
      <c r="B33" s="8" t="inlineStr">
        <is>
          <t>PERU</t>
        </is>
      </c>
      <c r="C33" s="8" t="inlineStr">
        <is>
          <t>MOVE</t>
        </is>
      </c>
      <c r="D33" s="8" t="inlineStr">
        <is>
          <t>GRANEL</t>
        </is>
      </c>
      <c r="E33" s="10" t="n">
        <v>5477.5</v>
      </c>
      <c r="F33" s="8" t="inlineStr">
        <is>
          <t>USD</t>
        </is>
      </c>
      <c r="G33" s="11" t="n">
        <v>0.6990000000000001</v>
      </c>
      <c r="H33" s="8" t="inlineStr">
        <is>
          <t>EXCELENTE</t>
        </is>
      </c>
    </row>
    <row r="34">
      <c r="A34" s="8" t="n">
        <v>11</v>
      </c>
      <c r="B34" s="8" t="inlineStr">
        <is>
          <t>PERU</t>
        </is>
      </c>
      <c r="C34" s="8" t="inlineStr">
        <is>
          <t>CYTO PRIME</t>
        </is>
      </c>
      <c r="D34" s="8" t="inlineStr">
        <is>
          <t>GRANEL</t>
        </is>
      </c>
      <c r="E34" s="10" t="n">
        <v>5434</v>
      </c>
      <c r="F34" s="8" t="inlineStr">
        <is>
          <t>USD</t>
        </is>
      </c>
      <c r="G34" s="11" t="n">
        <v>0.8772</v>
      </c>
      <c r="H34" s="8" t="inlineStr">
        <is>
          <t>EXCELENTE</t>
        </is>
      </c>
    </row>
    <row r="35">
      <c r="A35" s="8" t="n">
        <v>12</v>
      </c>
      <c r="B35" s="8" t="inlineStr">
        <is>
          <t>PERU</t>
        </is>
      </c>
      <c r="C35" s="8" t="inlineStr">
        <is>
          <t>PLUS MICRO MIX</t>
        </is>
      </c>
      <c r="D35" s="8" t="inlineStr">
        <is>
          <t>GRANEL</t>
        </is>
      </c>
      <c r="E35" s="10" t="n">
        <v>3149</v>
      </c>
      <c r="F35" s="8" t="inlineStr">
        <is>
          <t>USD</t>
        </is>
      </c>
      <c r="G35" s="11" t="n">
        <v>0.6505</v>
      </c>
      <c r="H35" s="8" t="inlineStr">
        <is>
          <t>EXCELENTE</t>
        </is>
      </c>
    </row>
    <row r="36">
      <c r="A36" s="8" t="n">
        <v>13</v>
      </c>
      <c r="B36" s="8" t="inlineStr">
        <is>
          <t>PERU</t>
        </is>
      </c>
      <c r="C36" s="8" t="inlineStr">
        <is>
          <t>HUMIC ROOT</t>
        </is>
      </c>
      <c r="D36" s="8" t="inlineStr">
        <is>
          <t>GRANEL</t>
        </is>
      </c>
      <c r="E36" s="10" t="n">
        <v>3123.24</v>
      </c>
      <c r="F36" s="8" t="inlineStr">
        <is>
          <t>USD</t>
        </is>
      </c>
      <c r="G36" s="11" t="n">
        <v>0.8168000000000001</v>
      </c>
      <c r="H36" s="8" t="inlineStr">
        <is>
          <t>EXCELENTE</t>
        </is>
      </c>
    </row>
    <row r="37">
      <c r="A37" s="8" t="n">
        <v>14</v>
      </c>
      <c r="B37" s="8" t="inlineStr">
        <is>
          <t>PERU</t>
        </is>
      </c>
      <c r="C37" s="8" t="inlineStr">
        <is>
          <t>MAX FULVIC 45%</t>
        </is>
      </c>
      <c r="D37" s="8" t="inlineStr">
        <is>
          <t>GRANEL</t>
        </is>
      </c>
      <c r="E37" s="10" t="n">
        <v>1556.6</v>
      </c>
      <c r="F37" s="8" t="inlineStr">
        <is>
          <t>USD</t>
        </is>
      </c>
      <c r="G37" s="11" t="n">
        <v>0.5397</v>
      </c>
      <c r="H37" s="8" t="inlineStr">
        <is>
          <t>EXCELENTE</t>
        </is>
      </c>
    </row>
    <row r="38">
      <c r="A38" s="8" t="n">
        <v>15</v>
      </c>
      <c r="B38" s="8" t="inlineStr">
        <is>
          <t>PERU</t>
        </is>
      </c>
      <c r="C38" s="8" t="inlineStr">
        <is>
          <t>PLUS CALCIO</t>
        </is>
      </c>
      <c r="D38" s="8" t="inlineStr">
        <is>
          <t>GRANEL</t>
        </is>
      </c>
      <c r="E38" s="10" t="n">
        <v>1126.4</v>
      </c>
      <c r="F38" s="8" t="inlineStr">
        <is>
          <t>USD</t>
        </is>
      </c>
      <c r="G38" s="11" t="n">
        <v>0.747</v>
      </c>
      <c r="H38" s="8" t="inlineStr">
        <is>
          <t>EXCELENTE</t>
        </is>
      </c>
    </row>
    <row r="39">
      <c r="A39" s="8" t="n">
        <v>16</v>
      </c>
      <c r="B39" s="8" t="inlineStr">
        <is>
          <t>PERU</t>
        </is>
      </c>
      <c r="C39" s="8" t="inlineStr">
        <is>
          <t>PLUS BORO</t>
        </is>
      </c>
      <c r="D39" s="8" t="inlineStr">
        <is>
          <t>GRANEL</t>
        </is>
      </c>
      <c r="E39" s="10" t="n">
        <v>550</v>
      </c>
      <c r="F39" s="8" t="inlineStr">
        <is>
          <t>USD</t>
        </is>
      </c>
      <c r="G39" s="11" t="n">
        <v>0.7829999999999999</v>
      </c>
      <c r="H39" s="8" t="inlineStr">
        <is>
          <t>EXCELENTE</t>
        </is>
      </c>
    </row>
    <row r="40">
      <c r="A40" s="8" t="n">
        <v>17</v>
      </c>
      <c r="B40" s="8" t="inlineStr">
        <is>
          <t>PERU</t>
        </is>
      </c>
      <c r="C40" s="8" t="inlineStr">
        <is>
          <t>AMIN SUGAR</t>
        </is>
      </c>
      <c r="D40" s="8" t="inlineStr">
        <is>
          <t>GRANEL</t>
        </is>
      </c>
      <c r="E40" s="10" t="n">
        <v>320</v>
      </c>
      <c r="F40" s="8" t="inlineStr">
        <is>
          <t>USD</t>
        </is>
      </c>
      <c r="G40" s="11" t="n">
        <v>0.9081</v>
      </c>
      <c r="H40" s="8" t="inlineStr">
        <is>
          <t>EXCELENTE</t>
        </is>
      </c>
    </row>
    <row r="41">
      <c r="A41" s="8" t="n">
        <v>18</v>
      </c>
      <c r="B41" s="8" t="inlineStr">
        <is>
          <t>PERU</t>
        </is>
      </c>
      <c r="C41" s="8" t="inlineStr">
        <is>
          <t>PLUS ZINC MANGANESO</t>
        </is>
      </c>
      <c r="D41" s="8" t="inlineStr">
        <is>
          <t>GRANEL</t>
        </is>
      </c>
      <c r="E41" s="10" t="n">
        <v>240</v>
      </c>
      <c r="F41" s="8" t="inlineStr">
        <is>
          <t>USD</t>
        </is>
      </c>
      <c r="G41" s="11" t="n">
        <v>0.7269</v>
      </c>
      <c r="H41" s="8" t="inlineStr">
        <is>
          <t>EXCELENTE</t>
        </is>
      </c>
    </row>
    <row r="42">
      <c r="A42" s="8" t="n">
        <v>19</v>
      </c>
      <c r="B42" s="8" t="inlineStr">
        <is>
          <t>PERU</t>
        </is>
      </c>
      <c r="C42" s="8" t="inlineStr">
        <is>
          <t>PLUS POTASIO</t>
        </is>
      </c>
      <c r="D42" s="8" t="inlineStr">
        <is>
          <t>GRANEL</t>
        </is>
      </c>
      <c r="E42" s="10" t="n">
        <v>104.4</v>
      </c>
      <c r="F42" s="8" t="inlineStr">
        <is>
          <t>USD</t>
        </is>
      </c>
      <c r="G42" s="11" t="n">
        <v>0.6146</v>
      </c>
      <c r="H42" s="8" t="inlineStr">
        <is>
          <t>EXCELENTE</t>
        </is>
      </c>
    </row>
    <row r="43">
      <c r="A43" s="8" t="n">
        <v>20</v>
      </c>
      <c r="B43" s="8" t="inlineStr">
        <is>
          <t>PERU</t>
        </is>
      </c>
      <c r="C43" s="8" t="inlineStr">
        <is>
          <t>PLUS CALCIO BORO</t>
        </is>
      </c>
      <c r="D43" s="8" t="inlineStr">
        <is>
          <t>GRANEL</t>
        </is>
      </c>
      <c r="E43" s="10" t="n">
        <v>104.4</v>
      </c>
      <c r="F43" s="8" t="inlineStr">
        <is>
          <t>USD</t>
        </is>
      </c>
      <c r="G43" s="11" t="n">
        <v>0.7264</v>
      </c>
      <c r="H43" s="8" t="inlineStr">
        <is>
          <t>EXCELENTE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4" customWidth="1" min="4" max="4"/>
    <col width="14" customWidth="1" min="5" max="5"/>
    <col width="13" customWidth="1" min="6" max="6"/>
    <col width="12" customWidth="1" min="7" max="7"/>
    <col width="16" customWidth="1" min="8" max="8"/>
    <col width="8" customWidth="1" min="9" max="9"/>
    <col width="12" customWidth="1" min="10" max="10"/>
    <col width="55" customWidth="1" min="11" max="11"/>
  </cols>
  <sheetData>
    <row r="1">
      <c r="A1" s="7" t="inlineStr">
        <is>
          <t>Pais</t>
        </is>
      </c>
      <c r="B1" s="7" t="inlineStr">
        <is>
          <t>Producto</t>
        </is>
      </c>
      <c r="C1" s="7" t="inlineStr">
        <is>
          <t>Formato</t>
        </is>
      </c>
      <c r="D1" s="7" t="inlineStr">
        <is>
          <t>Precio prom actual</t>
        </is>
      </c>
      <c r="E1" s="7" t="inlineStr">
        <is>
          <t>Precio piso oficial</t>
        </is>
      </c>
      <c r="F1" s="7" t="inlineStr">
        <is>
          <t>Gap por unidad</t>
        </is>
      </c>
      <c r="G1" s="7" t="inlineStr">
        <is>
          <t>Unidades YTD</t>
        </is>
      </c>
      <c r="H1" s="7" t="inlineStr">
        <is>
          <t>Impacto YTD estimado</t>
        </is>
      </c>
      <c r="I1" s="7" t="inlineStr">
        <is>
          <t>Moneda</t>
        </is>
      </c>
      <c r="J1" s="7" t="inlineStr">
        <is>
          <t>Margen actual %</t>
        </is>
      </c>
      <c r="K1" s="7" t="inlineStr">
        <is>
          <t>Recomendacion</t>
        </is>
      </c>
    </row>
    <row r="2">
      <c r="A2" s="8" t="inlineStr">
        <is>
          <t>CHILE</t>
        </is>
      </c>
      <c r="B2" s="8" t="inlineStr">
        <is>
          <t>BIOVECA PRADERAS</t>
        </is>
      </c>
      <c r="C2" s="8" t="inlineStr">
        <is>
          <t>250 G</t>
        </is>
      </c>
      <c r="D2" s="9" t="n">
        <v>19337.4062</v>
      </c>
      <c r="E2" s="9" t="n">
        <v>31000</v>
      </c>
      <c r="F2" s="9" t="n">
        <v>11662.5938</v>
      </c>
      <c r="G2" s="9" t="n">
        <v>714</v>
      </c>
      <c r="H2" s="9" t="n">
        <v>8327091.973199999</v>
      </c>
      <c r="I2" s="8" t="inlineStr">
        <is>
          <t>CLP</t>
        </is>
      </c>
      <c r="J2" s="11" t="n">
        <v>0.457</v>
      </c>
      <c r="K2" s="8" t="inlineStr">
        <is>
          <t>Subir precio a 31,000.00 CLP (gap +11,662.59/ud).</t>
        </is>
      </c>
    </row>
    <row r="3">
      <c r="A3" s="8" t="inlineStr">
        <is>
          <t>CHILE</t>
        </is>
      </c>
      <c r="B3" s="8" t="inlineStr">
        <is>
          <t>BIOVECA INVERNAL</t>
        </is>
      </c>
      <c r="C3" s="8" t="inlineStr">
        <is>
          <t>250 G</t>
        </is>
      </c>
      <c r="D3" s="9" t="n">
        <v>27145.2874</v>
      </c>
      <c r="E3" s="9" t="n">
        <v>34800</v>
      </c>
      <c r="F3" s="9" t="n">
        <v>7654.712599999999</v>
      </c>
      <c r="G3" s="9" t="n">
        <v>348</v>
      </c>
      <c r="H3" s="9" t="n">
        <v>2663839.9848</v>
      </c>
      <c r="I3" s="8" t="inlineStr">
        <is>
          <t>CLP</t>
        </is>
      </c>
      <c r="J3" s="11" t="n">
        <v>0.6869</v>
      </c>
      <c r="K3" s="8" t="inlineStr">
        <is>
          <t>Subir precio a 34,800.00 CLP (gap +7,654.71/ud).</t>
        </is>
      </c>
    </row>
    <row r="4">
      <c r="A4" s="8" t="inlineStr">
        <is>
          <t>CHILE</t>
        </is>
      </c>
      <c r="B4" s="8" t="inlineStr">
        <is>
          <t>HUMIC ROOT</t>
        </is>
      </c>
      <c r="C4" s="8" t="inlineStr">
        <is>
          <t>200 L</t>
        </is>
      </c>
      <c r="D4" s="9" t="n">
        <v>2404.7619</v>
      </c>
      <c r="E4" s="9" t="n">
        <v>3200</v>
      </c>
      <c r="F4" s="9" t="n">
        <v>795.2381</v>
      </c>
      <c r="G4" s="9" t="n">
        <v>2100</v>
      </c>
      <c r="H4" s="9" t="n">
        <v>1670000.01</v>
      </c>
      <c r="I4" s="8" t="inlineStr">
        <is>
          <t>CLP</t>
        </is>
      </c>
      <c r="J4" s="11" t="n">
        <v>0.4914</v>
      </c>
      <c r="K4" s="8" t="inlineStr">
        <is>
          <t>Subir precio a 3,200.00 CLP (gap +795.24/ud).</t>
        </is>
      </c>
    </row>
    <row r="5">
      <c r="A5" s="8" t="inlineStr">
        <is>
          <t>CHILE</t>
        </is>
      </c>
      <c r="B5" s="8" t="inlineStr">
        <is>
          <t>MAX FULVIC 45%</t>
        </is>
      </c>
      <c r="C5" s="8" t="inlineStr">
        <is>
          <t>20 L</t>
        </is>
      </c>
      <c r="D5" s="9" t="n">
        <v>2981.8796</v>
      </c>
      <c r="E5" s="9" t="n">
        <v>4000</v>
      </c>
      <c r="F5" s="9" t="n">
        <v>1018.1204</v>
      </c>
      <c r="G5" s="9" t="n">
        <v>1520</v>
      </c>
      <c r="H5" s="9" t="n">
        <v>1547543.008</v>
      </c>
      <c r="I5" s="8" t="inlineStr">
        <is>
          <t>CLP</t>
        </is>
      </c>
      <c r="J5" s="11" t="n">
        <v>0.4958</v>
      </c>
      <c r="K5" s="8" t="inlineStr">
        <is>
          <t>Subir precio a 4,000.00 CLP (gap +1,018.12/ud).</t>
        </is>
      </c>
    </row>
    <row r="6">
      <c r="A6" s="8" t="inlineStr">
        <is>
          <t>CHILE</t>
        </is>
      </c>
      <c r="B6" s="8" t="inlineStr">
        <is>
          <t>HUMIC ROOT</t>
        </is>
      </c>
      <c r="C6" s="8" t="inlineStr">
        <is>
          <t>1000 L</t>
        </is>
      </c>
      <c r="D6" s="9" t="n">
        <v>2333.3333</v>
      </c>
      <c r="E6" s="9" t="n">
        <v>2800</v>
      </c>
      <c r="F6" s="9" t="n">
        <v>466.6667000000002</v>
      </c>
      <c r="G6" s="9" t="n">
        <v>3000</v>
      </c>
      <c r="H6" s="9" t="n">
        <v>1400000.100000001</v>
      </c>
      <c r="I6" s="8" t="inlineStr">
        <is>
          <t>CLP</t>
        </is>
      </c>
      <c r="J6" s="11" t="n">
        <v>0.5029</v>
      </c>
      <c r="K6" s="8" t="inlineStr">
        <is>
          <t>Subir precio a 2,800.00 CLP (gap +466.67/ud).</t>
        </is>
      </c>
    </row>
    <row r="7">
      <c r="A7" s="8" t="inlineStr">
        <is>
          <t>CHILE</t>
        </is>
      </c>
      <c r="B7" s="8" t="inlineStr">
        <is>
          <t>HUMIC ROOT</t>
        </is>
      </c>
      <c r="C7" s="8" t="inlineStr">
        <is>
          <t>20 L</t>
        </is>
      </c>
      <c r="D7" s="9" t="n">
        <v>3117.3548</v>
      </c>
      <c r="E7" s="9" t="n">
        <v>4000</v>
      </c>
      <c r="F7" s="9" t="n">
        <v>882.6451999999999</v>
      </c>
      <c r="G7" s="9" t="n">
        <v>1240</v>
      </c>
      <c r="H7" s="9" t="n">
        <v>1094480.048</v>
      </c>
      <c r="I7" s="8" t="inlineStr">
        <is>
          <t>CLP</t>
        </is>
      </c>
      <c r="J7" s="11" t="n">
        <v>0.5177</v>
      </c>
      <c r="K7" s="8" t="inlineStr">
        <is>
          <t>Subir precio a 4,000.00 CLP (gap +882.65/ud).</t>
        </is>
      </c>
    </row>
    <row r="8">
      <c r="A8" s="8" t="inlineStr">
        <is>
          <t>CHILE</t>
        </is>
      </c>
      <c r="B8" s="8" t="inlineStr">
        <is>
          <t>PLUS MICRO MIX</t>
        </is>
      </c>
      <c r="C8" s="8" t="inlineStr">
        <is>
          <t>20 L</t>
        </is>
      </c>
      <c r="D8" s="9" t="n">
        <v>4006.2083</v>
      </c>
      <c r="E8" s="9" t="n">
        <v>5500</v>
      </c>
      <c r="F8" s="9" t="n">
        <v>1493.7917</v>
      </c>
      <c r="G8" s="9" t="n">
        <v>720</v>
      </c>
      <c r="H8" s="9" t="n">
        <v>1075530.024</v>
      </c>
      <c r="I8" s="8" t="inlineStr">
        <is>
          <t>CLP</t>
        </is>
      </c>
      <c r="J8" s="11" t="n">
        <v>0.3678</v>
      </c>
      <c r="K8" s="8" t="inlineStr">
        <is>
          <t>Subir precio a 5,500.00 CLP (gap +1,493.79/ud).</t>
        </is>
      </c>
    </row>
    <row r="9">
      <c r="A9" s="8" t="inlineStr">
        <is>
          <t>CHILE</t>
        </is>
      </c>
      <c r="B9" s="8" t="inlineStr">
        <is>
          <t>AMIN SUGAR</t>
        </is>
      </c>
      <c r="C9" s="8" t="inlineStr">
        <is>
          <t>20 L</t>
        </is>
      </c>
      <c r="D9" s="9" t="n">
        <v>4536.9994</v>
      </c>
      <c r="E9" s="9" t="n">
        <v>5000</v>
      </c>
      <c r="F9" s="9" t="n">
        <v>463.0006000000003</v>
      </c>
      <c r="G9" s="9" t="n">
        <v>1800</v>
      </c>
      <c r="H9" s="9" t="n">
        <v>833401.0800000005</v>
      </c>
      <c r="I9" s="8" t="inlineStr">
        <is>
          <t>CLP</t>
        </is>
      </c>
      <c r="J9" s="11" t="n">
        <v>0.6129</v>
      </c>
      <c r="K9" s="8" t="inlineStr">
        <is>
          <t>Subir precio a 5,000.00 CLP (gap +463.00/ud).</t>
        </is>
      </c>
    </row>
    <row r="10">
      <c r="A10" s="8" t="inlineStr">
        <is>
          <t>CHILE</t>
        </is>
      </c>
      <c r="B10" s="8" t="inlineStr">
        <is>
          <t>AV15 40-20</t>
        </is>
      </c>
      <c r="C10" s="8" t="inlineStr">
        <is>
          <t>20 L</t>
        </is>
      </c>
      <c r="D10" s="9" t="n">
        <v>4804.5909</v>
      </c>
      <c r="E10" s="9" t="n">
        <v>5500</v>
      </c>
      <c r="F10" s="9" t="n">
        <v>695.4090999999999</v>
      </c>
      <c r="G10" s="9" t="n">
        <v>880</v>
      </c>
      <c r="H10" s="9" t="n">
        <v>611960.0079999999</v>
      </c>
      <c r="I10" s="8" t="inlineStr">
        <is>
          <t>CLP</t>
        </is>
      </c>
      <c r="J10" s="11" t="n">
        <v>0.6101</v>
      </c>
      <c r="K10" s="8" t="inlineStr">
        <is>
          <t>Subir precio a 5,500.00 CLP (gap +695.41/ud).</t>
        </is>
      </c>
    </row>
    <row r="11">
      <c r="A11" s="8" t="inlineStr">
        <is>
          <t>CHILE</t>
        </is>
      </c>
      <c r="B11" s="8" t="inlineStr">
        <is>
          <t>PLUS POTASIO</t>
        </is>
      </c>
      <c r="C11" s="8" t="inlineStr">
        <is>
          <t>20 L</t>
        </is>
      </c>
      <c r="D11" s="9" t="n">
        <v>3339.1364</v>
      </c>
      <c r="E11" s="9" t="n">
        <v>3800</v>
      </c>
      <c r="F11" s="9" t="n">
        <v>460.8636000000001</v>
      </c>
      <c r="G11" s="9" t="n">
        <v>1320</v>
      </c>
      <c r="H11" s="9" t="n">
        <v>608339.9520000002</v>
      </c>
      <c r="I11" s="8" t="inlineStr">
        <is>
          <t>CLP</t>
        </is>
      </c>
      <c r="J11" s="11" t="n">
        <v>0.4395</v>
      </c>
      <c r="K11" s="8" t="inlineStr">
        <is>
          <t>Subir precio a 3,800.00 CLP (gap +460.86/ud).</t>
        </is>
      </c>
    </row>
    <row r="12">
      <c r="A12" s="8" t="inlineStr">
        <is>
          <t>CHILE</t>
        </is>
      </c>
      <c r="B12" s="8" t="inlineStr">
        <is>
          <t>BIOVECA RAIZ</t>
        </is>
      </c>
      <c r="C12" s="8" t="inlineStr">
        <is>
          <t>500 G</t>
        </is>
      </c>
      <c r="D12" s="9" t="n">
        <v>30918.7059</v>
      </c>
      <c r="E12" s="9" t="n">
        <v>36500</v>
      </c>
      <c r="F12" s="9" t="n">
        <v>5581.294099999999</v>
      </c>
      <c r="G12" s="9" t="n">
        <v>102</v>
      </c>
      <c r="H12" s="9" t="n">
        <v>569291.9981999999</v>
      </c>
      <c r="I12" s="8" t="inlineStr">
        <is>
          <t>CLP</t>
        </is>
      </c>
      <c r="J12" s="11" t="n">
        <v>0.6604000000000001</v>
      </c>
      <c r="K12" s="8" t="inlineStr">
        <is>
          <t>Subir precio a 36,500.00 CLP (gap +5,581.29/ud).</t>
        </is>
      </c>
    </row>
    <row r="13">
      <c r="A13" s="8" t="inlineStr">
        <is>
          <t>CHILE</t>
        </is>
      </c>
      <c r="B13" s="8" t="inlineStr">
        <is>
          <t>AMIN</t>
        </is>
      </c>
      <c r="C13" s="8" t="inlineStr"/>
      <c r="D13" s="9" t="n">
        <v>5291.129</v>
      </c>
      <c r="E13" s="9" t="n">
        <v>7800</v>
      </c>
      <c r="F13" s="9" t="n">
        <v>2508.871</v>
      </c>
      <c r="G13" s="9" t="n">
        <v>186</v>
      </c>
      <c r="H13" s="9" t="n">
        <v>466650.006</v>
      </c>
      <c r="I13" s="8" t="inlineStr">
        <is>
          <t>CLP</t>
        </is>
      </c>
      <c r="J13" s="11" t="n">
        <v>0.3066</v>
      </c>
      <c r="K13" s="8" t="inlineStr">
        <is>
          <t>Subir precio a 7,800.00 CLP (gap +2,508.87/ud).</t>
        </is>
      </c>
    </row>
    <row r="14">
      <c r="A14" s="8" t="inlineStr">
        <is>
          <t>CHILE</t>
        </is>
      </c>
      <c r="B14" s="8" t="inlineStr">
        <is>
          <t>PLUS POTASIO</t>
        </is>
      </c>
      <c r="C14" s="8" t="inlineStr"/>
      <c r="D14" s="9" t="n">
        <v>4690.6944</v>
      </c>
      <c r="E14" s="9" t="n">
        <v>6800</v>
      </c>
      <c r="F14" s="9" t="n">
        <v>2109.3056</v>
      </c>
      <c r="G14" s="9" t="n">
        <v>216</v>
      </c>
      <c r="H14" s="9" t="n">
        <v>455610.0095999999</v>
      </c>
      <c r="I14" s="8" t="inlineStr">
        <is>
          <t>CLP</t>
        </is>
      </c>
      <c r="J14" s="11" t="n">
        <v>0.2101</v>
      </c>
      <c r="K14" s="8" t="inlineStr">
        <is>
          <t>Subir precio a 6,800.00 CLP (gap +2,109.31/ud).</t>
        </is>
      </c>
    </row>
    <row r="15">
      <c r="A15" s="8" t="inlineStr">
        <is>
          <t>CHILE</t>
        </is>
      </c>
      <c r="B15" s="8" t="inlineStr">
        <is>
          <t>PLUS ZINC MANGANESO</t>
        </is>
      </c>
      <c r="C15" s="8" t="inlineStr">
        <is>
          <t>20 L</t>
        </is>
      </c>
      <c r="D15" s="9" t="n">
        <v>3270.8382</v>
      </c>
      <c r="E15" s="9" t="n">
        <v>4500</v>
      </c>
      <c r="F15" s="9" t="n">
        <v>1229.1618</v>
      </c>
      <c r="G15" s="9" t="n">
        <v>340</v>
      </c>
      <c r="H15" s="9" t="n">
        <v>417915.0119999999</v>
      </c>
      <c r="I15" s="8" t="inlineStr">
        <is>
          <t>CLP</t>
        </is>
      </c>
      <c r="J15" s="11" t="n">
        <v>0.4379</v>
      </c>
      <c r="K15" s="8" t="inlineStr">
        <is>
          <t>Subir precio a 4,500.00 CLP (gap +1,229.16/ud).</t>
        </is>
      </c>
    </row>
    <row r="16">
      <c r="A16" s="8" t="inlineStr">
        <is>
          <t>CHILE</t>
        </is>
      </c>
      <c r="B16" s="8" t="inlineStr">
        <is>
          <t>ROOT MAX</t>
        </is>
      </c>
      <c r="C16" s="8" t="inlineStr"/>
      <c r="D16" s="9" t="n">
        <v>8894.430200000001</v>
      </c>
      <c r="E16" s="9" t="n">
        <v>10000</v>
      </c>
      <c r="F16" s="9" t="n">
        <v>1105.569799999999</v>
      </c>
      <c r="G16" s="9" t="n">
        <v>344</v>
      </c>
      <c r="H16" s="9" t="n">
        <v>380316.0111999998</v>
      </c>
      <c r="I16" s="8" t="inlineStr">
        <is>
          <t>CLP</t>
        </is>
      </c>
      <c r="J16" s="11" t="n">
        <v>0.4970000000000001</v>
      </c>
      <c r="K16" s="8" t="inlineStr">
        <is>
          <t>Subir precio a 10,000.00 CLP (gap +1,105.57/ud).</t>
        </is>
      </c>
    </row>
    <row r="17">
      <c r="A17" s="8" t="inlineStr">
        <is>
          <t>CHILE</t>
        </is>
      </c>
      <c r="B17" s="8" t="inlineStr">
        <is>
          <t>MOVE</t>
        </is>
      </c>
      <c r="C17" s="8" t="inlineStr"/>
      <c r="D17" s="9" t="n">
        <v>7532.9323</v>
      </c>
      <c r="E17" s="9" t="n">
        <v>8800</v>
      </c>
      <c r="F17" s="9" t="n">
        <v>1267.0677</v>
      </c>
      <c r="G17" s="9" t="n">
        <v>266</v>
      </c>
      <c r="H17" s="9" t="n">
        <v>337040.0081999999</v>
      </c>
      <c r="I17" s="8" t="inlineStr">
        <is>
          <t>CLP</t>
        </is>
      </c>
      <c r="J17" s="11" t="n">
        <v>0.3852</v>
      </c>
      <c r="K17" s="8" t="inlineStr">
        <is>
          <t>Subir precio a 8,800.00 CLP (gap +1,267.07/ud).</t>
        </is>
      </c>
    </row>
    <row r="18">
      <c r="A18" s="8" t="inlineStr">
        <is>
          <t>CHILE</t>
        </is>
      </c>
      <c r="B18" s="8" t="inlineStr">
        <is>
          <t>SILFORTE</t>
        </is>
      </c>
      <c r="C18" s="8" t="inlineStr">
        <is>
          <t>200 L</t>
        </is>
      </c>
      <c r="D18" s="9" t="n">
        <v>7575</v>
      </c>
      <c r="E18" s="9" t="n">
        <v>8800</v>
      </c>
      <c r="F18" s="9" t="n">
        <v>1225</v>
      </c>
      <c r="G18" s="9" t="n">
        <v>200</v>
      </c>
      <c r="H18" s="9" t="n">
        <v>245000</v>
      </c>
      <c r="I18" s="8" t="inlineStr">
        <is>
          <t>CLP</t>
        </is>
      </c>
      <c r="J18" s="11" t="n">
        <v>0.7309</v>
      </c>
      <c r="K18" s="8" t="inlineStr">
        <is>
          <t>Subir precio a 8,800.00 CLP (gap +1,225.00/ud).</t>
        </is>
      </c>
    </row>
    <row r="19">
      <c r="A19" s="8" t="inlineStr">
        <is>
          <t>CHILE</t>
        </is>
      </c>
      <c r="B19" s="8" t="inlineStr">
        <is>
          <t>PLUS POTASIO</t>
        </is>
      </c>
      <c r="C19" s="8" t="inlineStr">
        <is>
          <t>5 L</t>
        </is>
      </c>
      <c r="D19" s="9" t="n">
        <v>4268.2392</v>
      </c>
      <c r="E19" s="9" t="n">
        <v>5000</v>
      </c>
      <c r="F19" s="9" t="n">
        <v>731.7608</v>
      </c>
      <c r="G19" s="9" t="n">
        <v>255</v>
      </c>
      <c r="H19" s="9" t="n">
        <v>186599.004</v>
      </c>
      <c r="I19" s="8" t="inlineStr">
        <is>
          <t>CLP</t>
        </is>
      </c>
      <c r="J19" s="11" t="n">
        <v>0.3935</v>
      </c>
      <c r="K19" s="8" t="inlineStr">
        <is>
          <t>Subir precio a 5,000.00 CLP (gap +731.76/ud).</t>
        </is>
      </c>
    </row>
    <row r="20">
      <c r="A20" s="8" t="inlineStr">
        <is>
          <t>CHILE</t>
        </is>
      </c>
      <c r="B20" s="8" t="inlineStr">
        <is>
          <t>PLUS POTASIO</t>
        </is>
      </c>
      <c r="C20" s="8" t="inlineStr">
        <is>
          <t>1 L</t>
        </is>
      </c>
      <c r="D20" s="9" t="n">
        <v>5788.5652</v>
      </c>
      <c r="E20" s="9" t="n">
        <v>6800</v>
      </c>
      <c r="F20" s="9" t="n">
        <v>1011.4348</v>
      </c>
      <c r="G20" s="9" t="n">
        <v>184</v>
      </c>
      <c r="H20" s="9" t="n">
        <v>186104.0032</v>
      </c>
      <c r="I20" s="8" t="inlineStr">
        <is>
          <t>CLP</t>
        </is>
      </c>
      <c r="J20" s="11" t="n">
        <v>0.3599</v>
      </c>
      <c r="K20" s="8" t="inlineStr">
        <is>
          <t>Subir precio a 6,800.00 CLP (gap +1,011.43/ud).</t>
        </is>
      </c>
    </row>
    <row r="21">
      <c r="A21" s="8" t="inlineStr">
        <is>
          <t>CHILE</t>
        </is>
      </c>
      <c r="B21" s="8" t="inlineStr">
        <is>
          <t>PLUS NUTRI MIX</t>
        </is>
      </c>
      <c r="C21" s="8" t="inlineStr">
        <is>
          <t>20 L</t>
        </is>
      </c>
      <c r="D21" s="9" t="n">
        <v>5000</v>
      </c>
      <c r="E21" s="9" t="n">
        <v>6800</v>
      </c>
      <c r="F21" s="9" t="n">
        <v>1800</v>
      </c>
      <c r="G21" s="9" t="n">
        <v>100</v>
      </c>
      <c r="H21" s="9" t="n">
        <v>180000</v>
      </c>
      <c r="I21" s="8" t="inlineStr">
        <is>
          <t>CLP</t>
        </is>
      </c>
      <c r="J21" s="11" t="n">
        <v>0.5571</v>
      </c>
      <c r="K21" s="8" t="inlineStr">
        <is>
          <t>Subir precio a 6,800.00 CLP (gap +1,800.00/ud).</t>
        </is>
      </c>
    </row>
    <row r="22">
      <c r="A22" s="8" t="inlineStr">
        <is>
          <t>CHILE</t>
        </is>
      </c>
      <c r="B22" s="8" t="inlineStr">
        <is>
          <t>PLUS NUTRI MIX</t>
        </is>
      </c>
      <c r="C22" s="8" t="inlineStr">
        <is>
          <t>1 L</t>
        </is>
      </c>
      <c r="D22" s="9" t="n">
        <v>5813.8235</v>
      </c>
      <c r="E22" s="9" t="n">
        <v>8000</v>
      </c>
      <c r="F22" s="9" t="n">
        <v>2186.1765</v>
      </c>
      <c r="G22" s="9" t="n">
        <v>68</v>
      </c>
      <c r="H22" s="9" t="n">
        <v>148660.002</v>
      </c>
      <c r="I22" s="8" t="inlineStr">
        <is>
          <t>CLP</t>
        </is>
      </c>
      <c r="J22" s="11" t="n">
        <v>0.3039</v>
      </c>
      <c r="K22" s="8" t="inlineStr">
        <is>
          <t>Subir precio a 8,000.00 CLP (gap +2,186.18/ud).</t>
        </is>
      </c>
    </row>
    <row r="23">
      <c r="A23" s="8" t="inlineStr">
        <is>
          <t>CHILE</t>
        </is>
      </c>
      <c r="B23" s="8" t="inlineStr">
        <is>
          <t>BIOVECA FOLIAR</t>
        </is>
      </c>
      <c r="C23" s="8" t="inlineStr"/>
      <c r="D23" s="9" t="n">
        <v>28204.6522</v>
      </c>
      <c r="E23" s="9" t="n">
        <v>33500</v>
      </c>
      <c r="F23" s="9" t="n">
        <v>5295.3478</v>
      </c>
      <c r="G23" s="9" t="n">
        <v>23</v>
      </c>
      <c r="H23" s="9" t="n">
        <v>121792.9994</v>
      </c>
      <c r="I23" s="8" t="inlineStr">
        <is>
          <t>CLP</t>
        </is>
      </c>
      <c r="J23" s="11" t="n">
        <v>0.6986</v>
      </c>
      <c r="K23" s="8" t="inlineStr">
        <is>
          <t>Subir precio a 33,500.00 CLP (gap +5,295.35/ud).</t>
        </is>
      </c>
    </row>
    <row r="24">
      <c r="A24" s="8" t="inlineStr">
        <is>
          <t>CHILE</t>
        </is>
      </c>
      <c r="B24" s="8" t="inlineStr">
        <is>
          <t>MAX FULVIC 45%</t>
        </is>
      </c>
      <c r="C24" s="8" t="inlineStr">
        <is>
          <t>200 L</t>
        </is>
      </c>
      <c r="D24" s="9" t="n">
        <v>2900</v>
      </c>
      <c r="E24" s="9" t="n">
        <v>3200</v>
      </c>
      <c r="F24" s="9" t="n">
        <v>300</v>
      </c>
      <c r="G24" s="9" t="n">
        <v>380</v>
      </c>
      <c r="H24" s="9" t="n">
        <v>114000</v>
      </c>
      <c r="I24" s="8" t="inlineStr">
        <is>
          <t>CLP</t>
        </is>
      </c>
      <c r="J24" s="11" t="n">
        <v>0.5783</v>
      </c>
      <c r="K24" s="8" t="inlineStr">
        <is>
          <t>Subir precio a 3,200.00 CLP (gap +300.00/ud).</t>
        </is>
      </c>
    </row>
    <row r="25">
      <c r="A25" s="8" t="inlineStr">
        <is>
          <t>CHILE</t>
        </is>
      </c>
      <c r="B25" s="8" t="inlineStr">
        <is>
          <t>PLUS CALCIO BORO</t>
        </is>
      </c>
      <c r="C25" s="8" t="inlineStr">
        <is>
          <t>20 L</t>
        </is>
      </c>
      <c r="D25" s="9" t="n">
        <v>4223.6786</v>
      </c>
      <c r="E25" s="9" t="n">
        <v>5000</v>
      </c>
      <c r="F25" s="9" t="n">
        <v>776.3213999999998</v>
      </c>
      <c r="G25" s="9" t="n">
        <v>140</v>
      </c>
      <c r="H25" s="9" t="n">
        <v>108684.996</v>
      </c>
      <c r="I25" s="8" t="inlineStr">
        <is>
          <t>CLP</t>
        </is>
      </c>
      <c r="J25" s="11" t="n">
        <v>0.6779000000000001</v>
      </c>
      <c r="K25" s="8" t="inlineStr">
        <is>
          <t>Subir precio a 5,000.00 CLP (gap +776.32/ud).</t>
        </is>
      </c>
    </row>
    <row r="26">
      <c r="A26" s="8" t="inlineStr">
        <is>
          <t>CHILE</t>
        </is>
      </c>
      <c r="B26" s="8" t="inlineStr">
        <is>
          <t>PLUS BORO</t>
        </is>
      </c>
      <c r="C26" s="8" t="inlineStr">
        <is>
          <t>20 L</t>
        </is>
      </c>
      <c r="D26" s="9" t="n">
        <v>2674</v>
      </c>
      <c r="E26" s="9" t="n">
        <v>4000</v>
      </c>
      <c r="F26" s="9" t="n">
        <v>1326</v>
      </c>
      <c r="G26" s="9" t="n">
        <v>80</v>
      </c>
      <c r="H26" s="9" t="n">
        <v>106080</v>
      </c>
      <c r="I26" s="8" t="inlineStr">
        <is>
          <t>CLP</t>
        </is>
      </c>
      <c r="J26" s="11" t="n">
        <v>0.53</v>
      </c>
      <c r="K26" s="8" t="inlineStr">
        <is>
          <t>Subir precio a 4,000.00 CLP (gap +1,326.00/ud).</t>
        </is>
      </c>
    </row>
    <row r="27">
      <c r="A27" s="8" t="inlineStr">
        <is>
          <t>CHILE</t>
        </is>
      </c>
      <c r="B27" s="8" t="inlineStr">
        <is>
          <t>BLOOM</t>
        </is>
      </c>
      <c r="C27" s="8" t="inlineStr">
        <is>
          <t>5 L</t>
        </is>
      </c>
      <c r="D27" s="9" t="n">
        <v>8330.025</v>
      </c>
      <c r="E27" s="9" t="n">
        <v>9500</v>
      </c>
      <c r="F27" s="9" t="n">
        <v>1169.975</v>
      </c>
      <c r="G27" s="9" t="n">
        <v>80</v>
      </c>
      <c r="H27" s="9" t="n">
        <v>93598.00000000003</v>
      </c>
      <c r="I27" s="8" t="inlineStr">
        <is>
          <t>CLP</t>
        </is>
      </c>
      <c r="J27" s="11" t="n">
        <v>0.6422</v>
      </c>
      <c r="K27" s="8" t="inlineStr">
        <is>
          <t>Subir precio a 9,500.00 CLP (gap +1,169.98/ud).</t>
        </is>
      </c>
    </row>
    <row r="28">
      <c r="A28" s="8" t="inlineStr">
        <is>
          <t>CHILE</t>
        </is>
      </c>
      <c r="B28" s="8" t="inlineStr">
        <is>
          <t>AV15 40-20</t>
        </is>
      </c>
      <c r="C28" s="8" t="inlineStr">
        <is>
          <t>5 L</t>
        </is>
      </c>
      <c r="D28" s="9" t="n">
        <v>5498.2706</v>
      </c>
      <c r="E28" s="9" t="n">
        <v>6500</v>
      </c>
      <c r="F28" s="9" t="n">
        <v>1001.7294</v>
      </c>
      <c r="G28" s="9" t="n">
        <v>85</v>
      </c>
      <c r="H28" s="9" t="n">
        <v>85146.99900000001</v>
      </c>
      <c r="I28" s="8" t="inlineStr">
        <is>
          <t>CLP</t>
        </is>
      </c>
      <c r="J28" s="11" t="n">
        <v>0.5289</v>
      </c>
      <c r="K28" s="8" t="inlineStr">
        <is>
          <t>Subir precio a 6,500.00 CLP (gap +1,001.73/ud).</t>
        </is>
      </c>
    </row>
    <row r="29">
      <c r="A29" s="8" t="inlineStr">
        <is>
          <t>CHILE</t>
        </is>
      </c>
      <c r="B29" s="8" t="inlineStr">
        <is>
          <t>BIOSOLARIS</t>
        </is>
      </c>
      <c r="C29" s="8" t="inlineStr">
        <is>
          <t>1 L</t>
        </is>
      </c>
      <c r="D29" s="9" t="n">
        <v>10700</v>
      </c>
      <c r="E29" s="9" t="n">
        <v>16000</v>
      </c>
      <c r="F29" s="9" t="n">
        <v>5300</v>
      </c>
      <c r="G29" s="9" t="n">
        <v>16</v>
      </c>
      <c r="H29" s="9" t="n">
        <v>84800</v>
      </c>
      <c r="I29" s="8" t="inlineStr">
        <is>
          <t>CLP</t>
        </is>
      </c>
      <c r="J29" s="11" t="n">
        <v>0.6128</v>
      </c>
      <c r="K29" s="8" t="inlineStr">
        <is>
          <t>Subir precio a 16,000.00 CLP (gap +5,300.00/ud).</t>
        </is>
      </c>
    </row>
    <row r="30">
      <c r="A30" s="8" t="inlineStr">
        <is>
          <t>CHILE</t>
        </is>
      </c>
      <c r="B30" s="8" t="inlineStr">
        <is>
          <t>BALANCE</t>
        </is>
      </c>
      <c r="C30" s="8" t="inlineStr">
        <is>
          <t>20 L</t>
        </is>
      </c>
      <c r="D30" s="9" t="n">
        <v>13234.5333</v>
      </c>
      <c r="E30" s="9" t="n">
        <v>13500</v>
      </c>
      <c r="F30" s="9" t="n">
        <v>265.4667000000009</v>
      </c>
      <c r="G30" s="9" t="n">
        <v>300</v>
      </c>
      <c r="H30" s="9" t="n">
        <v>79640.01000000026</v>
      </c>
      <c r="I30" s="8" t="inlineStr">
        <is>
          <t>CLP</t>
        </is>
      </c>
      <c r="J30" s="11" t="n">
        <v>0.7886</v>
      </c>
      <c r="K30" s="8" t="inlineStr">
        <is>
          <t>Subir precio a 13,500.00 CLP (gap +265.47/ud).</t>
        </is>
      </c>
    </row>
    <row r="31">
      <c r="A31" s="8" t="inlineStr">
        <is>
          <t>CHILE</t>
        </is>
      </c>
      <c r="B31" s="8" t="inlineStr">
        <is>
          <t>ROOT MAX</t>
        </is>
      </c>
      <c r="C31" s="8" t="inlineStr">
        <is>
          <t>200 L</t>
        </is>
      </c>
      <c r="D31" s="9" t="n">
        <v>6800</v>
      </c>
      <c r="E31" s="9" t="n">
        <v>7000</v>
      </c>
      <c r="F31" s="9" t="n">
        <v>200</v>
      </c>
      <c r="G31" s="9" t="n">
        <v>370</v>
      </c>
      <c r="H31" s="9" t="n">
        <v>74000</v>
      </c>
      <c r="I31" s="8" t="inlineStr">
        <is>
          <t>CLP</t>
        </is>
      </c>
      <c r="J31" s="11" t="n">
        <v>0.8265</v>
      </c>
      <c r="K31" s="8" t="inlineStr">
        <is>
          <t>Subir precio a 7,000.00 CLP (gap +200.00/ud).</t>
        </is>
      </c>
    </row>
    <row r="32">
      <c r="A32" s="8" t="inlineStr">
        <is>
          <t>CHILE</t>
        </is>
      </c>
      <c r="B32" s="8" t="inlineStr">
        <is>
          <t>PLUS CALCIO</t>
        </is>
      </c>
      <c r="C32" s="8" t="inlineStr">
        <is>
          <t>5 L</t>
        </is>
      </c>
      <c r="D32" s="9" t="n">
        <v>4336.0182</v>
      </c>
      <c r="E32" s="9" t="n">
        <v>5000</v>
      </c>
      <c r="F32" s="9" t="n">
        <v>663.9817999999996</v>
      </c>
      <c r="G32" s="9" t="n">
        <v>110</v>
      </c>
      <c r="H32" s="9" t="n">
        <v>73037.99799999995</v>
      </c>
      <c r="I32" s="8" t="inlineStr">
        <is>
          <t>CLP</t>
        </is>
      </c>
      <c r="J32" s="11" t="n">
        <v>0.5401</v>
      </c>
      <c r="K32" s="8" t="inlineStr">
        <is>
          <t>Subir precio a 5,000.00 CLP (gap +663.98/ud).</t>
        </is>
      </c>
    </row>
    <row r="33">
      <c r="A33" s="8" t="inlineStr">
        <is>
          <t>CHILE</t>
        </is>
      </c>
      <c r="B33" s="8" t="inlineStr">
        <is>
          <t>PLUS MAGNESIO</t>
        </is>
      </c>
      <c r="C33" s="8" t="inlineStr"/>
      <c r="D33" s="9" t="n">
        <v>4778.5088</v>
      </c>
      <c r="E33" s="9" t="n">
        <v>6000</v>
      </c>
      <c r="F33" s="9" t="n">
        <v>1221.4912</v>
      </c>
      <c r="G33" s="9" t="n">
        <v>57</v>
      </c>
      <c r="H33" s="9" t="n">
        <v>69624.99840000003</v>
      </c>
      <c r="I33" s="8" t="inlineStr">
        <is>
          <t>CLP</t>
        </is>
      </c>
      <c r="J33" s="11" t="n">
        <v>0.314</v>
      </c>
      <c r="K33" s="8" t="inlineStr">
        <is>
          <t>Subir precio a 6,000.00 CLP (gap +1,221.49/ud).</t>
        </is>
      </c>
    </row>
    <row r="34">
      <c r="A34" s="8" t="inlineStr">
        <is>
          <t>CHILE</t>
        </is>
      </c>
      <c r="B34" s="8" t="inlineStr">
        <is>
          <t>BIOSOLARIS</t>
        </is>
      </c>
      <c r="C34" s="8" t="inlineStr">
        <is>
          <t>20 L</t>
        </is>
      </c>
      <c r="D34" s="9" t="n">
        <v>12866.6667</v>
      </c>
      <c r="E34" s="9" t="n">
        <v>14000</v>
      </c>
      <c r="F34" s="9" t="n">
        <v>1133.3333</v>
      </c>
      <c r="G34" s="9" t="n">
        <v>60</v>
      </c>
      <c r="H34" s="9" t="n">
        <v>67999.99800000002</v>
      </c>
      <c r="I34" s="8" t="inlineStr">
        <is>
          <t>CLP</t>
        </is>
      </c>
      <c r="J34" s="11" t="n">
        <v>0.8205</v>
      </c>
      <c r="K34" s="8" t="inlineStr">
        <is>
          <t>Subir precio a 14,000.00 CLP (gap +1,133.33/ud).</t>
        </is>
      </c>
    </row>
    <row r="35">
      <c r="A35" s="8" t="inlineStr">
        <is>
          <t>CHILE</t>
        </is>
      </c>
      <c r="B35" s="8" t="inlineStr">
        <is>
          <t>BLOOM</t>
        </is>
      </c>
      <c r="C35" s="8" t="inlineStr">
        <is>
          <t>1 L</t>
        </is>
      </c>
      <c r="D35" s="9" t="n">
        <v>8916.8125</v>
      </c>
      <c r="E35" s="9" t="n">
        <v>11000</v>
      </c>
      <c r="F35" s="9" t="n">
        <v>2083.1875</v>
      </c>
      <c r="G35" s="9" t="n">
        <v>32</v>
      </c>
      <c r="H35" s="9" t="n">
        <v>66662</v>
      </c>
      <c r="I35" s="8" t="inlineStr">
        <is>
          <t>CLP</t>
        </is>
      </c>
      <c r="J35" s="11" t="n">
        <v>0.5406</v>
      </c>
      <c r="K35" s="8" t="inlineStr">
        <is>
          <t>Subir precio a 11,000.00 CLP (gap +2,083.19/ud).</t>
        </is>
      </c>
    </row>
    <row r="36">
      <c r="A36" s="8" t="inlineStr">
        <is>
          <t>CHILE</t>
        </is>
      </c>
      <c r="B36" s="8" t="inlineStr">
        <is>
          <t>PLUS CALCIO BORO</t>
        </is>
      </c>
      <c r="C36" s="8" t="inlineStr">
        <is>
          <t>1 L</t>
        </is>
      </c>
      <c r="D36" s="9" t="n">
        <v>6628.9474</v>
      </c>
      <c r="E36" s="9" t="n">
        <v>7500</v>
      </c>
      <c r="F36" s="9" t="n">
        <v>871.0526</v>
      </c>
      <c r="G36" s="9" t="n">
        <v>76</v>
      </c>
      <c r="H36" s="9" t="n">
        <v>66199.9976</v>
      </c>
      <c r="I36" s="8" t="inlineStr">
        <is>
          <t>CLP</t>
        </is>
      </c>
      <c r="J36" s="11" t="n">
        <v>0.5182</v>
      </c>
      <c r="K36" s="8" t="inlineStr">
        <is>
          <t>Subir precio a 7,500.00 CLP (gap +871.05/ud).</t>
        </is>
      </c>
    </row>
    <row r="37">
      <c r="A37" s="8" t="inlineStr">
        <is>
          <t>CHILE</t>
        </is>
      </c>
      <c r="B37" s="8" t="inlineStr">
        <is>
          <t>PLUS MICRO MIX</t>
        </is>
      </c>
      <c r="C37" s="8" t="inlineStr"/>
      <c r="D37" s="9" t="n">
        <v>4800</v>
      </c>
      <c r="E37" s="9" t="n">
        <v>8000</v>
      </c>
      <c r="F37" s="9" t="n">
        <v>3200</v>
      </c>
      <c r="G37" s="9" t="n">
        <v>20</v>
      </c>
      <c r="H37" s="9" t="n">
        <v>64000</v>
      </c>
      <c r="I37" s="8" t="inlineStr">
        <is>
          <t>CLP</t>
        </is>
      </c>
      <c r="J37" s="11" t="n">
        <v>0.09039999999999999</v>
      </c>
      <c r="K37" s="8" t="inlineStr">
        <is>
          <t>Subir precio a 8,000.00 CLP (gap +3,200.00/ud).</t>
        </is>
      </c>
    </row>
    <row r="38">
      <c r="A38" s="8" t="inlineStr">
        <is>
          <t>CHILE</t>
        </is>
      </c>
      <c r="B38" s="8" t="inlineStr">
        <is>
          <t>PLUS MICRO MIX</t>
        </is>
      </c>
      <c r="C38" s="8" t="inlineStr">
        <is>
          <t>5 L</t>
        </is>
      </c>
      <c r="D38" s="9" t="n">
        <v>5678.6667</v>
      </c>
      <c r="E38" s="9" t="n">
        <v>6500</v>
      </c>
      <c r="F38" s="9" t="n">
        <v>821.3333000000002</v>
      </c>
      <c r="G38" s="9" t="n">
        <v>75</v>
      </c>
      <c r="H38" s="9" t="n">
        <v>61599.99750000002</v>
      </c>
      <c r="I38" s="8" t="inlineStr">
        <is>
          <t>CLP</t>
        </is>
      </c>
      <c r="J38" s="11" t="n">
        <v>0.4277</v>
      </c>
      <c r="K38" s="8" t="inlineStr">
        <is>
          <t>Subir precio a 6,500.00 CLP (gap +821.33/ud).</t>
        </is>
      </c>
    </row>
    <row r="39">
      <c r="A39" s="8" t="inlineStr">
        <is>
          <t>CHILE</t>
        </is>
      </c>
      <c r="B39" s="8" t="inlineStr">
        <is>
          <t>PLUS ZINC</t>
        </is>
      </c>
      <c r="C39" s="8" t="inlineStr">
        <is>
          <t>5 L</t>
        </is>
      </c>
      <c r="D39" s="9" t="n">
        <v>3872.5</v>
      </c>
      <c r="E39" s="9" t="n">
        <v>6800</v>
      </c>
      <c r="F39" s="9" t="n">
        <v>2927.5</v>
      </c>
      <c r="G39" s="9" t="n">
        <v>20</v>
      </c>
      <c r="H39" s="9" t="n">
        <v>58550</v>
      </c>
      <c r="I39" s="8" t="inlineStr">
        <is>
          <t>CLP</t>
        </is>
      </c>
      <c r="J39" s="11" t="n">
        <v>0.2692</v>
      </c>
      <c r="K39" s="8" t="inlineStr">
        <is>
          <t>Subir precio a 6,800.00 CLP (gap +2,927.50/ud).</t>
        </is>
      </c>
    </row>
    <row r="40">
      <c r="A40" s="8" t="inlineStr">
        <is>
          <t>CHILE</t>
        </is>
      </c>
      <c r="B40" s="8" t="inlineStr">
        <is>
          <t>BALANCE</t>
        </is>
      </c>
      <c r="C40" s="8" t="inlineStr"/>
      <c r="D40" s="9" t="n">
        <v>13230</v>
      </c>
      <c r="E40" s="9" t="n">
        <v>15000</v>
      </c>
      <c r="F40" s="9" t="n">
        <v>1770</v>
      </c>
      <c r="G40" s="9" t="n">
        <v>30</v>
      </c>
      <c r="H40" s="9" t="n">
        <v>53100</v>
      </c>
      <c r="I40" s="8" t="inlineStr">
        <is>
          <t>CLP</t>
        </is>
      </c>
      <c r="J40" s="11" t="n">
        <v>0.65</v>
      </c>
      <c r="K40" s="8" t="inlineStr">
        <is>
          <t>Subir precio a 15,000.00 CLP (gap +1,770.00/ud).</t>
        </is>
      </c>
    </row>
    <row r="41">
      <c r="A41" s="8" t="inlineStr">
        <is>
          <t>CHILE</t>
        </is>
      </c>
      <c r="B41" s="8" t="inlineStr">
        <is>
          <t>AV15 40-20</t>
        </is>
      </c>
      <c r="C41" s="8" t="inlineStr">
        <is>
          <t>1 L</t>
        </is>
      </c>
      <c r="D41" s="9" t="n">
        <v>7505.8182</v>
      </c>
      <c r="E41" s="9" t="n">
        <v>9000</v>
      </c>
      <c r="F41" s="9" t="n">
        <v>1494.1818</v>
      </c>
      <c r="G41" s="9" t="n">
        <v>33</v>
      </c>
      <c r="H41" s="9" t="n">
        <v>49307.99940000001</v>
      </c>
      <c r="I41" s="8" t="inlineStr">
        <is>
          <t>CLP</t>
        </is>
      </c>
      <c r="J41" s="11" t="n">
        <v>0.5062</v>
      </c>
      <c r="K41" s="8" t="inlineStr">
        <is>
          <t>Subir precio a 9,000.00 CLP (gap +1,494.18/ud).</t>
        </is>
      </c>
    </row>
    <row r="42">
      <c r="A42" s="8" t="inlineStr">
        <is>
          <t>CHILE</t>
        </is>
      </c>
      <c r="B42" s="8" t="inlineStr">
        <is>
          <t>PLUS MAGNESIO</t>
        </is>
      </c>
      <c r="C42" s="8" t="inlineStr">
        <is>
          <t>20 L</t>
        </is>
      </c>
      <c r="D42" s="9" t="n">
        <v>3143.67</v>
      </c>
      <c r="E42" s="9" t="n">
        <v>3200</v>
      </c>
      <c r="F42" s="9" t="n">
        <v>56.32999999999993</v>
      </c>
      <c r="G42" s="9" t="n">
        <v>700</v>
      </c>
      <c r="H42" s="9" t="n">
        <v>39430.99999999995</v>
      </c>
      <c r="I42" s="8" t="inlineStr">
        <is>
          <t>CLP</t>
        </is>
      </c>
      <c r="J42" s="11" t="n">
        <v>0.5404</v>
      </c>
      <c r="K42" s="8" t="inlineStr">
        <is>
          <t>Subir precio a 3,200.00 CLP (gap +56.33/ud).</t>
        </is>
      </c>
    </row>
    <row r="43">
      <c r="A43" s="8" t="inlineStr">
        <is>
          <t>CHILE</t>
        </is>
      </c>
      <c r="B43" s="8" t="inlineStr">
        <is>
          <t>BALANCE</t>
        </is>
      </c>
      <c r="C43" s="8" t="inlineStr">
        <is>
          <t>5 L</t>
        </is>
      </c>
      <c r="D43" s="9" t="n">
        <v>13787.6944</v>
      </c>
      <c r="E43" s="9" t="n">
        <v>14000</v>
      </c>
      <c r="F43" s="9" t="n">
        <v>212.3055999999997</v>
      </c>
      <c r="G43" s="9" t="n">
        <v>180</v>
      </c>
      <c r="H43" s="9" t="n">
        <v>38215.00799999994</v>
      </c>
      <c r="I43" s="8" t="inlineStr">
        <is>
          <t>CLP</t>
        </is>
      </c>
      <c r="J43" s="11" t="n">
        <v>0.7451000000000001</v>
      </c>
      <c r="K43" s="8" t="inlineStr">
        <is>
          <t>Subir precio a 14,000.00 CLP (gap +212.31/ud).</t>
        </is>
      </c>
    </row>
    <row r="44">
      <c r="A44" s="8" t="inlineStr">
        <is>
          <t>CHILE</t>
        </is>
      </c>
      <c r="B44" s="8" t="inlineStr">
        <is>
          <t>PLUS HIERRO</t>
        </is>
      </c>
      <c r="C44" s="8" t="inlineStr">
        <is>
          <t>5 L</t>
        </is>
      </c>
      <c r="D44" s="9" t="n">
        <v>3540</v>
      </c>
      <c r="E44" s="9" t="n">
        <v>6800</v>
      </c>
      <c r="F44" s="9" t="n">
        <v>3260</v>
      </c>
      <c r="G44" s="9" t="n">
        <v>10</v>
      </c>
      <c r="H44" s="9" t="n">
        <v>32600</v>
      </c>
      <c r="I44" s="8" t="inlineStr">
        <is>
          <t>CLP</t>
        </is>
      </c>
      <c r="J44" s="11" t="n">
        <v>0.4243</v>
      </c>
      <c r="K44" s="8" t="inlineStr">
        <is>
          <t>Subir precio a 6,800.00 CLP (gap +3,260.00/ud).</t>
        </is>
      </c>
    </row>
    <row r="45">
      <c r="A45" s="8" t="inlineStr">
        <is>
          <t>CHILE</t>
        </is>
      </c>
      <c r="B45" s="8" t="inlineStr">
        <is>
          <t>PLUS ZINC</t>
        </is>
      </c>
      <c r="C45" s="8" t="inlineStr">
        <is>
          <t>20 L</t>
        </is>
      </c>
      <c r="D45" s="9" t="n">
        <v>4000</v>
      </c>
      <c r="E45" s="9" t="n">
        <v>4800</v>
      </c>
      <c r="F45" s="9" t="n">
        <v>800</v>
      </c>
      <c r="G45" s="9" t="n">
        <v>40</v>
      </c>
      <c r="H45" s="9" t="n">
        <v>32000</v>
      </c>
      <c r="I45" s="8" t="inlineStr">
        <is>
          <t>CLP</t>
        </is>
      </c>
      <c r="J45" s="11" t="n">
        <v>0.4718</v>
      </c>
      <c r="K45" s="8" t="inlineStr">
        <is>
          <t>Subir precio a 4,800.00 CLP (gap +800.00/ud).</t>
        </is>
      </c>
    </row>
    <row r="46">
      <c r="A46" s="8" t="inlineStr">
        <is>
          <t>CHILE</t>
        </is>
      </c>
      <c r="B46" s="8" t="inlineStr">
        <is>
          <t>PLUS CALCIO BORO</t>
        </is>
      </c>
      <c r="C46" s="8" t="inlineStr">
        <is>
          <t>5 L</t>
        </is>
      </c>
      <c r="D46" s="9" t="n">
        <v>5290.9556</v>
      </c>
      <c r="E46" s="9" t="n">
        <v>6000</v>
      </c>
      <c r="F46" s="9" t="n">
        <v>709.0443999999998</v>
      </c>
      <c r="G46" s="9" t="n">
        <v>45</v>
      </c>
      <c r="H46" s="9" t="n">
        <v>31906.99799999999</v>
      </c>
      <c r="I46" s="8" t="inlineStr">
        <is>
          <t>CLP</t>
        </is>
      </c>
      <c r="J46" s="11" t="n">
        <v>0.6073</v>
      </c>
      <c r="K46" s="8" t="inlineStr">
        <is>
          <t>Subir precio a 6,000.00 CLP (gap +709.04/ud).</t>
        </is>
      </c>
    </row>
    <row r="47">
      <c r="A47" s="8" t="inlineStr">
        <is>
          <t>CHILE</t>
        </is>
      </c>
      <c r="B47" s="8" t="inlineStr">
        <is>
          <t>BIOSOLARIS</t>
        </is>
      </c>
      <c r="C47" s="8" t="inlineStr">
        <is>
          <t>5 L</t>
        </is>
      </c>
      <c r="D47" s="9" t="n">
        <v>12933.3333</v>
      </c>
      <c r="E47" s="9" t="n">
        <v>15000</v>
      </c>
      <c r="F47" s="9" t="n">
        <v>2066.6667</v>
      </c>
      <c r="G47" s="9" t="n">
        <v>15</v>
      </c>
      <c r="H47" s="9" t="n">
        <v>31000.00049999999</v>
      </c>
      <c r="I47" s="8" t="inlineStr">
        <is>
          <t>CLP</t>
        </is>
      </c>
      <c r="J47" s="11" t="n">
        <v>0.7659999999999999</v>
      </c>
      <c r="K47" s="8" t="inlineStr">
        <is>
          <t>Subir precio a 15,000.00 CLP (gap +2,066.67/ud).</t>
        </is>
      </c>
    </row>
    <row r="48">
      <c r="A48" s="8" t="inlineStr">
        <is>
          <t>CHILE</t>
        </is>
      </c>
      <c r="B48" s="8" t="inlineStr">
        <is>
          <t>PLUS ZINC MANGANESO</t>
        </is>
      </c>
      <c r="C48" s="8" t="inlineStr">
        <is>
          <t>5 L</t>
        </is>
      </c>
      <c r="D48" s="9" t="n">
        <v>4515</v>
      </c>
      <c r="E48" s="9" t="n">
        <v>6000</v>
      </c>
      <c r="F48" s="9" t="n">
        <v>1485</v>
      </c>
      <c r="G48" s="9" t="n">
        <v>20</v>
      </c>
      <c r="H48" s="9" t="n">
        <v>29700</v>
      </c>
      <c r="I48" s="8" t="inlineStr">
        <is>
          <t>CLP</t>
        </is>
      </c>
      <c r="J48" s="11" t="n">
        <v>0.434</v>
      </c>
      <c r="K48" s="8" t="inlineStr">
        <is>
          <t>Subir precio a 6,000.00 CLP (gap +1,485.00/ud).</t>
        </is>
      </c>
    </row>
    <row r="49">
      <c r="A49" s="8" t="inlineStr">
        <is>
          <t>CHILE</t>
        </is>
      </c>
      <c r="B49" s="8" t="inlineStr">
        <is>
          <t>PLUS CALCIO BORO</t>
        </is>
      </c>
      <c r="C49" s="8" t="inlineStr"/>
      <c r="D49" s="9" t="n">
        <v>4751</v>
      </c>
      <c r="E49" s="9" t="n">
        <v>7500</v>
      </c>
      <c r="F49" s="9" t="n">
        <v>2749</v>
      </c>
      <c r="G49" s="9" t="n">
        <v>10</v>
      </c>
      <c r="H49" s="9" t="n">
        <v>27490</v>
      </c>
      <c r="I49" s="8" t="inlineStr">
        <is>
          <t>CLP</t>
        </is>
      </c>
      <c r="J49" s="11" t="n">
        <v>0.3277</v>
      </c>
      <c r="K49" s="8" t="inlineStr">
        <is>
          <t>Subir precio a 7,500.00 CLP (gap +2,749.00/ud).</t>
        </is>
      </c>
    </row>
    <row r="50">
      <c r="A50" s="8" t="inlineStr">
        <is>
          <t>CHILE</t>
        </is>
      </c>
      <c r="B50" s="8" t="inlineStr">
        <is>
          <t>PLUS MAGNESIO</t>
        </is>
      </c>
      <c r="C50" s="8" t="inlineStr">
        <is>
          <t>1 L</t>
        </is>
      </c>
      <c r="D50" s="9" t="n">
        <v>5436.9565</v>
      </c>
      <c r="E50" s="9" t="n">
        <v>6000</v>
      </c>
      <c r="F50" s="9" t="n">
        <v>563.0434999999998</v>
      </c>
      <c r="G50" s="9" t="n">
        <v>46</v>
      </c>
      <c r="H50" s="9" t="n">
        <v>25900.00099999999</v>
      </c>
      <c r="I50" s="8" t="inlineStr">
        <is>
          <t>CLP</t>
        </is>
      </c>
      <c r="J50" s="11" t="n">
        <v>0.3971</v>
      </c>
      <c r="K50" s="8" t="inlineStr">
        <is>
          <t>Subir precio a 6,000.00 CLP (gap +563.04/ud).</t>
        </is>
      </c>
    </row>
    <row r="51">
      <c r="A51" s="8" t="inlineStr">
        <is>
          <t>CHILE</t>
        </is>
      </c>
      <c r="B51" s="8" t="inlineStr">
        <is>
          <t>BALANCE</t>
        </is>
      </c>
      <c r="C51" s="8" t="inlineStr">
        <is>
          <t>1 L</t>
        </is>
      </c>
      <c r="D51" s="9" t="n">
        <v>14505.7333</v>
      </c>
      <c r="E51" s="9" t="n">
        <v>15000</v>
      </c>
      <c r="F51" s="9" t="n">
        <v>494.2667000000001</v>
      </c>
      <c r="G51" s="9" t="n">
        <v>45</v>
      </c>
      <c r="H51" s="9" t="n">
        <v>22242.00150000001</v>
      </c>
      <c r="I51" s="8" t="inlineStr">
        <is>
          <t>CLP</t>
        </is>
      </c>
      <c r="J51" s="11" t="n">
        <v>0.6807</v>
      </c>
      <c r="K51" s="8" t="inlineStr">
        <is>
          <t>Subir precio a 15,000.00 CLP (gap +494.27/ud).</t>
        </is>
      </c>
    </row>
    <row r="52">
      <c r="A52" s="8" t="inlineStr">
        <is>
          <t>CHILE</t>
        </is>
      </c>
      <c r="B52" s="8" t="inlineStr">
        <is>
          <t>PLUS HIERRO</t>
        </is>
      </c>
      <c r="C52" s="8" t="inlineStr">
        <is>
          <t>20 L</t>
        </is>
      </c>
      <c r="D52" s="9" t="n">
        <v>4000</v>
      </c>
      <c r="E52" s="9" t="n">
        <v>5000</v>
      </c>
      <c r="F52" s="9" t="n">
        <v>1000</v>
      </c>
      <c r="G52" s="9" t="n">
        <v>20</v>
      </c>
      <c r="H52" s="9" t="n">
        <v>20000</v>
      </c>
      <c r="I52" s="8" t="inlineStr">
        <is>
          <t>CLP</t>
        </is>
      </c>
      <c r="J52" s="11" t="n">
        <v>0.6698000000000001</v>
      </c>
      <c r="K52" s="8" t="inlineStr">
        <is>
          <t>Subir precio a 5,000.00 CLP (gap +1,000.00/ud).</t>
        </is>
      </c>
    </row>
    <row r="53">
      <c r="A53" s="8" t="inlineStr">
        <is>
          <t>CHILE</t>
        </is>
      </c>
      <c r="B53" s="8" t="inlineStr">
        <is>
          <t>PLUS NP-MIX</t>
        </is>
      </c>
      <c r="C53" s="8" t="inlineStr">
        <is>
          <t>1 L</t>
        </is>
      </c>
      <c r="D53" s="9" t="n">
        <v>7175</v>
      </c>
      <c r="E53" s="9" t="n">
        <v>8000</v>
      </c>
      <c r="F53" s="9" t="n">
        <v>825</v>
      </c>
      <c r="G53" s="9" t="n">
        <v>24</v>
      </c>
      <c r="H53" s="9" t="n">
        <v>19800</v>
      </c>
      <c r="I53" s="8" t="inlineStr">
        <is>
          <t>CLP</t>
        </is>
      </c>
      <c r="J53" s="11" t="n">
        <v>0.3497</v>
      </c>
      <c r="K53" s="8" t="inlineStr">
        <is>
          <t>Subir precio a 8,000.00 CLP (gap +825.00/ud).</t>
        </is>
      </c>
    </row>
    <row r="54">
      <c r="A54" s="8" t="inlineStr">
        <is>
          <t>CHILE</t>
        </is>
      </c>
      <c r="B54" s="8" t="inlineStr">
        <is>
          <t>AMIN</t>
        </is>
      </c>
      <c r="C54" s="8" t="inlineStr">
        <is>
          <t>20 L</t>
        </is>
      </c>
      <c r="D54" s="9" t="n">
        <v>5226.6667</v>
      </c>
      <c r="E54" s="9" t="n">
        <v>5500</v>
      </c>
      <c r="F54" s="9" t="n">
        <v>273.3333000000002</v>
      </c>
      <c r="G54" s="9" t="n">
        <v>60</v>
      </c>
      <c r="H54" s="9" t="n">
        <v>16399.99800000001</v>
      </c>
      <c r="I54" s="8" t="inlineStr">
        <is>
          <t>CLP</t>
        </is>
      </c>
      <c r="J54" s="11" t="n">
        <v>0.6487000000000001</v>
      </c>
      <c r="K54" s="8" t="inlineStr">
        <is>
          <t>Subir precio a 5,500.00 CLP (gap +273.33/ud).</t>
        </is>
      </c>
    </row>
    <row r="55">
      <c r="A55" s="8" t="inlineStr">
        <is>
          <t>CHILE</t>
        </is>
      </c>
      <c r="B55" s="8" t="inlineStr">
        <is>
          <t>MAX FULVIC 45%</t>
        </is>
      </c>
      <c r="C55" s="8" t="inlineStr">
        <is>
          <t>5 L</t>
        </is>
      </c>
      <c r="D55" s="9" t="n">
        <v>4200</v>
      </c>
      <c r="E55" s="9" t="n">
        <v>5800</v>
      </c>
      <c r="F55" s="9" t="n">
        <v>1600</v>
      </c>
      <c r="G55" s="9" t="n">
        <v>10</v>
      </c>
      <c r="H55" s="9" t="n">
        <v>16000</v>
      </c>
      <c r="I55" s="8" t="inlineStr">
        <is>
          <t>CLP</t>
        </is>
      </c>
      <c r="J55" s="11" t="n">
        <v>0.471</v>
      </c>
      <c r="K55" s="8" t="inlineStr">
        <is>
          <t>Subir precio a 5,800.00 CLP (gap +1,600.00/ud).</t>
        </is>
      </c>
    </row>
    <row r="56">
      <c r="A56" s="8" t="inlineStr">
        <is>
          <t>CHILE</t>
        </is>
      </c>
      <c r="B56" s="8" t="inlineStr">
        <is>
          <t>PLUS ZINC</t>
        </is>
      </c>
      <c r="C56" s="8" t="inlineStr"/>
      <c r="D56" s="9" t="n">
        <v>4073</v>
      </c>
      <c r="E56" s="9" t="n">
        <v>7200</v>
      </c>
      <c r="F56" s="9" t="n">
        <v>3127</v>
      </c>
      <c r="G56" s="9" t="n">
        <v>5</v>
      </c>
      <c r="H56" s="9" t="n">
        <v>15635</v>
      </c>
      <c r="I56" s="8" t="inlineStr">
        <is>
          <t>CLP</t>
        </is>
      </c>
      <c r="J56" s="11" t="n">
        <v>0.0312</v>
      </c>
      <c r="K56" s="8" t="inlineStr">
        <is>
          <t>Subir precio a 7,200.00 CLP (gap +3,127.00/ud).</t>
        </is>
      </c>
    </row>
    <row r="57">
      <c r="A57" s="8" t="inlineStr">
        <is>
          <t>CHILE</t>
        </is>
      </c>
      <c r="B57" s="8" t="inlineStr">
        <is>
          <t>AMIN SUGAR</t>
        </is>
      </c>
      <c r="C57" s="8" t="inlineStr">
        <is>
          <t>1 L</t>
        </is>
      </c>
      <c r="D57" s="9" t="n">
        <v>4189.25</v>
      </c>
      <c r="E57" s="9" t="n">
        <v>7800</v>
      </c>
      <c r="F57" s="9" t="n">
        <v>3610.75</v>
      </c>
      <c r="G57" s="9" t="n">
        <v>4</v>
      </c>
      <c r="H57" s="9" t="n">
        <v>14443</v>
      </c>
      <c r="I57" s="8" t="inlineStr">
        <is>
          <t>CLP</t>
        </is>
      </c>
      <c r="J57" s="11" t="n">
        <v>0.1433</v>
      </c>
      <c r="K57" s="8" t="inlineStr">
        <is>
          <t>Subir precio a 7,800.00 CLP (gap +3,610.75/ud).</t>
        </is>
      </c>
    </row>
    <row r="58">
      <c r="A58" s="8" t="inlineStr">
        <is>
          <t>CHILE</t>
        </is>
      </c>
      <c r="B58" s="8" t="inlineStr">
        <is>
          <t>PLUS CALCIO</t>
        </is>
      </c>
      <c r="C58" s="8" t="inlineStr"/>
      <c r="D58" s="9" t="n">
        <v>4751.5</v>
      </c>
      <c r="E58" s="9" t="n">
        <v>6000</v>
      </c>
      <c r="F58" s="9" t="n">
        <v>1248.5</v>
      </c>
      <c r="G58" s="9" t="n">
        <v>10</v>
      </c>
      <c r="H58" s="9" t="n">
        <v>12485</v>
      </c>
      <c r="I58" s="8" t="inlineStr">
        <is>
          <t>CLP</t>
        </is>
      </c>
      <c r="J58" s="11" t="n">
        <v>0.3455</v>
      </c>
      <c r="K58" s="8" t="inlineStr">
        <is>
          <t>Subir precio a 6,000.00 CLP (gap +1,248.50/ud).</t>
        </is>
      </c>
    </row>
    <row r="59">
      <c r="A59" s="8" t="inlineStr">
        <is>
          <t>CHILE</t>
        </is>
      </c>
      <c r="B59" s="8" t="inlineStr">
        <is>
          <t>CYTO PRIME</t>
        </is>
      </c>
      <c r="C59" s="8" t="inlineStr">
        <is>
          <t>5 L</t>
        </is>
      </c>
      <c r="D59" s="9" t="n">
        <v>16526.68</v>
      </c>
      <c r="E59" s="9" t="n">
        <v>17000</v>
      </c>
      <c r="F59" s="9" t="n">
        <v>473.3199999999997</v>
      </c>
      <c r="G59" s="9" t="n">
        <v>25</v>
      </c>
      <c r="H59" s="9" t="n">
        <v>11832.99999999999</v>
      </c>
      <c r="I59" s="8" t="inlineStr">
        <is>
          <t>CLP</t>
        </is>
      </c>
      <c r="J59" s="11" t="n">
        <v>0.7951999999999999</v>
      </c>
      <c r="K59" s="8" t="inlineStr">
        <is>
          <t>Subir precio a 17,000.00 CLP (gap +473.32/ud).</t>
        </is>
      </c>
    </row>
    <row r="60">
      <c r="A60" s="8" t="inlineStr">
        <is>
          <t>CHILE</t>
        </is>
      </c>
      <c r="B60" s="8" t="inlineStr">
        <is>
          <t>SILFORTE</t>
        </is>
      </c>
      <c r="C60" s="8" t="inlineStr">
        <is>
          <t>5 L</t>
        </is>
      </c>
      <c r="D60" s="9" t="n">
        <v>10538.8889</v>
      </c>
      <c r="E60" s="9" t="n">
        <v>10800</v>
      </c>
      <c r="F60" s="9" t="n">
        <v>261.1111000000001</v>
      </c>
      <c r="G60" s="9" t="n">
        <v>45</v>
      </c>
      <c r="H60" s="9" t="n">
        <v>11749.9995</v>
      </c>
      <c r="I60" s="8" t="inlineStr">
        <is>
          <t>CLP</t>
        </is>
      </c>
      <c r="J60" s="11" t="n">
        <v>0.7118000000000001</v>
      </c>
      <c r="K60" s="8" t="inlineStr">
        <is>
          <t>Subir precio a 10,800.00 CLP (gap +261.11/ud).</t>
        </is>
      </c>
    </row>
    <row r="61">
      <c r="A61" s="8" t="inlineStr">
        <is>
          <t>CHILE</t>
        </is>
      </c>
      <c r="B61" s="8" t="inlineStr">
        <is>
          <t>PLUS CALCIO</t>
        </is>
      </c>
      <c r="C61" s="8" t="inlineStr">
        <is>
          <t>1 L</t>
        </is>
      </c>
      <c r="D61" s="9" t="n">
        <v>5789.0364</v>
      </c>
      <c r="E61" s="9" t="n">
        <v>6000</v>
      </c>
      <c r="F61" s="9" t="n">
        <v>210.9636</v>
      </c>
      <c r="G61" s="9" t="n">
        <v>55</v>
      </c>
      <c r="H61" s="9" t="n">
        <v>11602.998</v>
      </c>
      <c r="I61" s="8" t="inlineStr">
        <is>
          <t>CLP</t>
        </is>
      </c>
      <c r="J61" s="11" t="n">
        <v>0.4628</v>
      </c>
      <c r="K61" s="8" t="inlineStr">
        <is>
          <t>Subir precio a 6,000.00 CLP (gap +210.96/ud).</t>
        </is>
      </c>
    </row>
    <row r="62">
      <c r="A62" s="8" t="inlineStr">
        <is>
          <t>CHILE</t>
        </is>
      </c>
      <c r="B62" s="8" t="inlineStr">
        <is>
          <t>SILFORTE</t>
        </is>
      </c>
      <c r="C62" s="8" t="inlineStr"/>
      <c r="D62" s="9" t="n">
        <v>11440</v>
      </c>
      <c r="E62" s="9" t="n">
        <v>12000</v>
      </c>
      <c r="F62" s="9" t="n">
        <v>560</v>
      </c>
      <c r="G62" s="9" t="n">
        <v>20</v>
      </c>
      <c r="H62" s="9" t="n">
        <v>11200</v>
      </c>
      <c r="I62" s="8" t="inlineStr">
        <is>
          <t>CLP</t>
        </is>
      </c>
      <c r="J62" s="11" t="n">
        <v>0.637</v>
      </c>
      <c r="K62" s="8" t="inlineStr">
        <is>
          <t>Subir precio a 12,000.00 CLP (gap +560.00/ud).</t>
        </is>
      </c>
    </row>
    <row r="63">
      <c r="A63" s="8" t="inlineStr">
        <is>
          <t>CHILE</t>
        </is>
      </c>
      <c r="B63" s="8" t="inlineStr">
        <is>
          <t>PLUS NUTRI MIX</t>
        </is>
      </c>
      <c r="C63" s="8" t="inlineStr">
        <is>
          <t>5 L</t>
        </is>
      </c>
      <c r="D63" s="9" t="n">
        <v>6678</v>
      </c>
      <c r="E63" s="9" t="n">
        <v>7200</v>
      </c>
      <c r="F63" s="9" t="n">
        <v>522</v>
      </c>
      <c r="G63" s="9" t="n">
        <v>20</v>
      </c>
      <c r="H63" s="9" t="n">
        <v>10440</v>
      </c>
      <c r="I63" s="8" t="inlineStr">
        <is>
          <t>CLP</t>
        </is>
      </c>
      <c r="J63" s="11" t="n">
        <v>0.5610000000000001</v>
      </c>
      <c r="K63" s="8" t="inlineStr">
        <is>
          <t>Subir precio a 7,200.00 CLP (gap +522.00/ud).</t>
        </is>
      </c>
    </row>
    <row r="64">
      <c r="A64" s="8" t="inlineStr">
        <is>
          <t>CHILE</t>
        </is>
      </c>
      <c r="B64" s="8" t="inlineStr">
        <is>
          <t>PLUS ZINC</t>
        </is>
      </c>
      <c r="C64" s="8" t="inlineStr">
        <is>
          <t>1 L</t>
        </is>
      </c>
      <c r="D64" s="9" t="n">
        <v>5868.3333</v>
      </c>
      <c r="E64" s="9" t="n">
        <v>7200</v>
      </c>
      <c r="F64" s="9" t="n">
        <v>1331.6667</v>
      </c>
      <c r="G64" s="9" t="n">
        <v>6</v>
      </c>
      <c r="H64" s="9" t="n">
        <v>7990.000199999999</v>
      </c>
      <c r="I64" s="8" t="inlineStr">
        <is>
          <t>CLP</t>
        </is>
      </c>
      <c r="J64" s="11" t="n">
        <v>0.3276</v>
      </c>
      <c r="K64" s="8" t="inlineStr">
        <is>
          <t>Subir precio a 7,200.00 CLP (gap +1,331.67/ud).</t>
        </is>
      </c>
    </row>
    <row r="65">
      <c r="A65" s="8" t="inlineStr">
        <is>
          <t>CHILE</t>
        </is>
      </c>
      <c r="B65" s="8" t="inlineStr">
        <is>
          <t>ALGAP 30</t>
        </is>
      </c>
      <c r="C65" s="8" t="inlineStr">
        <is>
          <t>5 L</t>
        </is>
      </c>
      <c r="D65" s="9" t="n">
        <v>4752.4</v>
      </c>
      <c r="E65" s="9" t="n">
        <v>5000</v>
      </c>
      <c r="F65" s="9" t="n">
        <v>247.6000000000004</v>
      </c>
      <c r="G65" s="9" t="n">
        <v>30</v>
      </c>
      <c r="H65" s="9" t="n">
        <v>7428.000000000011</v>
      </c>
      <c r="I65" s="8" t="inlineStr">
        <is>
          <t>CLP</t>
        </is>
      </c>
      <c r="J65" s="11" t="n">
        <v>0.4531</v>
      </c>
      <c r="K65" s="8" t="inlineStr">
        <is>
          <t>Subir precio a 5,000.00 CLP (gap +247.60/ud).</t>
        </is>
      </c>
    </row>
    <row r="66">
      <c r="A66" s="8" t="inlineStr">
        <is>
          <t>PERU</t>
        </is>
      </c>
      <c r="B66" s="8" t="inlineStr">
        <is>
          <t>SILFORTE</t>
        </is>
      </c>
      <c r="C66" s="8" t="inlineStr">
        <is>
          <t>GRANEL</t>
        </is>
      </c>
      <c r="D66" s="9" t="n">
        <v>11.1761</v>
      </c>
      <c r="E66" s="9" t="n">
        <v>11.6667</v>
      </c>
      <c r="F66" s="9" t="n">
        <v>0.4906000000000006</v>
      </c>
      <c r="G66" s="9" t="n">
        <v>8212</v>
      </c>
      <c r="H66" s="9" t="n">
        <v>4028.807200000005</v>
      </c>
      <c r="I66" s="8" t="inlineStr">
        <is>
          <t>USD</t>
        </is>
      </c>
      <c r="J66" s="11" t="n">
        <v>0.8048999999999999</v>
      </c>
      <c r="K66" s="8" t="inlineStr">
        <is>
          <t>Subir precio a 11.67 USD (gap +0.49/ud).</t>
        </is>
      </c>
    </row>
    <row r="67">
      <c r="A67" s="8" t="inlineStr">
        <is>
          <t>CHILE</t>
        </is>
      </c>
      <c r="B67" s="8" t="inlineStr">
        <is>
          <t>MOVE</t>
        </is>
      </c>
      <c r="C67" s="8" t="inlineStr">
        <is>
          <t>1 L</t>
        </is>
      </c>
      <c r="D67" s="9" t="n">
        <v>8335.7143</v>
      </c>
      <c r="E67" s="9" t="n">
        <v>8800</v>
      </c>
      <c r="F67" s="9" t="n">
        <v>464.2857000000004</v>
      </c>
      <c r="G67" s="9" t="n">
        <v>7</v>
      </c>
      <c r="H67" s="9" t="n">
        <v>3249.999900000003</v>
      </c>
      <c r="I67" s="8" t="inlineStr">
        <is>
          <t>CLP</t>
        </is>
      </c>
      <c r="J67" s="11" t="n">
        <v>0.4444</v>
      </c>
      <c r="K67" s="8" t="inlineStr">
        <is>
          <t>Subir precio a 8,800.00 CLP (gap +464.29/ud).</t>
        </is>
      </c>
    </row>
    <row r="68">
      <c r="A68" s="8" t="inlineStr">
        <is>
          <t>CHILE</t>
        </is>
      </c>
      <c r="B68" s="8" t="inlineStr">
        <is>
          <t>PLUS MAGNESIO</t>
        </is>
      </c>
      <c r="C68" s="8" t="inlineStr">
        <is>
          <t>5 L</t>
        </is>
      </c>
      <c r="D68" s="9" t="n">
        <v>3957.6667</v>
      </c>
      <c r="E68" s="9" t="n">
        <v>4000</v>
      </c>
      <c r="F68" s="9" t="n">
        <v>42.33329999999978</v>
      </c>
      <c r="G68" s="9" t="n">
        <v>75</v>
      </c>
      <c r="H68" s="9" t="n">
        <v>3174.997499999984</v>
      </c>
      <c r="I68" s="8" t="inlineStr">
        <is>
          <t>CLP</t>
        </is>
      </c>
      <c r="J68" s="11" t="n">
        <v>0.4538</v>
      </c>
      <c r="K68" s="8" t="inlineStr">
        <is>
          <t>Subir precio a 4,000.00 CLP (gap +42.33/ud).</t>
        </is>
      </c>
    </row>
    <row r="69">
      <c r="A69" s="8" t="inlineStr">
        <is>
          <t>CHILE</t>
        </is>
      </c>
      <c r="B69" s="8" t="inlineStr">
        <is>
          <t>PLUS ZINC MANGANESO</t>
        </is>
      </c>
      <c r="C69" s="8" t="inlineStr">
        <is>
          <t>1 L</t>
        </is>
      </c>
      <c r="D69" s="9" t="n">
        <v>3902</v>
      </c>
      <c r="E69" s="9" t="n">
        <v>7000</v>
      </c>
      <c r="F69" s="9" t="n">
        <v>3098</v>
      </c>
      <c r="G69" s="9" t="n">
        <v>1</v>
      </c>
      <c r="H69" s="9" t="n">
        <v>3098</v>
      </c>
      <c r="I69" s="8" t="inlineStr">
        <is>
          <t>CLP</t>
        </is>
      </c>
      <c r="J69" s="11" t="n">
        <v>0.0592</v>
      </c>
      <c r="K69" s="8" t="inlineStr">
        <is>
          <t>Subir precio a 7,000.00 CLP (gap +3,098.00/ud).</t>
        </is>
      </c>
    </row>
    <row r="70">
      <c r="A70" s="8" t="inlineStr">
        <is>
          <t>CHILE</t>
        </is>
      </c>
      <c r="B70" s="8" t="inlineStr">
        <is>
          <t>PLUS BORO</t>
        </is>
      </c>
      <c r="C70" s="8" t="inlineStr">
        <is>
          <t>1 L</t>
        </is>
      </c>
      <c r="D70" s="9" t="n">
        <v>5731.6</v>
      </c>
      <c r="E70" s="9" t="n">
        <v>6000</v>
      </c>
      <c r="F70" s="9" t="n">
        <v>268.3999999999996</v>
      </c>
      <c r="G70" s="9" t="n">
        <v>10</v>
      </c>
      <c r="H70" s="9" t="n">
        <v>2683.999999999996</v>
      </c>
      <c r="I70" s="8" t="inlineStr">
        <is>
          <t>CLP</t>
        </is>
      </c>
      <c r="J70" s="11" t="n">
        <v>0.4609</v>
      </c>
      <c r="K70" s="8" t="inlineStr">
        <is>
          <t>Subir precio a 6,000.00 CLP (gap +268.40/ud).</t>
        </is>
      </c>
    </row>
    <row r="71">
      <c r="A71" s="8" t="inlineStr">
        <is>
          <t>CHILE</t>
        </is>
      </c>
      <c r="B71" s="8" t="inlineStr">
        <is>
          <t>PLUS BORO</t>
        </is>
      </c>
      <c r="C71" s="8" t="inlineStr">
        <is>
          <t>5 L</t>
        </is>
      </c>
      <c r="D71" s="9" t="n">
        <v>4830</v>
      </c>
      <c r="E71" s="9" t="n">
        <v>5000</v>
      </c>
      <c r="F71" s="9" t="n">
        <v>170</v>
      </c>
      <c r="G71" s="9" t="n">
        <v>15</v>
      </c>
      <c r="H71" s="9" t="n">
        <v>2550</v>
      </c>
      <c r="I71" s="8" t="inlineStr">
        <is>
          <t>CLP</t>
        </is>
      </c>
      <c r="J71" s="11" t="n">
        <v>0.5914</v>
      </c>
      <c r="K71" s="8" t="inlineStr">
        <is>
          <t>Subir precio a 5,000.00 CLP (gap +170.00/ud).</t>
        </is>
      </c>
    </row>
    <row r="72">
      <c r="A72" s="8" t="inlineStr">
        <is>
          <t>CHILE</t>
        </is>
      </c>
      <c r="B72" s="8" t="inlineStr">
        <is>
          <t>PLUS HIERRO</t>
        </is>
      </c>
      <c r="C72" s="8" t="inlineStr">
        <is>
          <t>1 L</t>
        </is>
      </c>
      <c r="D72" s="9" t="n">
        <v>5810</v>
      </c>
      <c r="E72" s="9" t="n">
        <v>8000</v>
      </c>
      <c r="F72" s="9" t="n">
        <v>2190</v>
      </c>
      <c r="G72" s="9" t="n">
        <v>1</v>
      </c>
      <c r="H72" s="9" t="n">
        <v>2190</v>
      </c>
      <c r="I72" s="8" t="inlineStr">
        <is>
          <t>CLP</t>
        </is>
      </c>
      <c r="J72" s="11" t="n">
        <v>0.4571</v>
      </c>
      <c r="K72" s="8" t="inlineStr">
        <is>
          <t>Subir precio a 8,000.00 CLP (gap +2,190.00/ud).</t>
        </is>
      </c>
    </row>
    <row r="73">
      <c r="A73" s="8" t="inlineStr">
        <is>
          <t>CHILE</t>
        </is>
      </c>
      <c r="B73" s="8" t="inlineStr">
        <is>
          <t>AMIN</t>
        </is>
      </c>
      <c r="C73" s="8" t="inlineStr">
        <is>
          <t>1 L</t>
        </is>
      </c>
      <c r="D73" s="9" t="n">
        <v>7788.4762</v>
      </c>
      <c r="E73" s="9" t="n">
        <v>7800</v>
      </c>
      <c r="F73" s="9" t="n">
        <v>11.52379999999994</v>
      </c>
      <c r="G73" s="9" t="n">
        <v>63</v>
      </c>
      <c r="H73" s="9" t="n">
        <v>725.9993999999961</v>
      </c>
      <c r="I73" s="8" t="inlineStr">
        <is>
          <t>CLP</t>
        </is>
      </c>
      <c r="J73" s="11" t="n">
        <v>0.5289</v>
      </c>
      <c r="K73" s="8" t="inlineStr">
        <is>
          <t>Subir precio a 7,800.00 CLP (gap +11.52/ud).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80" customWidth="1" min="4" max="4"/>
  </cols>
  <sheetData>
    <row r="1">
      <c r="A1" s="7" t="inlineStr">
        <is>
          <t>Pais</t>
        </is>
      </c>
      <c r="B1" s="7" t="inlineStr">
        <is>
          <t>Producto</t>
        </is>
      </c>
      <c r="C1" s="7" t="inlineStr">
        <is>
          <t>Precio propuesto USD</t>
        </is>
      </c>
      <c r="D1" s="7" t="inlineStr">
        <is>
          <t>Nota</t>
        </is>
      </c>
    </row>
    <row r="2">
      <c r="A2" s="8" t="inlineStr">
        <is>
          <t>ECUADOR</t>
        </is>
      </c>
      <c r="B2" s="8" t="inlineStr">
        <is>
          <t>AV HUMIC ROOT</t>
        </is>
      </c>
      <c r="C2" s="9" t="n">
        <v>2</v>
      </c>
      <c r="D2" s="8" t="inlineStr">
        <is>
          <t>Referencia de precio propuesto. Sin data de ventas 2026 ni costos unitarios reportados.</t>
        </is>
      </c>
    </row>
    <row r="3">
      <c r="A3" s="8" t="inlineStr">
        <is>
          <t>ECUADOR</t>
        </is>
      </c>
      <c r="B3" s="8" t="inlineStr">
        <is>
          <t>AV AMIN</t>
        </is>
      </c>
      <c r="C3" s="9" t="n">
        <v>2.2</v>
      </c>
      <c r="D3" s="8" t="inlineStr">
        <is>
          <t>Referencia de precio propuesto. Sin data de ventas 2026 ni costos unitarios reportados.</t>
        </is>
      </c>
    </row>
    <row r="4">
      <c r="A4" s="8" t="inlineStr">
        <is>
          <t>ECUADOR</t>
        </is>
      </c>
      <c r="B4" s="8" t="inlineStr">
        <is>
          <t>AV ROOT MAX</t>
        </is>
      </c>
      <c r="C4" s="9" t="n">
        <v>6.3</v>
      </c>
      <c r="D4" s="8" t="inlineStr">
        <is>
          <t>Referencia de precio propuesto. Sin data de ventas 2026 ni costos unitarios reportados.</t>
        </is>
      </c>
    </row>
    <row r="5">
      <c r="A5" s="8" t="inlineStr">
        <is>
          <t>ECUADOR</t>
        </is>
      </c>
      <c r="B5" s="8" t="inlineStr">
        <is>
          <t>AV ALGAP 30</t>
        </is>
      </c>
      <c r="C5" s="9" t="n">
        <v>2.2</v>
      </c>
      <c r="D5" s="8" t="inlineStr">
        <is>
          <t>Referencia de precio propuesto. Sin data de ventas 2026 ni costos unitarios reportados.</t>
        </is>
      </c>
    </row>
    <row r="6">
      <c r="A6" s="8" t="inlineStr">
        <is>
          <t>ECUADOR</t>
        </is>
      </c>
      <c r="B6" s="8" t="inlineStr">
        <is>
          <t>AV SILFORTE</t>
        </is>
      </c>
      <c r="C6" s="9" t="n">
        <v>4.05</v>
      </c>
      <c r="D6" s="8" t="inlineStr">
        <is>
          <t>Referencia de precio propuesto. Sin data de ventas 2026 ni costos unitarios reportados.</t>
        </is>
      </c>
    </row>
    <row r="7">
      <c r="A7" s="8" t="inlineStr">
        <is>
          <t>ECUADOR</t>
        </is>
      </c>
      <c r="B7" s="8" t="inlineStr">
        <is>
          <t>AV PLUS CALCIO BORO</t>
        </is>
      </c>
      <c r="C7" s="9" t="n">
        <v>2.85</v>
      </c>
      <c r="D7" s="8" t="inlineStr">
        <is>
          <t>Referencia de precio propuesto. Sin data de ventas 2026 ni costos unitarios reportados.</t>
        </is>
      </c>
    </row>
    <row r="8">
      <c r="A8" s="8" t="inlineStr">
        <is>
          <t>ECUADOR</t>
        </is>
      </c>
      <c r="B8" s="8" t="inlineStr">
        <is>
          <t>AV BALANCE</t>
        </is>
      </c>
      <c r="C8" s="9" t="n">
        <v>6.5</v>
      </c>
      <c r="D8" s="8" t="inlineStr">
        <is>
          <t>Referencia de precio propuesto. Sin data de ventas 2026 ni costos unitarios reportados.</t>
        </is>
      </c>
    </row>
    <row r="9">
      <c r="A9" s="8" t="inlineStr">
        <is>
          <t>ECUADOR</t>
        </is>
      </c>
      <c r="B9" s="8" t="inlineStr">
        <is>
          <t>AV BLOOM</t>
        </is>
      </c>
      <c r="C9" s="9" t="n">
        <v>5.5</v>
      </c>
      <c r="D9" s="8" t="inlineStr">
        <is>
          <t>Referencia de precio propuesto. Sin data de ventas 2026 ni costos unitarios reportados.</t>
        </is>
      </c>
    </row>
    <row r="10">
      <c r="A10" s="8" t="inlineStr">
        <is>
          <t>ECUADOR</t>
        </is>
      </c>
      <c r="B10" s="8" t="inlineStr">
        <is>
          <t>AV CYTO PRIME</t>
        </is>
      </c>
      <c r="C10" s="9" t="n">
        <v>7.3</v>
      </c>
      <c r="D10" s="8" t="inlineStr">
        <is>
          <t>Referencia de precio propuesto. Sin data de ventas 2026 ni costos unitarios reportados.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4" customWidth="1" min="4" max="4"/>
    <col width="8" customWidth="1" min="5" max="5"/>
    <col width="14" customWidth="1" min="6" max="6"/>
    <col width="70" customWidth="1" min="7" max="7"/>
  </cols>
  <sheetData>
    <row r="1">
      <c r="A1" s="7" t="inlineStr">
        <is>
          <t>Pais</t>
        </is>
      </c>
      <c r="B1" s="7" t="inlineStr">
        <is>
          <t>Producto</t>
        </is>
      </c>
      <c r="C1" s="7" t="inlineStr">
        <is>
          <t>Formato</t>
        </is>
      </c>
      <c r="D1" s="7" t="inlineStr">
        <is>
          <t>Ventas YTD</t>
        </is>
      </c>
      <c r="E1" s="7" t="inlineStr">
        <is>
          <t>Moneda</t>
        </is>
      </c>
      <c r="F1" s="7" t="inlineStr">
        <is>
          <t>Precio prom</t>
        </is>
      </c>
      <c r="G1" s="7" t="inlineStr">
        <is>
          <t>Motivo probable</t>
        </is>
      </c>
    </row>
    <row r="2">
      <c r="A2" s="8" t="inlineStr">
        <is>
          <t>CHILE</t>
        </is>
      </c>
      <c r="B2" s="8" t="inlineStr">
        <is>
          <t>CRYOPHILE</t>
        </is>
      </c>
      <c r="C2" s="8" t="inlineStr">
        <is>
          <t>250 G</t>
        </is>
      </c>
      <c r="D2" s="9" t="n">
        <v>15356000</v>
      </c>
      <c r="E2" s="8" t="inlineStr">
        <is>
          <t>CLP</t>
        </is>
      </c>
      <c r="F2" s="9" t="n">
        <v>17691.2442</v>
      </c>
      <c r="G2" s="8" t="inlineStr">
        <is>
          <t>Producto no encontrado en catalogo Pricing Piso (nuevo, tercerizado o typo no mapeado).</t>
        </is>
      </c>
    </row>
    <row r="3">
      <c r="A3" s="8" t="inlineStr">
        <is>
          <t>CHILE</t>
        </is>
      </c>
      <c r="B3" s="8" t="inlineStr">
        <is>
          <t>SOLUFOS</t>
        </is>
      </c>
      <c r="C3" s="8" t="inlineStr">
        <is>
          <t>500 G</t>
        </is>
      </c>
      <c r="D3" s="9" t="n">
        <v>5000000</v>
      </c>
      <c r="E3" s="8" t="inlineStr">
        <is>
          <t>CLP</t>
        </is>
      </c>
      <c r="F3" s="9" t="n">
        <v>25000</v>
      </c>
      <c r="G3" s="8" t="inlineStr">
        <is>
          <t>Producto no encontrado en catalogo Pricing Piso (nuevo, tercerizado o typo no mapeado).</t>
        </is>
      </c>
    </row>
    <row r="4">
      <c r="A4" s="8" t="inlineStr">
        <is>
          <t>CHILE</t>
        </is>
      </c>
      <c r="B4" s="8" t="inlineStr">
        <is>
          <t>BODENPRO POTASIO</t>
        </is>
      </c>
      <c r="C4" s="8" t="inlineStr">
        <is>
          <t>20 L</t>
        </is>
      </c>
      <c r="D4" s="9" t="n">
        <v>3780000</v>
      </c>
      <c r="E4" s="8" t="inlineStr">
        <is>
          <t>CLP</t>
        </is>
      </c>
      <c r="F4" s="9" t="n">
        <v>1890</v>
      </c>
      <c r="G4" s="8" t="inlineStr">
        <is>
          <t>Producto no encontrado en catalogo Pricing Piso (nuevo, tercerizado o typo no mapeado).</t>
        </is>
      </c>
    </row>
    <row r="5">
      <c r="A5" s="8" t="inlineStr">
        <is>
          <t>CHILE</t>
        </is>
      </c>
      <c r="B5" s="8" t="inlineStr">
        <is>
          <t>XCARATOR</t>
        </is>
      </c>
      <c r="C5" s="8" t="inlineStr">
        <is>
          <t>20 L</t>
        </is>
      </c>
      <c r="D5" s="9" t="n">
        <v>2483000</v>
      </c>
      <c r="E5" s="8" t="inlineStr">
        <is>
          <t>CLP</t>
        </is>
      </c>
      <c r="F5" s="9" t="n">
        <v>2483</v>
      </c>
      <c r="G5" s="8" t="inlineStr">
        <is>
          <t>Producto no encontrado en catalogo Pricing Piso (nuevo, tercerizado o typo no mapeado).</t>
        </is>
      </c>
    </row>
    <row r="6">
      <c r="A6" s="8" t="inlineStr">
        <is>
          <t>CHILE</t>
        </is>
      </c>
      <c r="B6" s="8" t="inlineStr">
        <is>
          <t>BIOBODEN CRYOPHILE</t>
        </is>
      </c>
      <c r="C6" s="8" t="inlineStr">
        <is>
          <t>250 G</t>
        </is>
      </c>
      <c r="D6" s="9" t="n">
        <v>1190000</v>
      </c>
      <c r="E6" s="8" t="inlineStr">
        <is>
          <t>CLP</t>
        </is>
      </c>
      <c r="F6" s="9" t="n">
        <v>17000</v>
      </c>
      <c r="G6" s="8" t="inlineStr">
        <is>
          <t>Producto no encontrado en catalogo Pricing Piso (nuevo, tercerizado o typo no mapeado).</t>
        </is>
      </c>
    </row>
    <row r="7">
      <c r="A7" s="8" t="inlineStr">
        <is>
          <t>CHILE</t>
        </is>
      </c>
      <c r="B7" s="8" t="inlineStr">
        <is>
          <t>PK-DEFEND MAX</t>
        </is>
      </c>
      <c r="C7" s="8" t="inlineStr">
        <is>
          <t>20 L</t>
        </is>
      </c>
      <c r="D7" s="9" t="n">
        <v>560000</v>
      </c>
      <c r="E7" s="8" t="inlineStr">
        <is>
          <t>CLP</t>
        </is>
      </c>
      <c r="F7" s="9" t="n">
        <v>4000</v>
      </c>
      <c r="G7" s="8" t="inlineStr">
        <is>
          <t>Producto no encontrado en catalogo Pricing Piso (nuevo, tercerizado o typo no mapeado).</t>
        </is>
      </c>
    </row>
    <row r="8">
      <c r="A8" s="8" t="inlineStr">
        <is>
          <t>CHILE</t>
        </is>
      </c>
      <c r="B8" s="8" t="inlineStr">
        <is>
          <t>PRODRUCTOS DE 1 LITRO</t>
        </is>
      </c>
      <c r="C8" s="8" t="inlineStr"/>
      <c r="D8" s="9" t="n">
        <v>96000</v>
      </c>
      <c r="E8" s="8" t="inlineStr">
        <is>
          <t>CLP</t>
        </is>
      </c>
      <c r="F8" s="9" t="n">
        <v>10666.6667</v>
      </c>
      <c r="G8" s="8" t="inlineStr">
        <is>
          <t>Producto no encontrado en catalogo Pricing Piso (nuevo, tercerizado o typo no mapeado).</t>
        </is>
      </c>
    </row>
    <row r="9">
      <c r="A9" s="8" t="inlineStr">
        <is>
          <t>CHILE</t>
        </is>
      </c>
      <c r="B9" s="8" t="inlineStr">
        <is>
          <t>PLUS ROOT MAX</t>
        </is>
      </c>
      <c r="C9" s="8" t="inlineStr"/>
      <c r="D9" s="9" t="n">
        <v>49750</v>
      </c>
      <c r="E9" s="8" t="inlineStr">
        <is>
          <t>CLP</t>
        </is>
      </c>
      <c r="F9" s="9" t="n">
        <v>9950</v>
      </c>
      <c r="G9" s="8" t="inlineStr">
        <is>
          <t>Producto no encontrado en catalogo Pricing Piso (nuevo, tercerizado o typo no mapeado).</t>
        </is>
      </c>
    </row>
    <row r="10">
      <c r="A10" s="8" t="inlineStr">
        <is>
          <t>CHILE</t>
        </is>
      </c>
      <c r="B10" s="8" t="inlineStr">
        <is>
          <t>PK-DEFEND MAX</t>
        </is>
      </c>
      <c r="C10" s="8" t="inlineStr">
        <is>
          <t>5 L</t>
        </is>
      </c>
      <c r="D10" s="9" t="n">
        <v>40000</v>
      </c>
      <c r="E10" s="8" t="inlineStr">
        <is>
          <t>CLP</t>
        </is>
      </c>
      <c r="F10" s="9" t="n">
        <v>4000</v>
      </c>
      <c r="G10" s="8" t="inlineStr">
        <is>
          <t>Producto no encontrado en catalogo Pricing Piso (nuevo, tercerizado o typo no mapeado).</t>
        </is>
      </c>
    </row>
    <row r="11">
      <c r="A11" s="8" t="inlineStr">
        <is>
          <t>CHILE</t>
        </is>
      </c>
      <c r="B11" s="8" t="inlineStr">
        <is>
          <t>BIOVECA NEMAOFF 500 GRS</t>
        </is>
      </c>
      <c r="C11" s="8" t="inlineStr"/>
      <c r="D11" s="9" t="n">
        <v>35000</v>
      </c>
      <c r="E11" s="8" t="inlineStr">
        <is>
          <t>CLP</t>
        </is>
      </c>
      <c r="F11" s="9" t="n">
        <v>35000</v>
      </c>
      <c r="G11" s="8" t="inlineStr">
        <is>
          <t>Producto no encontrado en catalogo Pricing Piso (nuevo, tercerizado o typo no mapeado).</t>
        </is>
      </c>
    </row>
    <row r="12">
      <c r="A12" s="8" t="inlineStr">
        <is>
          <t>PERU</t>
        </is>
      </c>
      <c r="B12" s="8" t="inlineStr">
        <is>
          <t>REGALIA MAX</t>
        </is>
      </c>
      <c r="C12" s="8" t="inlineStr">
        <is>
          <t>GRANEL</t>
        </is>
      </c>
      <c r="D12" s="9" t="n">
        <v>27345.32</v>
      </c>
      <c r="E12" s="8" t="inlineStr">
        <is>
          <t>USD</t>
        </is>
      </c>
      <c r="F12" s="9" t="n">
        <v>40.9361</v>
      </c>
      <c r="G12" s="8" t="inlineStr">
        <is>
          <t>Producto no encontrado en catalogo Pricing Piso (nuevo, tercerizado o typo no mapeado).</t>
        </is>
      </c>
    </row>
    <row r="13">
      <c r="A13" s="8" t="inlineStr">
        <is>
          <t>CHILE</t>
        </is>
      </c>
      <c r="B13" s="8" t="inlineStr">
        <is>
          <t>PK DEFENDER MAX</t>
        </is>
      </c>
      <c r="C13" s="8" t="inlineStr"/>
      <c r="D13" s="9" t="n">
        <v>27150</v>
      </c>
      <c r="E13" s="8" t="inlineStr">
        <is>
          <t>CLP</t>
        </is>
      </c>
      <c r="F13" s="9" t="n">
        <v>5430</v>
      </c>
      <c r="G13" s="8" t="inlineStr">
        <is>
          <t>Producto no encontrado en catalogo Pricing Piso (nuevo, tercerizado o typo no mapeado).</t>
        </is>
      </c>
    </row>
    <row r="14">
      <c r="A14" s="8" t="inlineStr">
        <is>
          <t>PERU</t>
        </is>
      </c>
      <c r="B14" s="8" t="inlineStr">
        <is>
          <t>GENERICO / LINEA AGROVECA</t>
        </is>
      </c>
      <c r="C14" s="8" t="inlineStr">
        <is>
          <t>GRANEL</t>
        </is>
      </c>
      <c r="D14" s="9" t="n">
        <v>24653.26</v>
      </c>
      <c r="E14" s="8" t="inlineStr">
        <is>
          <t>USD</t>
        </is>
      </c>
      <c r="F14" s="9" t="n"/>
      <c r="G14" s="8" t="inlineStr">
        <is>
          <t>Factura agrupada 'PRODUCTOS LINEA AGROVECA' sin detalle por producto. Pedir desglose a cobranzas.</t>
        </is>
      </c>
    </row>
    <row r="15">
      <c r="A15" s="8" t="inlineStr">
        <is>
          <t>PERU</t>
        </is>
      </c>
      <c r="B15" s="8" t="inlineStr">
        <is>
          <t>REGALIA</t>
        </is>
      </c>
      <c r="C15" s="8" t="inlineStr">
        <is>
          <t>GRANEL</t>
        </is>
      </c>
      <c r="D15" s="9" t="n">
        <v>6740.16</v>
      </c>
      <c r="E15" s="8" t="inlineStr">
        <is>
          <t>USD</t>
        </is>
      </c>
      <c r="F15" s="9" t="n">
        <v>46.8067</v>
      </c>
      <c r="G15" s="8" t="inlineStr">
        <is>
          <t>Producto no encontrado en catalogo Pricing Piso (nuevo, tercerizado o typo no mapeado).</t>
        </is>
      </c>
    </row>
    <row r="16">
      <c r="A16" s="8" t="inlineStr">
        <is>
          <t>PERU</t>
        </is>
      </c>
      <c r="B16" s="8" t="inlineStr">
        <is>
          <t>RELAIA MAX</t>
        </is>
      </c>
      <c r="C16" s="8" t="inlineStr">
        <is>
          <t>GRANEL</t>
        </is>
      </c>
      <c r="D16" s="9" t="n">
        <v>6112.4</v>
      </c>
      <c r="E16" s="8" t="inlineStr">
        <is>
          <t>USD</t>
        </is>
      </c>
      <c r="F16" s="9" t="n">
        <v>43.66</v>
      </c>
      <c r="G16" s="8" t="inlineStr">
        <is>
          <t>Producto no encontrado en catalogo Pricing Piso (nuevo, tercerizado o typo no mapeado).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2026-04-16T22:13:16Z</dcterms:created>
  <dcterms:modified xmlns:dcterms="http://purl.org/dc/terms/" xmlns:xsi="http://www.w3.org/2001/XMLSchema-instance" xsi:type="dcterms:W3CDTF">2026-04-16T22:13:16Z</dcterms:modified>
</cp:coreProperties>
</file>